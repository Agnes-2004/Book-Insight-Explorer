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Agnes\OneDrive\Desktop\DATA ANALYST PROJECT\EXCEL PROJECT 1-DATA ANALYST\"/>
    </mc:Choice>
  </mc:AlternateContent>
  <xr:revisionPtr revIDLastSave="0" documentId="13_ncr:1_{35CDDF8B-64EB-407B-A18E-77D2514AD582}" xr6:coauthVersionLast="47" xr6:coauthVersionMax="47" xr10:uidLastSave="{00000000-0000-0000-0000-000000000000}"/>
  <bookViews>
    <workbookView xWindow="-120" yWindow="-120" windowWidth="29040" windowHeight="15720" activeTab="4" xr2:uid="{6A2EE504-45F1-419C-AD00-F9AB8F52B000}"/>
  </bookViews>
  <sheets>
    <sheet name="Cleaned Data" sheetId="1" r:id="rId1"/>
    <sheet name="Pivot Tables" sheetId="3" r:id="rId2"/>
    <sheet name="KPI CREATION" sheetId="6" r:id="rId3"/>
    <sheet name=" EMO ND SUMMARY" sheetId="7" r:id="rId4"/>
    <sheet name="Book Insight - Dashboard" sheetId="4" r:id="rId5"/>
  </sheets>
  <definedNames>
    <definedName name="ExternalData_1" localSheetId="0" hidden="1">'Cleaned Data'!$A$5:$J$1388</definedName>
    <definedName name="Slicer_GENRE">#N/A</definedName>
    <definedName name="Slicer_LANGUAGE">#N/A</definedName>
    <definedName name="Slicer_RATING_TIER">#N/A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7" l="1" a="1"/>
  <c r="E14" i="7" s="1"/>
  <c r="M21" i="6"/>
  <c r="F20" i="6"/>
  <c r="F20" i="6" a="1"/>
  <c r="F17" i="6"/>
  <c r="M15" i="6"/>
  <c r="F14" i="6"/>
  <c r="F14" i="6" a="1"/>
  <c r="M12" i="6"/>
  <c r="F11" i="6"/>
  <c r="F8" i="6"/>
  <c r="M6" i="6"/>
  <c r="F5" i="6"/>
  <c r="F2" i="6"/>
  <c r="M1388" i="1"/>
  <c r="L1388" i="1"/>
  <c r="K1388" i="1"/>
  <c r="M1387" i="1"/>
  <c r="L1387" i="1"/>
  <c r="K1387" i="1"/>
  <c r="M1386" i="1"/>
  <c r="L1386" i="1"/>
  <c r="K1386" i="1"/>
  <c r="M1385" i="1"/>
  <c r="L1385" i="1"/>
  <c r="K1385" i="1"/>
  <c r="M1384" i="1"/>
  <c r="L1384" i="1"/>
  <c r="K1384" i="1"/>
  <c r="M1383" i="1"/>
  <c r="L1383" i="1"/>
  <c r="K1383" i="1"/>
  <c r="M1382" i="1"/>
  <c r="L1382" i="1"/>
  <c r="K1382" i="1"/>
  <c r="M1381" i="1"/>
  <c r="L1381" i="1"/>
  <c r="K1381" i="1"/>
  <c r="M1380" i="1"/>
  <c r="L1380" i="1"/>
  <c r="K1380" i="1"/>
  <c r="M1379" i="1"/>
  <c r="L1379" i="1"/>
  <c r="K1379" i="1"/>
  <c r="M1378" i="1"/>
  <c r="L1378" i="1"/>
  <c r="K1378" i="1"/>
  <c r="M1377" i="1"/>
  <c r="L1377" i="1"/>
  <c r="K1377" i="1"/>
  <c r="M1376" i="1"/>
  <c r="L1376" i="1"/>
  <c r="K1376" i="1"/>
  <c r="M1375" i="1"/>
  <c r="L1375" i="1"/>
  <c r="K1375" i="1"/>
  <c r="M1374" i="1"/>
  <c r="L1374" i="1"/>
  <c r="K1374" i="1"/>
  <c r="M1373" i="1"/>
  <c r="L1373" i="1"/>
  <c r="K1373" i="1"/>
  <c r="M1372" i="1"/>
  <c r="L1372" i="1"/>
  <c r="K1372" i="1"/>
  <c r="M1371" i="1"/>
  <c r="L1371" i="1"/>
  <c r="K1371" i="1"/>
  <c r="M1370" i="1"/>
  <c r="L1370" i="1"/>
  <c r="K1370" i="1"/>
  <c r="M1369" i="1"/>
  <c r="L1369" i="1"/>
  <c r="K1369" i="1"/>
  <c r="M1368" i="1"/>
  <c r="L1368" i="1"/>
  <c r="K1368" i="1"/>
  <c r="M1367" i="1"/>
  <c r="L1367" i="1"/>
  <c r="K1367" i="1"/>
  <c r="M1366" i="1"/>
  <c r="L1366" i="1"/>
  <c r="K1366" i="1"/>
  <c r="M1365" i="1"/>
  <c r="L1365" i="1"/>
  <c r="K1365" i="1"/>
  <c r="M1364" i="1"/>
  <c r="L1364" i="1"/>
  <c r="K1364" i="1"/>
  <c r="M1363" i="1"/>
  <c r="L1363" i="1"/>
  <c r="K1363" i="1"/>
  <c r="M1362" i="1"/>
  <c r="L1362" i="1"/>
  <c r="K1362" i="1"/>
  <c r="M1361" i="1"/>
  <c r="L1361" i="1"/>
  <c r="K1361" i="1"/>
  <c r="M1360" i="1"/>
  <c r="L1360" i="1"/>
  <c r="K1360" i="1"/>
  <c r="M1359" i="1"/>
  <c r="L1359" i="1"/>
  <c r="K1359" i="1"/>
  <c r="M1358" i="1"/>
  <c r="L1358" i="1"/>
  <c r="K1358" i="1"/>
  <c r="M1357" i="1"/>
  <c r="L1357" i="1"/>
  <c r="K1357" i="1"/>
  <c r="M1356" i="1"/>
  <c r="L1356" i="1"/>
  <c r="K1356" i="1"/>
  <c r="M1355" i="1"/>
  <c r="L1355" i="1"/>
  <c r="K1355" i="1"/>
  <c r="M1354" i="1"/>
  <c r="L1354" i="1"/>
  <c r="K1354" i="1"/>
  <c r="M1353" i="1"/>
  <c r="L1353" i="1"/>
  <c r="K1353" i="1"/>
  <c r="M1352" i="1"/>
  <c r="L1352" i="1"/>
  <c r="K1352" i="1"/>
  <c r="M1351" i="1"/>
  <c r="L1351" i="1"/>
  <c r="K1351" i="1"/>
  <c r="M1350" i="1"/>
  <c r="L1350" i="1"/>
  <c r="K1350" i="1"/>
  <c r="M1349" i="1"/>
  <c r="L1349" i="1"/>
  <c r="K1349" i="1"/>
  <c r="M1348" i="1"/>
  <c r="L1348" i="1"/>
  <c r="K1348" i="1"/>
  <c r="M1347" i="1"/>
  <c r="L1347" i="1"/>
  <c r="K1347" i="1"/>
  <c r="M1346" i="1"/>
  <c r="L1346" i="1"/>
  <c r="K1346" i="1"/>
  <c r="M1345" i="1"/>
  <c r="L1345" i="1"/>
  <c r="K1345" i="1"/>
  <c r="M1344" i="1"/>
  <c r="L1344" i="1"/>
  <c r="K1344" i="1"/>
  <c r="M1343" i="1"/>
  <c r="L1343" i="1"/>
  <c r="K1343" i="1"/>
  <c r="M1342" i="1"/>
  <c r="L1342" i="1"/>
  <c r="K1342" i="1"/>
  <c r="M1341" i="1"/>
  <c r="L1341" i="1"/>
  <c r="K1341" i="1"/>
  <c r="M1340" i="1"/>
  <c r="L1340" i="1"/>
  <c r="K1340" i="1"/>
  <c r="M1339" i="1"/>
  <c r="L1339" i="1"/>
  <c r="K1339" i="1"/>
  <c r="M1338" i="1"/>
  <c r="L1338" i="1"/>
  <c r="K1338" i="1"/>
  <c r="M1337" i="1"/>
  <c r="L1337" i="1"/>
  <c r="K1337" i="1"/>
  <c r="M1336" i="1"/>
  <c r="L1336" i="1"/>
  <c r="K1336" i="1"/>
  <c r="M1335" i="1"/>
  <c r="L1335" i="1"/>
  <c r="K1335" i="1"/>
  <c r="M1334" i="1"/>
  <c r="L1334" i="1"/>
  <c r="K1334" i="1"/>
  <c r="M1333" i="1"/>
  <c r="L1333" i="1"/>
  <c r="K1333" i="1"/>
  <c r="M1332" i="1"/>
  <c r="L1332" i="1"/>
  <c r="K1332" i="1"/>
  <c r="M1331" i="1"/>
  <c r="L1331" i="1"/>
  <c r="K1331" i="1"/>
  <c r="M1330" i="1"/>
  <c r="L1330" i="1"/>
  <c r="K1330" i="1"/>
  <c r="M1329" i="1"/>
  <c r="L1329" i="1"/>
  <c r="K1329" i="1"/>
  <c r="M1328" i="1"/>
  <c r="L1328" i="1"/>
  <c r="K1328" i="1"/>
  <c r="M1327" i="1"/>
  <c r="L1327" i="1"/>
  <c r="K1327" i="1"/>
  <c r="M1326" i="1"/>
  <c r="L1326" i="1"/>
  <c r="K1326" i="1"/>
  <c r="M1325" i="1"/>
  <c r="L1325" i="1"/>
  <c r="K1325" i="1"/>
  <c r="M1324" i="1"/>
  <c r="L1324" i="1"/>
  <c r="K1324" i="1"/>
  <c r="M1323" i="1"/>
  <c r="L1323" i="1"/>
  <c r="K1323" i="1"/>
  <c r="M1322" i="1"/>
  <c r="L1322" i="1"/>
  <c r="K1322" i="1"/>
  <c r="M1321" i="1"/>
  <c r="L1321" i="1"/>
  <c r="K1321" i="1"/>
  <c r="M1320" i="1"/>
  <c r="L1320" i="1"/>
  <c r="K1320" i="1"/>
  <c r="M1319" i="1"/>
  <c r="L1319" i="1"/>
  <c r="K1319" i="1"/>
  <c r="M1318" i="1"/>
  <c r="L1318" i="1"/>
  <c r="K1318" i="1"/>
  <c r="M1317" i="1"/>
  <c r="L1317" i="1"/>
  <c r="K1317" i="1"/>
  <c r="M1316" i="1"/>
  <c r="L1316" i="1"/>
  <c r="K1316" i="1"/>
  <c r="M1315" i="1"/>
  <c r="L1315" i="1"/>
  <c r="K1315" i="1"/>
  <c r="M1314" i="1"/>
  <c r="L1314" i="1"/>
  <c r="K1314" i="1"/>
  <c r="M1313" i="1"/>
  <c r="L1313" i="1"/>
  <c r="K1313" i="1"/>
  <c r="M1312" i="1"/>
  <c r="L1312" i="1"/>
  <c r="K1312" i="1"/>
  <c r="M1311" i="1"/>
  <c r="L1311" i="1"/>
  <c r="K1311" i="1"/>
  <c r="M1310" i="1"/>
  <c r="L1310" i="1"/>
  <c r="K1310" i="1"/>
  <c r="M1309" i="1"/>
  <c r="L1309" i="1"/>
  <c r="K1309" i="1"/>
  <c r="M1308" i="1"/>
  <c r="L1308" i="1"/>
  <c r="K1308" i="1"/>
  <c r="M1307" i="1"/>
  <c r="L1307" i="1"/>
  <c r="K1307" i="1"/>
  <c r="M1306" i="1"/>
  <c r="L1306" i="1"/>
  <c r="K1306" i="1"/>
  <c r="M1305" i="1"/>
  <c r="L1305" i="1"/>
  <c r="K1305" i="1"/>
  <c r="M1304" i="1"/>
  <c r="L1304" i="1"/>
  <c r="K1304" i="1"/>
  <c r="M1303" i="1"/>
  <c r="L1303" i="1"/>
  <c r="K1303" i="1"/>
  <c r="M1302" i="1"/>
  <c r="L1302" i="1"/>
  <c r="K1302" i="1"/>
  <c r="M1301" i="1"/>
  <c r="L1301" i="1"/>
  <c r="K1301" i="1"/>
  <c r="M1300" i="1"/>
  <c r="L1300" i="1"/>
  <c r="K1300" i="1"/>
  <c r="M1299" i="1"/>
  <c r="L1299" i="1"/>
  <c r="K1299" i="1"/>
  <c r="M1298" i="1"/>
  <c r="L1298" i="1"/>
  <c r="K1298" i="1"/>
  <c r="M1297" i="1"/>
  <c r="L1297" i="1"/>
  <c r="K1297" i="1"/>
  <c r="M1296" i="1"/>
  <c r="L1296" i="1"/>
  <c r="K1296" i="1"/>
  <c r="M1295" i="1"/>
  <c r="L1295" i="1"/>
  <c r="K1295" i="1"/>
  <c r="M1294" i="1"/>
  <c r="L1294" i="1"/>
  <c r="K1294" i="1"/>
  <c r="M1293" i="1"/>
  <c r="L1293" i="1"/>
  <c r="K1293" i="1"/>
  <c r="M1292" i="1"/>
  <c r="L1292" i="1"/>
  <c r="K1292" i="1"/>
  <c r="M1291" i="1"/>
  <c r="L1291" i="1"/>
  <c r="K1291" i="1"/>
  <c r="M1290" i="1"/>
  <c r="L1290" i="1"/>
  <c r="K1290" i="1"/>
  <c r="M1289" i="1"/>
  <c r="L1289" i="1"/>
  <c r="K1289" i="1"/>
  <c r="M1288" i="1"/>
  <c r="L1288" i="1"/>
  <c r="K1288" i="1"/>
  <c r="M1287" i="1"/>
  <c r="L1287" i="1"/>
  <c r="K1287" i="1"/>
  <c r="M1286" i="1"/>
  <c r="L1286" i="1"/>
  <c r="K1286" i="1"/>
  <c r="M1285" i="1"/>
  <c r="L1285" i="1"/>
  <c r="K1285" i="1"/>
  <c r="M1284" i="1"/>
  <c r="L1284" i="1"/>
  <c r="K1284" i="1"/>
  <c r="M1283" i="1"/>
  <c r="L1283" i="1"/>
  <c r="K1283" i="1"/>
  <c r="M1282" i="1"/>
  <c r="L1282" i="1"/>
  <c r="K1282" i="1"/>
  <c r="M1281" i="1"/>
  <c r="L1281" i="1"/>
  <c r="K1281" i="1"/>
  <c r="M1280" i="1"/>
  <c r="L1280" i="1"/>
  <c r="K1280" i="1"/>
  <c r="M1279" i="1"/>
  <c r="L1279" i="1"/>
  <c r="K1279" i="1"/>
  <c r="M1278" i="1"/>
  <c r="L1278" i="1"/>
  <c r="K1278" i="1"/>
  <c r="M1277" i="1"/>
  <c r="L1277" i="1"/>
  <c r="K1277" i="1"/>
  <c r="M1276" i="1"/>
  <c r="L1276" i="1"/>
  <c r="K1276" i="1"/>
  <c r="M1275" i="1"/>
  <c r="L1275" i="1"/>
  <c r="K1275" i="1"/>
  <c r="M1274" i="1"/>
  <c r="L1274" i="1"/>
  <c r="K1274" i="1"/>
  <c r="M1273" i="1"/>
  <c r="L1273" i="1"/>
  <c r="K1273" i="1"/>
  <c r="M1272" i="1"/>
  <c r="L1272" i="1"/>
  <c r="K1272" i="1"/>
  <c r="M1271" i="1"/>
  <c r="L1271" i="1"/>
  <c r="K1271" i="1"/>
  <c r="M1270" i="1"/>
  <c r="L1270" i="1"/>
  <c r="K1270" i="1"/>
  <c r="M1269" i="1"/>
  <c r="L1269" i="1"/>
  <c r="K1269" i="1"/>
  <c r="M1268" i="1"/>
  <c r="L1268" i="1"/>
  <c r="K1268" i="1"/>
  <c r="M1267" i="1"/>
  <c r="L1267" i="1"/>
  <c r="K1267" i="1"/>
  <c r="M1266" i="1"/>
  <c r="L1266" i="1"/>
  <c r="K1266" i="1"/>
  <c r="M1265" i="1"/>
  <c r="L1265" i="1"/>
  <c r="K1265" i="1"/>
  <c r="M1264" i="1"/>
  <c r="L1264" i="1"/>
  <c r="K1264" i="1"/>
  <c r="M1263" i="1"/>
  <c r="L1263" i="1"/>
  <c r="K1263" i="1"/>
  <c r="M1262" i="1"/>
  <c r="L1262" i="1"/>
  <c r="K1262" i="1"/>
  <c r="M1261" i="1"/>
  <c r="L1261" i="1"/>
  <c r="K1261" i="1"/>
  <c r="M1260" i="1"/>
  <c r="L1260" i="1"/>
  <c r="K1260" i="1"/>
  <c r="M1259" i="1"/>
  <c r="L1259" i="1"/>
  <c r="K1259" i="1"/>
  <c r="M1258" i="1"/>
  <c r="L1258" i="1"/>
  <c r="K1258" i="1"/>
  <c r="M1257" i="1"/>
  <c r="L1257" i="1"/>
  <c r="K1257" i="1"/>
  <c r="M1256" i="1"/>
  <c r="L1256" i="1"/>
  <c r="K1256" i="1"/>
  <c r="M1255" i="1"/>
  <c r="L1255" i="1"/>
  <c r="K1255" i="1"/>
  <c r="M1254" i="1"/>
  <c r="L1254" i="1"/>
  <c r="K1254" i="1"/>
  <c r="M1253" i="1"/>
  <c r="L1253" i="1"/>
  <c r="K1253" i="1"/>
  <c r="M1252" i="1"/>
  <c r="L1252" i="1"/>
  <c r="K1252" i="1"/>
  <c r="M1251" i="1"/>
  <c r="L1251" i="1"/>
  <c r="K1251" i="1"/>
  <c r="M1250" i="1"/>
  <c r="L1250" i="1"/>
  <c r="K1250" i="1"/>
  <c r="M1249" i="1"/>
  <c r="L1249" i="1"/>
  <c r="K1249" i="1"/>
  <c r="M1248" i="1"/>
  <c r="L1248" i="1"/>
  <c r="K1248" i="1"/>
  <c r="M1247" i="1"/>
  <c r="L1247" i="1"/>
  <c r="K1247" i="1"/>
  <c r="M1246" i="1"/>
  <c r="L1246" i="1"/>
  <c r="K1246" i="1"/>
  <c r="M1245" i="1"/>
  <c r="L1245" i="1"/>
  <c r="K1245" i="1"/>
  <c r="M1244" i="1"/>
  <c r="L1244" i="1"/>
  <c r="K1244" i="1"/>
  <c r="M1243" i="1"/>
  <c r="L1243" i="1"/>
  <c r="K1243" i="1"/>
  <c r="M1242" i="1"/>
  <c r="L1242" i="1"/>
  <c r="K1242" i="1"/>
  <c r="M1241" i="1"/>
  <c r="L1241" i="1"/>
  <c r="K1241" i="1"/>
  <c r="M1240" i="1"/>
  <c r="L1240" i="1"/>
  <c r="K1240" i="1"/>
  <c r="M1239" i="1"/>
  <c r="L1239" i="1"/>
  <c r="K1239" i="1"/>
  <c r="M1238" i="1"/>
  <c r="L1238" i="1"/>
  <c r="K1238" i="1"/>
  <c r="M1237" i="1"/>
  <c r="L1237" i="1"/>
  <c r="K1237" i="1"/>
  <c r="M1236" i="1"/>
  <c r="L1236" i="1"/>
  <c r="K1236" i="1"/>
  <c r="M1235" i="1"/>
  <c r="L1235" i="1"/>
  <c r="K1235" i="1"/>
  <c r="M1234" i="1"/>
  <c r="L1234" i="1"/>
  <c r="K1234" i="1"/>
  <c r="M1233" i="1"/>
  <c r="L1233" i="1"/>
  <c r="K1233" i="1"/>
  <c r="M1232" i="1"/>
  <c r="L1232" i="1"/>
  <c r="K1232" i="1"/>
  <c r="M1231" i="1"/>
  <c r="L1231" i="1"/>
  <c r="K1231" i="1"/>
  <c r="M1230" i="1"/>
  <c r="L1230" i="1"/>
  <c r="K1230" i="1"/>
  <c r="M1229" i="1"/>
  <c r="L1229" i="1"/>
  <c r="K1229" i="1"/>
  <c r="M1228" i="1"/>
  <c r="L1228" i="1"/>
  <c r="K1228" i="1"/>
  <c r="M1227" i="1"/>
  <c r="L1227" i="1"/>
  <c r="K1227" i="1"/>
  <c r="M1226" i="1"/>
  <c r="L1226" i="1"/>
  <c r="K1226" i="1"/>
  <c r="M1225" i="1"/>
  <c r="L1225" i="1"/>
  <c r="K1225" i="1"/>
  <c r="M1224" i="1"/>
  <c r="L1224" i="1"/>
  <c r="K1224" i="1"/>
  <c r="M1223" i="1"/>
  <c r="L1223" i="1"/>
  <c r="K1223" i="1"/>
  <c r="M1222" i="1"/>
  <c r="L1222" i="1"/>
  <c r="K1222" i="1"/>
  <c r="M1221" i="1"/>
  <c r="L1221" i="1"/>
  <c r="K1221" i="1"/>
  <c r="M1220" i="1"/>
  <c r="L1220" i="1"/>
  <c r="K1220" i="1"/>
  <c r="M1219" i="1"/>
  <c r="L1219" i="1"/>
  <c r="K1219" i="1"/>
  <c r="M1218" i="1"/>
  <c r="L1218" i="1"/>
  <c r="K1218" i="1"/>
  <c r="M1217" i="1"/>
  <c r="L1217" i="1"/>
  <c r="K1217" i="1"/>
  <c r="M1216" i="1"/>
  <c r="L1216" i="1"/>
  <c r="K1216" i="1"/>
  <c r="M1215" i="1"/>
  <c r="L1215" i="1"/>
  <c r="K1215" i="1"/>
  <c r="M1214" i="1"/>
  <c r="L1214" i="1"/>
  <c r="K1214" i="1"/>
  <c r="M1213" i="1"/>
  <c r="L1213" i="1"/>
  <c r="K1213" i="1"/>
  <c r="M1212" i="1"/>
  <c r="L1212" i="1"/>
  <c r="K1212" i="1"/>
  <c r="M1211" i="1"/>
  <c r="L1211" i="1"/>
  <c r="K1211" i="1"/>
  <c r="M1210" i="1"/>
  <c r="L1210" i="1"/>
  <c r="K1210" i="1"/>
  <c r="M1209" i="1"/>
  <c r="L1209" i="1"/>
  <c r="K1209" i="1"/>
  <c r="M1208" i="1"/>
  <c r="L1208" i="1"/>
  <c r="K1208" i="1"/>
  <c r="M1207" i="1"/>
  <c r="L1207" i="1"/>
  <c r="K1207" i="1"/>
  <c r="M1206" i="1"/>
  <c r="L1206" i="1"/>
  <c r="K1206" i="1"/>
  <c r="M1205" i="1"/>
  <c r="L1205" i="1"/>
  <c r="K1205" i="1"/>
  <c r="M1204" i="1"/>
  <c r="L1204" i="1"/>
  <c r="K1204" i="1"/>
  <c r="M1203" i="1"/>
  <c r="L1203" i="1"/>
  <c r="K1203" i="1"/>
  <c r="M1202" i="1"/>
  <c r="L1202" i="1"/>
  <c r="K1202" i="1"/>
  <c r="M1201" i="1"/>
  <c r="L1201" i="1"/>
  <c r="K1201" i="1"/>
  <c r="M1200" i="1"/>
  <c r="L1200" i="1"/>
  <c r="K1200" i="1"/>
  <c r="M1199" i="1"/>
  <c r="L1199" i="1"/>
  <c r="K1199" i="1"/>
  <c r="M1198" i="1"/>
  <c r="L1198" i="1"/>
  <c r="K1198" i="1"/>
  <c r="M1197" i="1"/>
  <c r="L1197" i="1"/>
  <c r="K1197" i="1"/>
  <c r="M1196" i="1"/>
  <c r="L1196" i="1"/>
  <c r="K1196" i="1"/>
  <c r="M1195" i="1"/>
  <c r="L1195" i="1"/>
  <c r="K1195" i="1"/>
  <c r="M1194" i="1"/>
  <c r="L1194" i="1"/>
  <c r="K1194" i="1"/>
  <c r="M1193" i="1"/>
  <c r="L1193" i="1"/>
  <c r="K1193" i="1"/>
  <c r="M1192" i="1"/>
  <c r="L1192" i="1"/>
  <c r="K1192" i="1"/>
  <c r="M1191" i="1"/>
  <c r="L1191" i="1"/>
  <c r="K1191" i="1"/>
  <c r="M1190" i="1"/>
  <c r="L1190" i="1"/>
  <c r="K1190" i="1"/>
  <c r="M1189" i="1"/>
  <c r="L1189" i="1"/>
  <c r="K1189" i="1"/>
  <c r="M1188" i="1"/>
  <c r="L1188" i="1"/>
  <c r="K1188" i="1"/>
  <c r="M1187" i="1"/>
  <c r="L1187" i="1"/>
  <c r="K1187" i="1"/>
  <c r="M1186" i="1"/>
  <c r="L1186" i="1"/>
  <c r="K1186" i="1"/>
  <c r="M1185" i="1"/>
  <c r="L1185" i="1"/>
  <c r="K1185" i="1"/>
  <c r="M1184" i="1"/>
  <c r="L1184" i="1"/>
  <c r="K1184" i="1"/>
  <c r="M1183" i="1"/>
  <c r="L1183" i="1"/>
  <c r="K1183" i="1"/>
  <c r="M1182" i="1"/>
  <c r="L1182" i="1"/>
  <c r="K1182" i="1"/>
  <c r="M1181" i="1"/>
  <c r="L1181" i="1"/>
  <c r="K1181" i="1"/>
  <c r="M1180" i="1"/>
  <c r="L1180" i="1"/>
  <c r="K1180" i="1"/>
  <c r="M1179" i="1"/>
  <c r="L1179" i="1"/>
  <c r="K1179" i="1"/>
  <c r="M1178" i="1"/>
  <c r="L1178" i="1"/>
  <c r="K1178" i="1"/>
  <c r="M1177" i="1"/>
  <c r="L1177" i="1"/>
  <c r="K1177" i="1"/>
  <c r="M1176" i="1"/>
  <c r="L1176" i="1"/>
  <c r="K1176" i="1"/>
  <c r="M1175" i="1"/>
  <c r="L1175" i="1"/>
  <c r="K1175" i="1"/>
  <c r="M1174" i="1"/>
  <c r="L1174" i="1"/>
  <c r="K1174" i="1"/>
  <c r="M1173" i="1"/>
  <c r="L1173" i="1"/>
  <c r="K1173" i="1"/>
  <c r="M1172" i="1"/>
  <c r="L1172" i="1"/>
  <c r="K1172" i="1"/>
  <c r="M1171" i="1"/>
  <c r="L1171" i="1"/>
  <c r="K1171" i="1"/>
  <c r="M1170" i="1"/>
  <c r="L1170" i="1"/>
  <c r="K1170" i="1"/>
  <c r="M1169" i="1"/>
  <c r="L1169" i="1"/>
  <c r="K1169" i="1"/>
  <c r="M1168" i="1"/>
  <c r="L1168" i="1"/>
  <c r="K1168" i="1"/>
  <c r="M1167" i="1"/>
  <c r="L1167" i="1"/>
  <c r="K1167" i="1"/>
  <c r="M1166" i="1"/>
  <c r="L1166" i="1"/>
  <c r="K1166" i="1"/>
  <c r="M1165" i="1"/>
  <c r="L1165" i="1"/>
  <c r="K1165" i="1"/>
  <c r="M1164" i="1"/>
  <c r="L1164" i="1"/>
  <c r="K1164" i="1"/>
  <c r="M1163" i="1"/>
  <c r="L1163" i="1"/>
  <c r="K1163" i="1"/>
  <c r="M1162" i="1"/>
  <c r="L1162" i="1"/>
  <c r="K1162" i="1"/>
  <c r="M1161" i="1"/>
  <c r="L1161" i="1"/>
  <c r="K1161" i="1"/>
  <c r="M1160" i="1"/>
  <c r="L1160" i="1"/>
  <c r="K1160" i="1"/>
  <c r="M1159" i="1"/>
  <c r="L1159" i="1"/>
  <c r="K1159" i="1"/>
  <c r="M1158" i="1"/>
  <c r="L1158" i="1"/>
  <c r="K1158" i="1"/>
  <c r="M1157" i="1"/>
  <c r="L1157" i="1"/>
  <c r="K1157" i="1"/>
  <c r="M1156" i="1"/>
  <c r="L1156" i="1"/>
  <c r="K1156" i="1"/>
  <c r="M1155" i="1"/>
  <c r="L1155" i="1"/>
  <c r="K1155" i="1"/>
  <c r="M1154" i="1"/>
  <c r="L1154" i="1"/>
  <c r="K1154" i="1"/>
  <c r="M1153" i="1"/>
  <c r="L1153" i="1"/>
  <c r="K1153" i="1"/>
  <c r="M1152" i="1"/>
  <c r="L1152" i="1"/>
  <c r="K1152" i="1"/>
  <c r="M1151" i="1"/>
  <c r="L1151" i="1"/>
  <c r="K1151" i="1"/>
  <c r="M1150" i="1"/>
  <c r="L1150" i="1"/>
  <c r="K1150" i="1"/>
  <c r="M1149" i="1"/>
  <c r="L1149" i="1"/>
  <c r="K1149" i="1"/>
  <c r="M1148" i="1"/>
  <c r="L1148" i="1"/>
  <c r="K1148" i="1"/>
  <c r="M1147" i="1"/>
  <c r="L1147" i="1"/>
  <c r="K1147" i="1"/>
  <c r="M1146" i="1"/>
  <c r="L1146" i="1"/>
  <c r="K1146" i="1"/>
  <c r="M1145" i="1"/>
  <c r="L1145" i="1"/>
  <c r="K1145" i="1"/>
  <c r="M1144" i="1"/>
  <c r="L1144" i="1"/>
  <c r="K1144" i="1"/>
  <c r="M1143" i="1"/>
  <c r="L1143" i="1"/>
  <c r="K1143" i="1"/>
  <c r="M1142" i="1"/>
  <c r="L1142" i="1"/>
  <c r="K1142" i="1"/>
  <c r="M1141" i="1"/>
  <c r="L1141" i="1"/>
  <c r="K1141" i="1"/>
  <c r="M1140" i="1"/>
  <c r="L1140" i="1"/>
  <c r="K1140" i="1"/>
  <c r="M1139" i="1"/>
  <c r="L1139" i="1"/>
  <c r="K1139" i="1"/>
  <c r="M1138" i="1"/>
  <c r="L1138" i="1"/>
  <c r="K1138" i="1"/>
  <c r="M1137" i="1"/>
  <c r="L1137" i="1"/>
  <c r="K1137" i="1"/>
  <c r="M1136" i="1"/>
  <c r="L1136" i="1"/>
  <c r="K1136" i="1"/>
  <c r="M1135" i="1"/>
  <c r="L1135" i="1"/>
  <c r="K1135" i="1"/>
  <c r="M1134" i="1"/>
  <c r="L1134" i="1"/>
  <c r="K1134" i="1"/>
  <c r="M1133" i="1"/>
  <c r="L1133" i="1"/>
  <c r="K1133" i="1"/>
  <c r="M1132" i="1"/>
  <c r="L1132" i="1"/>
  <c r="K1132" i="1"/>
  <c r="M1131" i="1"/>
  <c r="L1131" i="1"/>
  <c r="K1131" i="1"/>
  <c r="M1130" i="1"/>
  <c r="L1130" i="1"/>
  <c r="K1130" i="1"/>
  <c r="M1129" i="1"/>
  <c r="L1129" i="1"/>
  <c r="K1129" i="1"/>
  <c r="M1128" i="1"/>
  <c r="L1128" i="1"/>
  <c r="K1128" i="1"/>
  <c r="M1127" i="1"/>
  <c r="L1127" i="1"/>
  <c r="K1127" i="1"/>
  <c r="M1126" i="1"/>
  <c r="L1126" i="1"/>
  <c r="K1126" i="1"/>
  <c r="M1125" i="1"/>
  <c r="L1125" i="1"/>
  <c r="K1125" i="1"/>
  <c r="M1124" i="1"/>
  <c r="L1124" i="1"/>
  <c r="K1124" i="1"/>
  <c r="M1123" i="1"/>
  <c r="L1123" i="1"/>
  <c r="K1123" i="1"/>
  <c r="M1122" i="1"/>
  <c r="L1122" i="1"/>
  <c r="K1122" i="1"/>
  <c r="M1121" i="1"/>
  <c r="L1121" i="1"/>
  <c r="K1121" i="1"/>
  <c r="M1120" i="1"/>
  <c r="L1120" i="1"/>
  <c r="K1120" i="1"/>
  <c r="M1119" i="1"/>
  <c r="L1119" i="1"/>
  <c r="K1119" i="1"/>
  <c r="M1118" i="1"/>
  <c r="L1118" i="1"/>
  <c r="K1118" i="1"/>
  <c r="M1117" i="1"/>
  <c r="L1117" i="1"/>
  <c r="K1117" i="1"/>
  <c r="M1116" i="1"/>
  <c r="L1116" i="1"/>
  <c r="K1116" i="1"/>
  <c r="M1115" i="1"/>
  <c r="L1115" i="1"/>
  <c r="K1115" i="1"/>
  <c r="M1114" i="1"/>
  <c r="L1114" i="1"/>
  <c r="K1114" i="1"/>
  <c r="M1113" i="1"/>
  <c r="L1113" i="1"/>
  <c r="K1113" i="1"/>
  <c r="M1112" i="1"/>
  <c r="L1112" i="1"/>
  <c r="K1112" i="1"/>
  <c r="M1111" i="1"/>
  <c r="L1111" i="1"/>
  <c r="K1111" i="1"/>
  <c r="M1110" i="1"/>
  <c r="L1110" i="1"/>
  <c r="K1110" i="1"/>
  <c r="M1109" i="1"/>
  <c r="L1109" i="1"/>
  <c r="K1109" i="1"/>
  <c r="M1108" i="1"/>
  <c r="L1108" i="1"/>
  <c r="K1108" i="1"/>
  <c r="M1107" i="1"/>
  <c r="L1107" i="1"/>
  <c r="K1107" i="1"/>
  <c r="M1106" i="1"/>
  <c r="L1106" i="1"/>
  <c r="K1106" i="1"/>
  <c r="M1105" i="1"/>
  <c r="L1105" i="1"/>
  <c r="K1105" i="1"/>
  <c r="M1104" i="1"/>
  <c r="L1104" i="1"/>
  <c r="K1104" i="1"/>
  <c r="M1103" i="1"/>
  <c r="L1103" i="1"/>
  <c r="K1103" i="1"/>
  <c r="M1102" i="1"/>
  <c r="L1102" i="1"/>
  <c r="K1102" i="1"/>
  <c r="M1101" i="1"/>
  <c r="L1101" i="1"/>
  <c r="K1101" i="1"/>
  <c r="M1100" i="1"/>
  <c r="L1100" i="1"/>
  <c r="K1100" i="1"/>
  <c r="M1099" i="1"/>
  <c r="L1099" i="1"/>
  <c r="K1099" i="1"/>
  <c r="M1098" i="1"/>
  <c r="L1098" i="1"/>
  <c r="K1098" i="1"/>
  <c r="M1097" i="1"/>
  <c r="L1097" i="1"/>
  <c r="K1097" i="1"/>
  <c r="M1096" i="1"/>
  <c r="L1096" i="1"/>
  <c r="K1096" i="1"/>
  <c r="M1095" i="1"/>
  <c r="L1095" i="1"/>
  <c r="K1095" i="1"/>
  <c r="M1094" i="1"/>
  <c r="L1094" i="1"/>
  <c r="K1094" i="1"/>
  <c r="M1093" i="1"/>
  <c r="L1093" i="1"/>
  <c r="K1093" i="1"/>
  <c r="M1092" i="1"/>
  <c r="L1092" i="1"/>
  <c r="K1092" i="1"/>
  <c r="M1091" i="1"/>
  <c r="L1091" i="1"/>
  <c r="K1091" i="1"/>
  <c r="M1090" i="1"/>
  <c r="L1090" i="1"/>
  <c r="K1090" i="1"/>
  <c r="M1089" i="1"/>
  <c r="L1089" i="1"/>
  <c r="K1089" i="1"/>
  <c r="M1088" i="1"/>
  <c r="L1088" i="1"/>
  <c r="K1088" i="1"/>
  <c r="M1087" i="1"/>
  <c r="L1087" i="1"/>
  <c r="K1087" i="1"/>
  <c r="M1086" i="1"/>
  <c r="L1086" i="1"/>
  <c r="K1086" i="1"/>
  <c r="M1085" i="1"/>
  <c r="L1085" i="1"/>
  <c r="K1085" i="1"/>
  <c r="M1084" i="1"/>
  <c r="L1084" i="1"/>
  <c r="K1084" i="1"/>
  <c r="M1083" i="1"/>
  <c r="L1083" i="1"/>
  <c r="K1083" i="1"/>
  <c r="M1082" i="1"/>
  <c r="L1082" i="1"/>
  <c r="K1082" i="1"/>
  <c r="M1081" i="1"/>
  <c r="L1081" i="1"/>
  <c r="K1081" i="1"/>
  <c r="M1080" i="1"/>
  <c r="L1080" i="1"/>
  <c r="K1080" i="1"/>
  <c r="M1079" i="1"/>
  <c r="L1079" i="1"/>
  <c r="K1079" i="1"/>
  <c r="M1078" i="1"/>
  <c r="L1078" i="1"/>
  <c r="K1078" i="1"/>
  <c r="M1077" i="1"/>
  <c r="L1077" i="1"/>
  <c r="K1077" i="1"/>
  <c r="M1076" i="1"/>
  <c r="L1076" i="1"/>
  <c r="K1076" i="1"/>
  <c r="M1075" i="1"/>
  <c r="L1075" i="1"/>
  <c r="K1075" i="1"/>
  <c r="M1074" i="1"/>
  <c r="L1074" i="1"/>
  <c r="K1074" i="1"/>
  <c r="M1073" i="1"/>
  <c r="L1073" i="1"/>
  <c r="K1073" i="1"/>
  <c r="M1072" i="1"/>
  <c r="L1072" i="1"/>
  <c r="K1072" i="1"/>
  <c r="M1071" i="1"/>
  <c r="L1071" i="1"/>
  <c r="K1071" i="1"/>
  <c r="M1070" i="1"/>
  <c r="L1070" i="1"/>
  <c r="K1070" i="1"/>
  <c r="M1069" i="1"/>
  <c r="L1069" i="1"/>
  <c r="K1069" i="1"/>
  <c r="M1068" i="1"/>
  <c r="L1068" i="1"/>
  <c r="K1068" i="1"/>
  <c r="M1067" i="1"/>
  <c r="L1067" i="1"/>
  <c r="K1067" i="1"/>
  <c r="M1066" i="1"/>
  <c r="L1066" i="1"/>
  <c r="K1066" i="1"/>
  <c r="M1065" i="1"/>
  <c r="L1065" i="1"/>
  <c r="K1065" i="1"/>
  <c r="M1064" i="1"/>
  <c r="L1064" i="1"/>
  <c r="K1064" i="1"/>
  <c r="M1063" i="1"/>
  <c r="L1063" i="1"/>
  <c r="K1063" i="1"/>
  <c r="M1062" i="1"/>
  <c r="L1062" i="1"/>
  <c r="K1062" i="1"/>
  <c r="M1061" i="1"/>
  <c r="L1061" i="1"/>
  <c r="K1061" i="1"/>
  <c r="M1060" i="1"/>
  <c r="L1060" i="1"/>
  <c r="K1060" i="1"/>
  <c r="M1059" i="1"/>
  <c r="L1059" i="1"/>
  <c r="K1059" i="1"/>
  <c r="M1058" i="1"/>
  <c r="L1058" i="1"/>
  <c r="K1058" i="1"/>
  <c r="M1057" i="1"/>
  <c r="L1057" i="1"/>
  <c r="K1057" i="1"/>
  <c r="M1056" i="1"/>
  <c r="L1056" i="1"/>
  <c r="K1056" i="1"/>
  <c r="M1055" i="1"/>
  <c r="L1055" i="1"/>
  <c r="K1055" i="1"/>
  <c r="M1054" i="1"/>
  <c r="L1054" i="1"/>
  <c r="K1054" i="1"/>
  <c r="M1053" i="1"/>
  <c r="L1053" i="1"/>
  <c r="K1053" i="1"/>
  <c r="M1052" i="1"/>
  <c r="L1052" i="1"/>
  <c r="K1052" i="1"/>
  <c r="M1051" i="1"/>
  <c r="L1051" i="1"/>
  <c r="K1051" i="1"/>
  <c r="M1050" i="1"/>
  <c r="L1050" i="1"/>
  <c r="K1050" i="1"/>
  <c r="M1049" i="1"/>
  <c r="L1049" i="1"/>
  <c r="K1049" i="1"/>
  <c r="M1048" i="1"/>
  <c r="L1048" i="1"/>
  <c r="K1048" i="1"/>
  <c r="M1047" i="1"/>
  <c r="L1047" i="1"/>
  <c r="K1047" i="1"/>
  <c r="M1046" i="1"/>
  <c r="L1046" i="1"/>
  <c r="K1046" i="1"/>
  <c r="M1045" i="1"/>
  <c r="L1045" i="1"/>
  <c r="K1045" i="1"/>
  <c r="M1044" i="1"/>
  <c r="L1044" i="1"/>
  <c r="K1044" i="1"/>
  <c r="M1043" i="1"/>
  <c r="L1043" i="1"/>
  <c r="K1043" i="1"/>
  <c r="M1042" i="1"/>
  <c r="L1042" i="1"/>
  <c r="K1042" i="1"/>
  <c r="M1041" i="1"/>
  <c r="L1041" i="1"/>
  <c r="K1041" i="1"/>
  <c r="M1040" i="1"/>
  <c r="L1040" i="1"/>
  <c r="K1040" i="1"/>
  <c r="M1039" i="1"/>
  <c r="L1039" i="1"/>
  <c r="K1039" i="1"/>
  <c r="M1038" i="1"/>
  <c r="L1038" i="1"/>
  <c r="K1038" i="1"/>
  <c r="M1037" i="1"/>
  <c r="L1037" i="1"/>
  <c r="K1037" i="1"/>
  <c r="M1036" i="1"/>
  <c r="L1036" i="1"/>
  <c r="K1036" i="1"/>
  <c r="M1035" i="1"/>
  <c r="L1035" i="1"/>
  <c r="K1035" i="1"/>
  <c r="M1034" i="1"/>
  <c r="L1034" i="1"/>
  <c r="K1034" i="1"/>
  <c r="M1033" i="1"/>
  <c r="L1033" i="1"/>
  <c r="K1033" i="1"/>
  <c r="M1032" i="1"/>
  <c r="L1032" i="1"/>
  <c r="K1032" i="1"/>
  <c r="M1031" i="1"/>
  <c r="L1031" i="1"/>
  <c r="K1031" i="1"/>
  <c r="M1030" i="1"/>
  <c r="L1030" i="1"/>
  <c r="K1030" i="1"/>
  <c r="M1029" i="1"/>
  <c r="L1029" i="1"/>
  <c r="K1029" i="1"/>
  <c r="M1028" i="1"/>
  <c r="L1028" i="1"/>
  <c r="K1028" i="1"/>
  <c r="M1027" i="1"/>
  <c r="L1027" i="1"/>
  <c r="K1027" i="1"/>
  <c r="M1026" i="1"/>
  <c r="L1026" i="1"/>
  <c r="K1026" i="1"/>
  <c r="M1025" i="1"/>
  <c r="L1025" i="1"/>
  <c r="K1025" i="1"/>
  <c r="M1024" i="1"/>
  <c r="L1024" i="1"/>
  <c r="K1024" i="1"/>
  <c r="M1023" i="1"/>
  <c r="L1023" i="1"/>
  <c r="K1023" i="1"/>
  <c r="M1022" i="1"/>
  <c r="L1022" i="1"/>
  <c r="K1022" i="1"/>
  <c r="M1021" i="1"/>
  <c r="L1021" i="1"/>
  <c r="K1021" i="1"/>
  <c r="M1020" i="1"/>
  <c r="L1020" i="1"/>
  <c r="K1020" i="1"/>
  <c r="M1019" i="1"/>
  <c r="L1019" i="1"/>
  <c r="K1019" i="1"/>
  <c r="M1018" i="1"/>
  <c r="L1018" i="1"/>
  <c r="K1018" i="1"/>
  <c r="M1017" i="1"/>
  <c r="L1017" i="1"/>
  <c r="K1017" i="1"/>
  <c r="M1016" i="1"/>
  <c r="L1016" i="1"/>
  <c r="K1016" i="1"/>
  <c r="M1015" i="1"/>
  <c r="L1015" i="1"/>
  <c r="K1015" i="1"/>
  <c r="M1014" i="1"/>
  <c r="L1014" i="1"/>
  <c r="K1014" i="1"/>
  <c r="M1013" i="1"/>
  <c r="L1013" i="1"/>
  <c r="K1013" i="1"/>
  <c r="M1012" i="1"/>
  <c r="L1012" i="1"/>
  <c r="K1012" i="1"/>
  <c r="M1011" i="1"/>
  <c r="L1011" i="1"/>
  <c r="K1011" i="1"/>
  <c r="M1010" i="1"/>
  <c r="L1010" i="1"/>
  <c r="K1010" i="1"/>
  <c r="M1009" i="1"/>
  <c r="L1009" i="1"/>
  <c r="K1009" i="1"/>
  <c r="M1008" i="1"/>
  <c r="L1008" i="1"/>
  <c r="K1008" i="1"/>
  <c r="M1007" i="1"/>
  <c r="L1007" i="1"/>
  <c r="K1007" i="1"/>
  <c r="M1006" i="1"/>
  <c r="L1006" i="1"/>
  <c r="K1006" i="1"/>
  <c r="M1005" i="1"/>
  <c r="L1005" i="1"/>
  <c r="K1005" i="1"/>
  <c r="M1004" i="1"/>
  <c r="L1004" i="1"/>
  <c r="K1004" i="1"/>
  <c r="M1003" i="1"/>
  <c r="L1003" i="1"/>
  <c r="K1003" i="1"/>
  <c r="M1002" i="1"/>
  <c r="L1002" i="1"/>
  <c r="K1002" i="1"/>
  <c r="M1001" i="1"/>
  <c r="L1001" i="1"/>
  <c r="K1001" i="1"/>
  <c r="M1000" i="1"/>
  <c r="L1000" i="1"/>
  <c r="K1000" i="1"/>
  <c r="M999" i="1"/>
  <c r="L999" i="1"/>
  <c r="K999" i="1"/>
  <c r="M998" i="1"/>
  <c r="L998" i="1"/>
  <c r="K998" i="1"/>
  <c r="M997" i="1"/>
  <c r="L997" i="1"/>
  <c r="K997" i="1"/>
  <c r="M996" i="1"/>
  <c r="L996" i="1"/>
  <c r="K996" i="1"/>
  <c r="M995" i="1"/>
  <c r="L995" i="1"/>
  <c r="K995" i="1"/>
  <c r="M994" i="1"/>
  <c r="L994" i="1"/>
  <c r="K994" i="1"/>
  <c r="M993" i="1"/>
  <c r="L993" i="1"/>
  <c r="K993" i="1"/>
  <c r="M992" i="1"/>
  <c r="L992" i="1"/>
  <c r="K992" i="1"/>
  <c r="M991" i="1"/>
  <c r="L991" i="1"/>
  <c r="K991" i="1"/>
  <c r="M990" i="1"/>
  <c r="L990" i="1"/>
  <c r="K990" i="1"/>
  <c r="M989" i="1"/>
  <c r="L989" i="1"/>
  <c r="K989" i="1"/>
  <c r="M988" i="1"/>
  <c r="L988" i="1"/>
  <c r="K988" i="1"/>
  <c r="M987" i="1"/>
  <c r="L987" i="1"/>
  <c r="K987" i="1"/>
  <c r="M986" i="1"/>
  <c r="L986" i="1"/>
  <c r="K986" i="1"/>
  <c r="M985" i="1"/>
  <c r="L985" i="1"/>
  <c r="K985" i="1"/>
  <c r="M984" i="1"/>
  <c r="L984" i="1"/>
  <c r="K984" i="1"/>
  <c r="M983" i="1"/>
  <c r="L983" i="1"/>
  <c r="K983" i="1"/>
  <c r="M982" i="1"/>
  <c r="L982" i="1"/>
  <c r="K982" i="1"/>
  <c r="M981" i="1"/>
  <c r="L981" i="1"/>
  <c r="K981" i="1"/>
  <c r="M980" i="1"/>
  <c r="L980" i="1"/>
  <c r="K980" i="1"/>
  <c r="M979" i="1"/>
  <c r="L979" i="1"/>
  <c r="K979" i="1"/>
  <c r="M978" i="1"/>
  <c r="L978" i="1"/>
  <c r="K978" i="1"/>
  <c r="M977" i="1"/>
  <c r="L977" i="1"/>
  <c r="K977" i="1"/>
  <c r="M976" i="1"/>
  <c r="L976" i="1"/>
  <c r="K976" i="1"/>
  <c r="M975" i="1"/>
  <c r="L975" i="1"/>
  <c r="K975" i="1"/>
  <c r="M974" i="1"/>
  <c r="L974" i="1"/>
  <c r="K974" i="1"/>
  <c r="M973" i="1"/>
  <c r="L973" i="1"/>
  <c r="K973" i="1"/>
  <c r="M972" i="1"/>
  <c r="L972" i="1"/>
  <c r="K972" i="1"/>
  <c r="M971" i="1"/>
  <c r="L971" i="1"/>
  <c r="K971" i="1"/>
  <c r="M970" i="1"/>
  <c r="L970" i="1"/>
  <c r="K970" i="1"/>
  <c r="M969" i="1"/>
  <c r="L969" i="1"/>
  <c r="K969" i="1"/>
  <c r="M968" i="1"/>
  <c r="L968" i="1"/>
  <c r="K968" i="1"/>
  <c r="M967" i="1"/>
  <c r="L967" i="1"/>
  <c r="K967" i="1"/>
  <c r="M966" i="1"/>
  <c r="L966" i="1"/>
  <c r="K966" i="1"/>
  <c r="M965" i="1"/>
  <c r="L965" i="1"/>
  <c r="K965" i="1"/>
  <c r="M964" i="1"/>
  <c r="L964" i="1"/>
  <c r="K964" i="1"/>
  <c r="M963" i="1"/>
  <c r="L963" i="1"/>
  <c r="K963" i="1"/>
  <c r="M962" i="1"/>
  <c r="L962" i="1"/>
  <c r="K962" i="1"/>
  <c r="M961" i="1"/>
  <c r="L961" i="1"/>
  <c r="K961" i="1"/>
  <c r="M960" i="1"/>
  <c r="L960" i="1"/>
  <c r="K960" i="1"/>
  <c r="M959" i="1"/>
  <c r="L959" i="1"/>
  <c r="K959" i="1"/>
  <c r="M958" i="1"/>
  <c r="L958" i="1"/>
  <c r="K958" i="1"/>
  <c r="M957" i="1"/>
  <c r="L957" i="1"/>
  <c r="K957" i="1"/>
  <c r="M956" i="1"/>
  <c r="L956" i="1"/>
  <c r="K956" i="1"/>
  <c r="M955" i="1"/>
  <c r="L955" i="1"/>
  <c r="K955" i="1"/>
  <c r="M954" i="1"/>
  <c r="L954" i="1"/>
  <c r="K954" i="1"/>
  <c r="M953" i="1"/>
  <c r="L953" i="1"/>
  <c r="K953" i="1"/>
  <c r="M952" i="1"/>
  <c r="L952" i="1"/>
  <c r="K952" i="1"/>
  <c r="M951" i="1"/>
  <c r="L951" i="1"/>
  <c r="K951" i="1"/>
  <c r="M950" i="1"/>
  <c r="L950" i="1"/>
  <c r="K950" i="1"/>
  <c r="M949" i="1"/>
  <c r="L949" i="1"/>
  <c r="K949" i="1"/>
  <c r="M948" i="1"/>
  <c r="L948" i="1"/>
  <c r="K948" i="1"/>
  <c r="M947" i="1"/>
  <c r="L947" i="1"/>
  <c r="K947" i="1"/>
  <c r="M946" i="1"/>
  <c r="L946" i="1"/>
  <c r="K946" i="1"/>
  <c r="M945" i="1"/>
  <c r="L945" i="1"/>
  <c r="K945" i="1"/>
  <c r="M944" i="1"/>
  <c r="L944" i="1"/>
  <c r="K944" i="1"/>
  <c r="M943" i="1"/>
  <c r="L943" i="1"/>
  <c r="K943" i="1"/>
  <c r="M942" i="1"/>
  <c r="L942" i="1"/>
  <c r="K942" i="1"/>
  <c r="M941" i="1"/>
  <c r="L941" i="1"/>
  <c r="K941" i="1"/>
  <c r="M940" i="1"/>
  <c r="L940" i="1"/>
  <c r="K940" i="1"/>
  <c r="M939" i="1"/>
  <c r="L939" i="1"/>
  <c r="K939" i="1"/>
  <c r="M938" i="1"/>
  <c r="L938" i="1"/>
  <c r="K938" i="1"/>
  <c r="M937" i="1"/>
  <c r="L937" i="1"/>
  <c r="K937" i="1"/>
  <c r="M936" i="1"/>
  <c r="L936" i="1"/>
  <c r="K936" i="1"/>
  <c r="M935" i="1"/>
  <c r="L935" i="1"/>
  <c r="K935" i="1"/>
  <c r="M934" i="1"/>
  <c r="L934" i="1"/>
  <c r="K934" i="1"/>
  <c r="M933" i="1"/>
  <c r="L933" i="1"/>
  <c r="K933" i="1"/>
  <c r="M932" i="1"/>
  <c r="L932" i="1"/>
  <c r="K932" i="1"/>
  <c r="M931" i="1"/>
  <c r="L931" i="1"/>
  <c r="K931" i="1"/>
  <c r="M930" i="1"/>
  <c r="L930" i="1"/>
  <c r="K930" i="1"/>
  <c r="M929" i="1"/>
  <c r="L929" i="1"/>
  <c r="K929" i="1"/>
  <c r="M928" i="1"/>
  <c r="L928" i="1"/>
  <c r="K928" i="1"/>
  <c r="M927" i="1"/>
  <c r="L927" i="1"/>
  <c r="K927" i="1"/>
  <c r="M926" i="1"/>
  <c r="L926" i="1"/>
  <c r="K926" i="1"/>
  <c r="M925" i="1"/>
  <c r="L925" i="1"/>
  <c r="K925" i="1"/>
  <c r="M924" i="1"/>
  <c r="L924" i="1"/>
  <c r="K924" i="1"/>
  <c r="M923" i="1"/>
  <c r="L923" i="1"/>
  <c r="K923" i="1"/>
  <c r="M922" i="1"/>
  <c r="L922" i="1"/>
  <c r="K922" i="1"/>
  <c r="M921" i="1"/>
  <c r="L921" i="1"/>
  <c r="K921" i="1"/>
  <c r="M920" i="1"/>
  <c r="L920" i="1"/>
  <c r="K920" i="1"/>
  <c r="M919" i="1"/>
  <c r="L919" i="1"/>
  <c r="K919" i="1"/>
  <c r="M918" i="1"/>
  <c r="L918" i="1"/>
  <c r="K918" i="1"/>
  <c r="M917" i="1"/>
  <c r="L917" i="1"/>
  <c r="K917" i="1"/>
  <c r="M916" i="1"/>
  <c r="L916" i="1"/>
  <c r="K916" i="1"/>
  <c r="M915" i="1"/>
  <c r="L915" i="1"/>
  <c r="K915" i="1"/>
  <c r="M914" i="1"/>
  <c r="L914" i="1"/>
  <c r="K914" i="1"/>
  <c r="M913" i="1"/>
  <c r="L913" i="1"/>
  <c r="K913" i="1"/>
  <c r="M912" i="1"/>
  <c r="L912" i="1"/>
  <c r="K912" i="1"/>
  <c r="M911" i="1"/>
  <c r="L911" i="1"/>
  <c r="K911" i="1"/>
  <c r="M910" i="1"/>
  <c r="L910" i="1"/>
  <c r="K910" i="1"/>
  <c r="M909" i="1"/>
  <c r="L909" i="1"/>
  <c r="K909" i="1"/>
  <c r="M908" i="1"/>
  <c r="L908" i="1"/>
  <c r="K908" i="1"/>
  <c r="M907" i="1"/>
  <c r="L907" i="1"/>
  <c r="K907" i="1"/>
  <c r="M906" i="1"/>
  <c r="L906" i="1"/>
  <c r="K906" i="1"/>
  <c r="M905" i="1"/>
  <c r="L905" i="1"/>
  <c r="K905" i="1"/>
  <c r="M904" i="1"/>
  <c r="L904" i="1"/>
  <c r="K904" i="1"/>
  <c r="M903" i="1"/>
  <c r="L903" i="1"/>
  <c r="K903" i="1"/>
  <c r="M902" i="1"/>
  <c r="L902" i="1"/>
  <c r="K902" i="1"/>
  <c r="M901" i="1"/>
  <c r="L901" i="1"/>
  <c r="K901" i="1"/>
  <c r="M900" i="1"/>
  <c r="L900" i="1"/>
  <c r="K900" i="1"/>
  <c r="M899" i="1"/>
  <c r="L899" i="1"/>
  <c r="K899" i="1"/>
  <c r="M898" i="1"/>
  <c r="L898" i="1"/>
  <c r="K898" i="1"/>
  <c r="M897" i="1"/>
  <c r="L897" i="1"/>
  <c r="K897" i="1"/>
  <c r="M896" i="1"/>
  <c r="L896" i="1"/>
  <c r="K896" i="1"/>
  <c r="M895" i="1"/>
  <c r="L895" i="1"/>
  <c r="K895" i="1"/>
  <c r="M894" i="1"/>
  <c r="L894" i="1"/>
  <c r="K894" i="1"/>
  <c r="M893" i="1"/>
  <c r="L893" i="1"/>
  <c r="K893" i="1"/>
  <c r="M892" i="1"/>
  <c r="L892" i="1"/>
  <c r="K892" i="1"/>
  <c r="M891" i="1"/>
  <c r="L891" i="1"/>
  <c r="K891" i="1"/>
  <c r="M890" i="1"/>
  <c r="L890" i="1"/>
  <c r="K890" i="1"/>
  <c r="M889" i="1"/>
  <c r="L889" i="1"/>
  <c r="K889" i="1"/>
  <c r="M888" i="1"/>
  <c r="L888" i="1"/>
  <c r="K888" i="1"/>
  <c r="M887" i="1"/>
  <c r="L887" i="1"/>
  <c r="K887" i="1"/>
  <c r="M886" i="1"/>
  <c r="L886" i="1"/>
  <c r="K886" i="1"/>
  <c r="M885" i="1"/>
  <c r="L885" i="1"/>
  <c r="K885" i="1"/>
  <c r="M884" i="1"/>
  <c r="L884" i="1"/>
  <c r="K884" i="1"/>
  <c r="M883" i="1"/>
  <c r="L883" i="1"/>
  <c r="K883" i="1"/>
  <c r="M882" i="1"/>
  <c r="L882" i="1"/>
  <c r="K882" i="1"/>
  <c r="M881" i="1"/>
  <c r="L881" i="1"/>
  <c r="K881" i="1"/>
  <c r="M880" i="1"/>
  <c r="L880" i="1"/>
  <c r="K880" i="1"/>
  <c r="M879" i="1"/>
  <c r="L879" i="1"/>
  <c r="K879" i="1"/>
  <c r="M878" i="1"/>
  <c r="L878" i="1"/>
  <c r="K878" i="1"/>
  <c r="M877" i="1"/>
  <c r="L877" i="1"/>
  <c r="K877" i="1"/>
  <c r="M876" i="1"/>
  <c r="L876" i="1"/>
  <c r="K876" i="1"/>
  <c r="M875" i="1"/>
  <c r="L875" i="1"/>
  <c r="K875" i="1"/>
  <c r="M874" i="1"/>
  <c r="L874" i="1"/>
  <c r="K874" i="1"/>
  <c r="M873" i="1"/>
  <c r="L873" i="1"/>
  <c r="K873" i="1"/>
  <c r="M872" i="1"/>
  <c r="L872" i="1"/>
  <c r="K872" i="1"/>
  <c r="M871" i="1"/>
  <c r="L871" i="1"/>
  <c r="K871" i="1"/>
  <c r="M870" i="1"/>
  <c r="L870" i="1"/>
  <c r="K870" i="1"/>
  <c r="M869" i="1"/>
  <c r="L869" i="1"/>
  <c r="K869" i="1"/>
  <c r="M868" i="1"/>
  <c r="L868" i="1"/>
  <c r="K868" i="1"/>
  <c r="M867" i="1"/>
  <c r="L867" i="1"/>
  <c r="K867" i="1"/>
  <c r="M866" i="1"/>
  <c r="L866" i="1"/>
  <c r="K866" i="1"/>
  <c r="M865" i="1"/>
  <c r="L865" i="1"/>
  <c r="K865" i="1"/>
  <c r="M864" i="1"/>
  <c r="L864" i="1"/>
  <c r="K864" i="1"/>
  <c r="M863" i="1"/>
  <c r="L863" i="1"/>
  <c r="K863" i="1"/>
  <c r="M862" i="1"/>
  <c r="L862" i="1"/>
  <c r="K862" i="1"/>
  <c r="M861" i="1"/>
  <c r="L861" i="1"/>
  <c r="K861" i="1"/>
  <c r="M860" i="1"/>
  <c r="L860" i="1"/>
  <c r="K860" i="1"/>
  <c r="M859" i="1"/>
  <c r="L859" i="1"/>
  <c r="K859" i="1"/>
  <c r="M858" i="1"/>
  <c r="L858" i="1"/>
  <c r="K858" i="1"/>
  <c r="M857" i="1"/>
  <c r="L857" i="1"/>
  <c r="K857" i="1"/>
  <c r="M856" i="1"/>
  <c r="L856" i="1"/>
  <c r="K856" i="1"/>
  <c r="M855" i="1"/>
  <c r="L855" i="1"/>
  <c r="K855" i="1"/>
  <c r="M854" i="1"/>
  <c r="L854" i="1"/>
  <c r="K854" i="1"/>
  <c r="M853" i="1"/>
  <c r="L853" i="1"/>
  <c r="K853" i="1"/>
  <c r="M852" i="1"/>
  <c r="L852" i="1"/>
  <c r="K852" i="1"/>
  <c r="M851" i="1"/>
  <c r="L851" i="1"/>
  <c r="K851" i="1"/>
  <c r="M850" i="1"/>
  <c r="L850" i="1"/>
  <c r="K850" i="1"/>
  <c r="M849" i="1"/>
  <c r="L849" i="1"/>
  <c r="K849" i="1"/>
  <c r="M848" i="1"/>
  <c r="L848" i="1"/>
  <c r="K848" i="1"/>
  <c r="M847" i="1"/>
  <c r="L847" i="1"/>
  <c r="K847" i="1"/>
  <c r="M846" i="1"/>
  <c r="L846" i="1"/>
  <c r="K846" i="1"/>
  <c r="M845" i="1"/>
  <c r="L845" i="1"/>
  <c r="K845" i="1"/>
  <c r="M844" i="1"/>
  <c r="L844" i="1"/>
  <c r="K844" i="1"/>
  <c r="M843" i="1"/>
  <c r="L843" i="1"/>
  <c r="K843" i="1"/>
  <c r="M842" i="1"/>
  <c r="L842" i="1"/>
  <c r="K842" i="1"/>
  <c r="M841" i="1"/>
  <c r="L841" i="1"/>
  <c r="K841" i="1"/>
  <c r="M840" i="1"/>
  <c r="L840" i="1"/>
  <c r="K840" i="1"/>
  <c r="M839" i="1"/>
  <c r="L839" i="1"/>
  <c r="K839" i="1"/>
  <c r="M838" i="1"/>
  <c r="L838" i="1"/>
  <c r="K838" i="1"/>
  <c r="M837" i="1"/>
  <c r="L837" i="1"/>
  <c r="K837" i="1"/>
  <c r="M836" i="1"/>
  <c r="L836" i="1"/>
  <c r="K836" i="1"/>
  <c r="M835" i="1"/>
  <c r="L835" i="1"/>
  <c r="K835" i="1"/>
  <c r="M834" i="1"/>
  <c r="L834" i="1"/>
  <c r="K834" i="1"/>
  <c r="M833" i="1"/>
  <c r="L833" i="1"/>
  <c r="K833" i="1"/>
  <c r="M832" i="1"/>
  <c r="L832" i="1"/>
  <c r="K832" i="1"/>
  <c r="M831" i="1"/>
  <c r="L831" i="1"/>
  <c r="K831" i="1"/>
  <c r="M830" i="1"/>
  <c r="L830" i="1"/>
  <c r="K830" i="1"/>
  <c r="M829" i="1"/>
  <c r="L829" i="1"/>
  <c r="K829" i="1"/>
  <c r="M828" i="1"/>
  <c r="L828" i="1"/>
  <c r="K828" i="1"/>
  <c r="M827" i="1"/>
  <c r="L827" i="1"/>
  <c r="K827" i="1"/>
  <c r="M826" i="1"/>
  <c r="L826" i="1"/>
  <c r="K826" i="1"/>
  <c r="M825" i="1"/>
  <c r="L825" i="1"/>
  <c r="K825" i="1"/>
  <c r="M824" i="1"/>
  <c r="L824" i="1"/>
  <c r="K824" i="1"/>
  <c r="M823" i="1"/>
  <c r="L823" i="1"/>
  <c r="K823" i="1"/>
  <c r="M822" i="1"/>
  <c r="L822" i="1"/>
  <c r="K822" i="1"/>
  <c r="M821" i="1"/>
  <c r="L821" i="1"/>
  <c r="K821" i="1"/>
  <c r="M820" i="1"/>
  <c r="L820" i="1"/>
  <c r="K820" i="1"/>
  <c r="M819" i="1"/>
  <c r="L819" i="1"/>
  <c r="K819" i="1"/>
  <c r="M818" i="1"/>
  <c r="L818" i="1"/>
  <c r="K818" i="1"/>
  <c r="M817" i="1"/>
  <c r="L817" i="1"/>
  <c r="K817" i="1"/>
  <c r="M816" i="1"/>
  <c r="L816" i="1"/>
  <c r="K816" i="1"/>
  <c r="M815" i="1"/>
  <c r="L815" i="1"/>
  <c r="K815" i="1"/>
  <c r="M814" i="1"/>
  <c r="L814" i="1"/>
  <c r="K814" i="1"/>
  <c r="M813" i="1"/>
  <c r="L813" i="1"/>
  <c r="K813" i="1"/>
  <c r="M812" i="1"/>
  <c r="L812" i="1"/>
  <c r="K812" i="1"/>
  <c r="M811" i="1"/>
  <c r="L811" i="1"/>
  <c r="K811" i="1"/>
  <c r="M810" i="1"/>
  <c r="L810" i="1"/>
  <c r="K810" i="1"/>
  <c r="M809" i="1"/>
  <c r="L809" i="1"/>
  <c r="K809" i="1"/>
  <c r="M808" i="1"/>
  <c r="L808" i="1"/>
  <c r="K808" i="1"/>
  <c r="M807" i="1"/>
  <c r="L807" i="1"/>
  <c r="K807" i="1"/>
  <c r="M806" i="1"/>
  <c r="L806" i="1"/>
  <c r="K806" i="1"/>
  <c r="M805" i="1"/>
  <c r="L805" i="1"/>
  <c r="K805" i="1"/>
  <c r="M804" i="1"/>
  <c r="L804" i="1"/>
  <c r="K804" i="1"/>
  <c r="M803" i="1"/>
  <c r="L803" i="1"/>
  <c r="K803" i="1"/>
  <c r="M802" i="1"/>
  <c r="L802" i="1"/>
  <c r="K802" i="1"/>
  <c r="M801" i="1"/>
  <c r="L801" i="1"/>
  <c r="K801" i="1"/>
  <c r="M800" i="1"/>
  <c r="L800" i="1"/>
  <c r="K800" i="1"/>
  <c r="M799" i="1"/>
  <c r="L799" i="1"/>
  <c r="K799" i="1"/>
  <c r="M798" i="1"/>
  <c r="L798" i="1"/>
  <c r="K798" i="1"/>
  <c r="M797" i="1"/>
  <c r="L797" i="1"/>
  <c r="K797" i="1"/>
  <c r="M796" i="1"/>
  <c r="L796" i="1"/>
  <c r="K796" i="1"/>
  <c r="M795" i="1"/>
  <c r="L795" i="1"/>
  <c r="K795" i="1"/>
  <c r="M794" i="1"/>
  <c r="L794" i="1"/>
  <c r="K794" i="1"/>
  <c r="M793" i="1"/>
  <c r="L793" i="1"/>
  <c r="K793" i="1"/>
  <c r="M792" i="1"/>
  <c r="L792" i="1"/>
  <c r="K792" i="1"/>
  <c r="M791" i="1"/>
  <c r="L791" i="1"/>
  <c r="K791" i="1"/>
  <c r="M790" i="1"/>
  <c r="L790" i="1"/>
  <c r="K790" i="1"/>
  <c r="M789" i="1"/>
  <c r="L789" i="1"/>
  <c r="K789" i="1"/>
  <c r="M788" i="1"/>
  <c r="L788" i="1"/>
  <c r="K788" i="1"/>
  <c r="M787" i="1"/>
  <c r="L787" i="1"/>
  <c r="K787" i="1"/>
  <c r="M786" i="1"/>
  <c r="L786" i="1"/>
  <c r="K786" i="1"/>
  <c r="M785" i="1"/>
  <c r="L785" i="1"/>
  <c r="K785" i="1"/>
  <c r="M784" i="1"/>
  <c r="L784" i="1"/>
  <c r="K784" i="1"/>
  <c r="M783" i="1"/>
  <c r="L783" i="1"/>
  <c r="K783" i="1"/>
  <c r="M782" i="1"/>
  <c r="L782" i="1"/>
  <c r="K782" i="1"/>
  <c r="M781" i="1"/>
  <c r="L781" i="1"/>
  <c r="K781" i="1"/>
  <c r="M780" i="1"/>
  <c r="L780" i="1"/>
  <c r="K780" i="1"/>
  <c r="M779" i="1"/>
  <c r="L779" i="1"/>
  <c r="K779" i="1"/>
  <c r="M778" i="1"/>
  <c r="L778" i="1"/>
  <c r="K778" i="1"/>
  <c r="M777" i="1"/>
  <c r="L777" i="1"/>
  <c r="K777" i="1"/>
  <c r="M776" i="1"/>
  <c r="L776" i="1"/>
  <c r="K776" i="1"/>
  <c r="M775" i="1"/>
  <c r="L775" i="1"/>
  <c r="K775" i="1"/>
  <c r="M774" i="1"/>
  <c r="L774" i="1"/>
  <c r="K774" i="1"/>
  <c r="M773" i="1"/>
  <c r="L773" i="1"/>
  <c r="K773" i="1"/>
  <c r="M772" i="1"/>
  <c r="L772" i="1"/>
  <c r="K772" i="1"/>
  <c r="M771" i="1"/>
  <c r="L771" i="1"/>
  <c r="K771" i="1"/>
  <c r="M770" i="1"/>
  <c r="L770" i="1"/>
  <c r="K770" i="1"/>
  <c r="M769" i="1"/>
  <c r="L769" i="1"/>
  <c r="K769" i="1"/>
  <c r="M768" i="1"/>
  <c r="L768" i="1"/>
  <c r="K768" i="1"/>
  <c r="M767" i="1"/>
  <c r="L767" i="1"/>
  <c r="K767" i="1"/>
  <c r="M766" i="1"/>
  <c r="L766" i="1"/>
  <c r="K766" i="1"/>
  <c r="M765" i="1"/>
  <c r="L765" i="1"/>
  <c r="K765" i="1"/>
  <c r="M764" i="1"/>
  <c r="L764" i="1"/>
  <c r="K764" i="1"/>
  <c r="M763" i="1"/>
  <c r="L763" i="1"/>
  <c r="K763" i="1"/>
  <c r="M762" i="1"/>
  <c r="L762" i="1"/>
  <c r="K762" i="1"/>
  <c r="M761" i="1"/>
  <c r="L761" i="1"/>
  <c r="K761" i="1"/>
  <c r="M760" i="1"/>
  <c r="L760" i="1"/>
  <c r="K760" i="1"/>
  <c r="M759" i="1"/>
  <c r="L759" i="1"/>
  <c r="K759" i="1"/>
  <c r="M758" i="1"/>
  <c r="L758" i="1"/>
  <c r="K758" i="1"/>
  <c r="M757" i="1"/>
  <c r="L757" i="1"/>
  <c r="K757" i="1"/>
  <c r="M756" i="1"/>
  <c r="L756" i="1"/>
  <c r="K756" i="1"/>
  <c r="M755" i="1"/>
  <c r="L755" i="1"/>
  <c r="K755" i="1"/>
  <c r="M754" i="1"/>
  <c r="L754" i="1"/>
  <c r="K754" i="1"/>
  <c r="M753" i="1"/>
  <c r="L753" i="1"/>
  <c r="K753" i="1"/>
  <c r="M752" i="1"/>
  <c r="L752" i="1"/>
  <c r="K752" i="1"/>
  <c r="M751" i="1"/>
  <c r="L751" i="1"/>
  <c r="K751" i="1"/>
  <c r="M750" i="1"/>
  <c r="L750" i="1"/>
  <c r="K750" i="1"/>
  <c r="M749" i="1"/>
  <c r="L749" i="1"/>
  <c r="K749" i="1"/>
  <c r="M748" i="1"/>
  <c r="L748" i="1"/>
  <c r="K748" i="1"/>
  <c r="M747" i="1"/>
  <c r="L747" i="1"/>
  <c r="K747" i="1"/>
  <c r="M746" i="1"/>
  <c r="L746" i="1"/>
  <c r="K746" i="1"/>
  <c r="M745" i="1"/>
  <c r="L745" i="1"/>
  <c r="K745" i="1"/>
  <c r="M744" i="1"/>
  <c r="L744" i="1"/>
  <c r="K744" i="1"/>
  <c r="M743" i="1"/>
  <c r="L743" i="1"/>
  <c r="K743" i="1"/>
  <c r="M742" i="1"/>
  <c r="L742" i="1"/>
  <c r="K742" i="1"/>
  <c r="M741" i="1"/>
  <c r="L741" i="1"/>
  <c r="K741" i="1"/>
  <c r="M740" i="1"/>
  <c r="L740" i="1"/>
  <c r="K740" i="1"/>
  <c r="M739" i="1"/>
  <c r="L739" i="1"/>
  <c r="K739" i="1"/>
  <c r="M738" i="1"/>
  <c r="L738" i="1"/>
  <c r="K738" i="1"/>
  <c r="M737" i="1"/>
  <c r="L737" i="1"/>
  <c r="K737" i="1"/>
  <c r="M736" i="1"/>
  <c r="L736" i="1"/>
  <c r="K736" i="1"/>
  <c r="M735" i="1"/>
  <c r="L735" i="1"/>
  <c r="K735" i="1"/>
  <c r="M734" i="1"/>
  <c r="L734" i="1"/>
  <c r="K734" i="1"/>
  <c r="M733" i="1"/>
  <c r="L733" i="1"/>
  <c r="K733" i="1"/>
  <c r="M732" i="1"/>
  <c r="L732" i="1"/>
  <c r="K732" i="1"/>
  <c r="M731" i="1"/>
  <c r="L731" i="1"/>
  <c r="K731" i="1"/>
  <c r="M730" i="1"/>
  <c r="L730" i="1"/>
  <c r="K730" i="1"/>
  <c r="M729" i="1"/>
  <c r="L729" i="1"/>
  <c r="K729" i="1"/>
  <c r="M728" i="1"/>
  <c r="L728" i="1"/>
  <c r="K728" i="1"/>
  <c r="M727" i="1"/>
  <c r="L727" i="1"/>
  <c r="K727" i="1"/>
  <c r="M726" i="1"/>
  <c r="L726" i="1"/>
  <c r="K726" i="1"/>
  <c r="M725" i="1"/>
  <c r="L725" i="1"/>
  <c r="K725" i="1"/>
  <c r="M724" i="1"/>
  <c r="L724" i="1"/>
  <c r="K724" i="1"/>
  <c r="M723" i="1"/>
  <c r="L723" i="1"/>
  <c r="K723" i="1"/>
  <c r="M722" i="1"/>
  <c r="L722" i="1"/>
  <c r="K722" i="1"/>
  <c r="M721" i="1"/>
  <c r="L721" i="1"/>
  <c r="K721" i="1"/>
  <c r="M720" i="1"/>
  <c r="L720" i="1"/>
  <c r="K720" i="1"/>
  <c r="M719" i="1"/>
  <c r="L719" i="1"/>
  <c r="K719" i="1"/>
  <c r="M718" i="1"/>
  <c r="L718" i="1"/>
  <c r="K718" i="1"/>
  <c r="M717" i="1"/>
  <c r="L717" i="1"/>
  <c r="K717" i="1"/>
  <c r="M716" i="1"/>
  <c r="L716" i="1"/>
  <c r="K716" i="1"/>
  <c r="M715" i="1"/>
  <c r="L715" i="1"/>
  <c r="K715" i="1"/>
  <c r="M714" i="1"/>
  <c r="L714" i="1"/>
  <c r="K714" i="1"/>
  <c r="M713" i="1"/>
  <c r="L713" i="1"/>
  <c r="K713" i="1"/>
  <c r="M712" i="1"/>
  <c r="L712" i="1"/>
  <c r="K712" i="1"/>
  <c r="M711" i="1"/>
  <c r="L711" i="1"/>
  <c r="K711" i="1"/>
  <c r="M710" i="1"/>
  <c r="L710" i="1"/>
  <c r="K710" i="1"/>
  <c r="M709" i="1"/>
  <c r="L709" i="1"/>
  <c r="K709" i="1"/>
  <c r="M708" i="1"/>
  <c r="L708" i="1"/>
  <c r="K708" i="1"/>
  <c r="M707" i="1"/>
  <c r="L707" i="1"/>
  <c r="K707" i="1"/>
  <c r="M706" i="1"/>
  <c r="L706" i="1"/>
  <c r="K706" i="1"/>
  <c r="M705" i="1"/>
  <c r="L705" i="1"/>
  <c r="K705" i="1"/>
  <c r="M704" i="1"/>
  <c r="L704" i="1"/>
  <c r="K704" i="1"/>
  <c r="M703" i="1"/>
  <c r="L703" i="1"/>
  <c r="K703" i="1"/>
  <c r="M702" i="1"/>
  <c r="L702" i="1"/>
  <c r="K702" i="1"/>
  <c r="M701" i="1"/>
  <c r="L701" i="1"/>
  <c r="K701" i="1"/>
  <c r="M700" i="1"/>
  <c r="L700" i="1"/>
  <c r="K700" i="1"/>
  <c r="M699" i="1"/>
  <c r="L699" i="1"/>
  <c r="K699" i="1"/>
  <c r="M698" i="1"/>
  <c r="L698" i="1"/>
  <c r="K698" i="1"/>
  <c r="M697" i="1"/>
  <c r="L697" i="1"/>
  <c r="K697" i="1"/>
  <c r="M696" i="1"/>
  <c r="L696" i="1"/>
  <c r="K69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M675" i="1"/>
  <c r="L675" i="1"/>
  <c r="K675" i="1"/>
  <c r="M674" i="1"/>
  <c r="L674" i="1"/>
  <c r="K674" i="1"/>
  <c r="M673" i="1"/>
  <c r="L673" i="1"/>
  <c r="K673" i="1"/>
  <c r="M672" i="1"/>
  <c r="L672" i="1"/>
  <c r="K672" i="1"/>
  <c r="M671" i="1"/>
  <c r="L671" i="1"/>
  <c r="K671" i="1"/>
  <c r="M670" i="1"/>
  <c r="L670" i="1"/>
  <c r="K670" i="1"/>
  <c r="M669" i="1"/>
  <c r="L669" i="1"/>
  <c r="K669" i="1"/>
  <c r="M668" i="1"/>
  <c r="L668" i="1"/>
  <c r="K668" i="1"/>
  <c r="M667" i="1"/>
  <c r="L667" i="1"/>
  <c r="K667" i="1"/>
  <c r="M666" i="1"/>
  <c r="L666" i="1"/>
  <c r="K666" i="1"/>
  <c r="M665" i="1"/>
  <c r="L665" i="1"/>
  <c r="K665" i="1"/>
  <c r="M664" i="1"/>
  <c r="L664" i="1"/>
  <c r="K664" i="1"/>
  <c r="M663" i="1"/>
  <c r="L663" i="1"/>
  <c r="K663" i="1"/>
  <c r="M662" i="1"/>
  <c r="L662" i="1"/>
  <c r="K662" i="1"/>
  <c r="M661" i="1"/>
  <c r="L661" i="1"/>
  <c r="K661" i="1"/>
  <c r="M660" i="1"/>
  <c r="L660" i="1"/>
  <c r="K660" i="1"/>
  <c r="M659" i="1"/>
  <c r="L659" i="1"/>
  <c r="K659" i="1"/>
  <c r="M658" i="1"/>
  <c r="L658" i="1"/>
  <c r="K658" i="1"/>
  <c r="M657" i="1"/>
  <c r="L657" i="1"/>
  <c r="K657" i="1"/>
  <c r="M656" i="1"/>
  <c r="L656" i="1"/>
  <c r="K656" i="1"/>
  <c r="M655" i="1"/>
  <c r="L655" i="1"/>
  <c r="K655" i="1"/>
  <c r="M654" i="1"/>
  <c r="L654" i="1"/>
  <c r="K654" i="1"/>
  <c r="M653" i="1"/>
  <c r="L653" i="1"/>
  <c r="K653" i="1"/>
  <c r="M652" i="1"/>
  <c r="L652" i="1"/>
  <c r="K652" i="1"/>
  <c r="M651" i="1"/>
  <c r="L651" i="1"/>
  <c r="K651" i="1"/>
  <c r="M650" i="1"/>
  <c r="L650" i="1"/>
  <c r="K650" i="1"/>
  <c r="M649" i="1"/>
  <c r="L649" i="1"/>
  <c r="K649" i="1"/>
  <c r="M648" i="1"/>
  <c r="L648" i="1"/>
  <c r="K648" i="1"/>
  <c r="M647" i="1"/>
  <c r="L647" i="1"/>
  <c r="K647" i="1"/>
  <c r="M646" i="1"/>
  <c r="L646" i="1"/>
  <c r="K646" i="1"/>
  <c r="M645" i="1"/>
  <c r="L645" i="1"/>
  <c r="K645" i="1"/>
  <c r="M644" i="1"/>
  <c r="L644" i="1"/>
  <c r="K644" i="1"/>
  <c r="M643" i="1"/>
  <c r="L643" i="1"/>
  <c r="K643" i="1"/>
  <c r="M642" i="1"/>
  <c r="L642" i="1"/>
  <c r="K642" i="1"/>
  <c r="M641" i="1"/>
  <c r="L641" i="1"/>
  <c r="K641" i="1"/>
  <c r="M640" i="1"/>
  <c r="L640" i="1"/>
  <c r="K640" i="1"/>
  <c r="M639" i="1"/>
  <c r="L639" i="1"/>
  <c r="K639" i="1"/>
  <c r="M638" i="1"/>
  <c r="L638" i="1"/>
  <c r="K638" i="1"/>
  <c r="M637" i="1"/>
  <c r="L637" i="1"/>
  <c r="K637" i="1"/>
  <c r="M636" i="1"/>
  <c r="L636" i="1"/>
  <c r="K636" i="1"/>
  <c r="M635" i="1"/>
  <c r="L635" i="1"/>
  <c r="K635" i="1"/>
  <c r="M634" i="1"/>
  <c r="L634" i="1"/>
  <c r="K634" i="1"/>
  <c r="M633" i="1"/>
  <c r="L633" i="1"/>
  <c r="K633" i="1"/>
  <c r="M632" i="1"/>
  <c r="L632" i="1"/>
  <c r="K632" i="1"/>
  <c r="M631" i="1"/>
  <c r="L631" i="1"/>
  <c r="K631" i="1"/>
  <c r="M630" i="1"/>
  <c r="L630" i="1"/>
  <c r="K630" i="1"/>
  <c r="M629" i="1"/>
  <c r="L629" i="1"/>
  <c r="K629" i="1"/>
  <c r="M628" i="1"/>
  <c r="L628" i="1"/>
  <c r="K628" i="1"/>
  <c r="M627" i="1"/>
  <c r="L627" i="1"/>
  <c r="K627" i="1"/>
  <c r="M626" i="1"/>
  <c r="L626" i="1"/>
  <c r="K626" i="1"/>
  <c r="M625" i="1"/>
  <c r="L625" i="1"/>
  <c r="K625" i="1"/>
  <c r="M624" i="1"/>
  <c r="L624" i="1"/>
  <c r="K624" i="1"/>
  <c r="M623" i="1"/>
  <c r="L623" i="1"/>
  <c r="K623" i="1"/>
  <c r="M622" i="1"/>
  <c r="L622" i="1"/>
  <c r="K622" i="1"/>
  <c r="M621" i="1"/>
  <c r="L621" i="1"/>
  <c r="K621" i="1"/>
  <c r="M620" i="1"/>
  <c r="L620" i="1"/>
  <c r="K620" i="1"/>
  <c r="M619" i="1"/>
  <c r="L619" i="1"/>
  <c r="K619" i="1"/>
  <c r="M618" i="1"/>
  <c r="L618" i="1"/>
  <c r="K618" i="1"/>
  <c r="M617" i="1"/>
  <c r="L617" i="1"/>
  <c r="K617" i="1"/>
  <c r="M616" i="1"/>
  <c r="L616" i="1"/>
  <c r="K616" i="1"/>
  <c r="M615" i="1"/>
  <c r="L615" i="1"/>
  <c r="K615" i="1"/>
  <c r="M614" i="1"/>
  <c r="L614" i="1"/>
  <c r="K614" i="1"/>
  <c r="M613" i="1"/>
  <c r="L613" i="1"/>
  <c r="K613" i="1"/>
  <c r="M612" i="1"/>
  <c r="L612" i="1"/>
  <c r="K612" i="1"/>
  <c r="M611" i="1"/>
  <c r="L611" i="1"/>
  <c r="K611" i="1"/>
  <c r="M610" i="1"/>
  <c r="L610" i="1"/>
  <c r="K610" i="1"/>
  <c r="M609" i="1"/>
  <c r="L609" i="1"/>
  <c r="K609" i="1"/>
  <c r="M608" i="1"/>
  <c r="L608" i="1"/>
  <c r="K608" i="1"/>
  <c r="M607" i="1"/>
  <c r="L607" i="1"/>
  <c r="K607" i="1"/>
  <c r="M606" i="1"/>
  <c r="L606" i="1"/>
  <c r="K606" i="1"/>
  <c r="M605" i="1"/>
  <c r="L605" i="1"/>
  <c r="K605" i="1"/>
  <c r="M604" i="1"/>
  <c r="L604" i="1"/>
  <c r="K604" i="1"/>
  <c r="M603" i="1"/>
  <c r="L603" i="1"/>
  <c r="K603" i="1"/>
  <c r="M602" i="1"/>
  <c r="L602" i="1"/>
  <c r="K602" i="1"/>
  <c r="M601" i="1"/>
  <c r="L601" i="1"/>
  <c r="K601" i="1"/>
  <c r="M600" i="1"/>
  <c r="L600" i="1"/>
  <c r="K600" i="1"/>
  <c r="M599" i="1"/>
  <c r="L599" i="1"/>
  <c r="K599" i="1"/>
  <c r="M598" i="1"/>
  <c r="L598" i="1"/>
  <c r="K598" i="1"/>
  <c r="M597" i="1"/>
  <c r="L597" i="1"/>
  <c r="K597" i="1"/>
  <c r="M596" i="1"/>
  <c r="L596" i="1"/>
  <c r="K596" i="1"/>
  <c r="M595" i="1"/>
  <c r="L595" i="1"/>
  <c r="K595" i="1"/>
  <c r="M594" i="1"/>
  <c r="L594" i="1"/>
  <c r="K594" i="1"/>
  <c r="M593" i="1"/>
  <c r="L593" i="1"/>
  <c r="K593" i="1"/>
  <c r="M592" i="1"/>
  <c r="L592" i="1"/>
  <c r="K592" i="1"/>
  <c r="M591" i="1"/>
  <c r="L591" i="1"/>
  <c r="K591" i="1"/>
  <c r="M590" i="1"/>
  <c r="L590" i="1"/>
  <c r="K590" i="1"/>
  <c r="M589" i="1"/>
  <c r="L589" i="1"/>
  <c r="K589" i="1"/>
  <c r="M588" i="1"/>
  <c r="L588" i="1"/>
  <c r="K588" i="1"/>
  <c r="M587" i="1"/>
  <c r="L587" i="1"/>
  <c r="K587" i="1"/>
  <c r="M586" i="1"/>
  <c r="L586" i="1"/>
  <c r="K586" i="1"/>
  <c r="M585" i="1"/>
  <c r="L585" i="1"/>
  <c r="K585" i="1"/>
  <c r="M584" i="1"/>
  <c r="L584" i="1"/>
  <c r="K584" i="1"/>
  <c r="M583" i="1"/>
  <c r="L583" i="1"/>
  <c r="K583" i="1"/>
  <c r="M582" i="1"/>
  <c r="L582" i="1"/>
  <c r="K582" i="1"/>
  <c r="M581" i="1"/>
  <c r="L581" i="1"/>
  <c r="K581" i="1"/>
  <c r="M580" i="1"/>
  <c r="L580" i="1"/>
  <c r="K580" i="1"/>
  <c r="M579" i="1"/>
  <c r="L579" i="1"/>
  <c r="K579" i="1"/>
  <c r="M578" i="1"/>
  <c r="L578" i="1"/>
  <c r="K578" i="1"/>
  <c r="M577" i="1"/>
  <c r="L577" i="1"/>
  <c r="K577" i="1"/>
  <c r="M576" i="1"/>
  <c r="L576" i="1"/>
  <c r="K576" i="1"/>
  <c r="M575" i="1"/>
  <c r="L575" i="1"/>
  <c r="K575" i="1"/>
  <c r="M574" i="1"/>
  <c r="L574" i="1"/>
  <c r="K574" i="1"/>
  <c r="M573" i="1"/>
  <c r="L573" i="1"/>
  <c r="K573" i="1"/>
  <c r="M572" i="1"/>
  <c r="L572" i="1"/>
  <c r="K572" i="1"/>
  <c r="M571" i="1"/>
  <c r="L571" i="1"/>
  <c r="K571" i="1"/>
  <c r="M570" i="1"/>
  <c r="L570" i="1"/>
  <c r="K570" i="1"/>
  <c r="M569" i="1"/>
  <c r="L569" i="1"/>
  <c r="K569" i="1"/>
  <c r="M568" i="1"/>
  <c r="L568" i="1"/>
  <c r="K568" i="1"/>
  <c r="M567" i="1"/>
  <c r="L567" i="1"/>
  <c r="K567" i="1"/>
  <c r="M566" i="1"/>
  <c r="L566" i="1"/>
  <c r="K566" i="1"/>
  <c r="M565" i="1"/>
  <c r="L565" i="1"/>
  <c r="K565" i="1"/>
  <c r="M564" i="1"/>
  <c r="L564" i="1"/>
  <c r="K564" i="1"/>
  <c r="M563" i="1"/>
  <c r="L563" i="1"/>
  <c r="K563" i="1"/>
  <c r="M562" i="1"/>
  <c r="L562" i="1"/>
  <c r="K562" i="1"/>
  <c r="M561" i="1"/>
  <c r="L561" i="1"/>
  <c r="K561" i="1"/>
  <c r="M560" i="1"/>
  <c r="L560" i="1"/>
  <c r="K560" i="1"/>
  <c r="M559" i="1"/>
  <c r="L559" i="1"/>
  <c r="K559" i="1"/>
  <c r="M558" i="1"/>
  <c r="L558" i="1"/>
  <c r="K558" i="1"/>
  <c r="M557" i="1"/>
  <c r="L557" i="1"/>
  <c r="K557" i="1"/>
  <c r="M556" i="1"/>
  <c r="L556" i="1"/>
  <c r="K556" i="1"/>
  <c r="M555" i="1"/>
  <c r="L555" i="1"/>
  <c r="K555" i="1"/>
  <c r="M554" i="1"/>
  <c r="L554" i="1"/>
  <c r="K554" i="1"/>
  <c r="M553" i="1"/>
  <c r="L553" i="1"/>
  <c r="K553" i="1"/>
  <c r="M552" i="1"/>
  <c r="L552" i="1"/>
  <c r="K552" i="1"/>
  <c r="M551" i="1"/>
  <c r="L551" i="1"/>
  <c r="K551" i="1"/>
  <c r="M550" i="1"/>
  <c r="L550" i="1"/>
  <c r="K550" i="1"/>
  <c r="M549" i="1"/>
  <c r="L549" i="1"/>
  <c r="K549" i="1"/>
  <c r="M548" i="1"/>
  <c r="L548" i="1"/>
  <c r="K548" i="1"/>
  <c r="M547" i="1"/>
  <c r="L547" i="1"/>
  <c r="K547" i="1"/>
  <c r="M546" i="1"/>
  <c r="L546" i="1"/>
  <c r="K546" i="1"/>
  <c r="M545" i="1"/>
  <c r="L545" i="1"/>
  <c r="K545" i="1"/>
  <c r="M544" i="1"/>
  <c r="L544" i="1"/>
  <c r="K544" i="1"/>
  <c r="M543" i="1"/>
  <c r="L543" i="1"/>
  <c r="K543" i="1"/>
  <c r="M542" i="1"/>
  <c r="L542" i="1"/>
  <c r="K542" i="1"/>
  <c r="M541" i="1"/>
  <c r="L541" i="1"/>
  <c r="K541" i="1"/>
  <c r="M540" i="1"/>
  <c r="L540" i="1"/>
  <c r="K540" i="1"/>
  <c r="M539" i="1"/>
  <c r="L539" i="1"/>
  <c r="K539" i="1"/>
  <c r="M538" i="1"/>
  <c r="L538" i="1"/>
  <c r="K538" i="1"/>
  <c r="M537" i="1"/>
  <c r="L537" i="1"/>
  <c r="K537" i="1"/>
  <c r="M536" i="1"/>
  <c r="L536" i="1"/>
  <c r="K536" i="1"/>
  <c r="M535" i="1"/>
  <c r="L535" i="1"/>
  <c r="K535" i="1"/>
  <c r="M534" i="1"/>
  <c r="L534" i="1"/>
  <c r="K534" i="1"/>
  <c r="M533" i="1"/>
  <c r="L533" i="1"/>
  <c r="K533" i="1"/>
  <c r="M532" i="1"/>
  <c r="L532" i="1"/>
  <c r="K532" i="1"/>
  <c r="M531" i="1"/>
  <c r="L531" i="1"/>
  <c r="K531" i="1"/>
  <c r="M530" i="1"/>
  <c r="L530" i="1"/>
  <c r="K530" i="1"/>
  <c r="M529" i="1"/>
  <c r="L529" i="1"/>
  <c r="K529" i="1"/>
  <c r="M528" i="1"/>
  <c r="L528" i="1"/>
  <c r="K528" i="1"/>
  <c r="M527" i="1"/>
  <c r="L527" i="1"/>
  <c r="K527" i="1"/>
  <c r="M526" i="1"/>
  <c r="L526" i="1"/>
  <c r="K526" i="1"/>
  <c r="M525" i="1"/>
  <c r="L525" i="1"/>
  <c r="K525" i="1"/>
  <c r="M524" i="1"/>
  <c r="L524" i="1"/>
  <c r="K524" i="1"/>
  <c r="M523" i="1"/>
  <c r="L523" i="1"/>
  <c r="K523" i="1"/>
  <c r="M522" i="1"/>
  <c r="L522" i="1"/>
  <c r="K522" i="1"/>
  <c r="M521" i="1"/>
  <c r="L521" i="1"/>
  <c r="K521" i="1"/>
  <c r="M520" i="1"/>
  <c r="L520" i="1"/>
  <c r="K520" i="1"/>
  <c r="M519" i="1"/>
  <c r="L519" i="1"/>
  <c r="K519" i="1"/>
  <c r="M518" i="1"/>
  <c r="L518" i="1"/>
  <c r="K518" i="1"/>
  <c r="M517" i="1"/>
  <c r="L517" i="1"/>
  <c r="K517" i="1"/>
  <c r="M516" i="1"/>
  <c r="L516" i="1"/>
  <c r="K516" i="1"/>
  <c r="M515" i="1"/>
  <c r="L515" i="1"/>
  <c r="K515" i="1"/>
  <c r="M514" i="1"/>
  <c r="L514" i="1"/>
  <c r="K514" i="1"/>
  <c r="M513" i="1"/>
  <c r="L513" i="1"/>
  <c r="K513" i="1"/>
  <c r="M512" i="1"/>
  <c r="L512" i="1"/>
  <c r="K512" i="1"/>
  <c r="M511" i="1"/>
  <c r="L511" i="1"/>
  <c r="K511" i="1"/>
  <c r="M510" i="1"/>
  <c r="L510" i="1"/>
  <c r="K510" i="1"/>
  <c r="M509" i="1"/>
  <c r="L509" i="1"/>
  <c r="K509" i="1"/>
  <c r="M508" i="1"/>
  <c r="L508" i="1"/>
  <c r="K508" i="1"/>
  <c r="M507" i="1"/>
  <c r="L507" i="1"/>
  <c r="K507" i="1"/>
  <c r="M506" i="1"/>
  <c r="L506" i="1"/>
  <c r="K506" i="1"/>
  <c r="M505" i="1"/>
  <c r="L505" i="1"/>
  <c r="K505" i="1"/>
  <c r="M504" i="1"/>
  <c r="L504" i="1"/>
  <c r="K504" i="1"/>
  <c r="M503" i="1"/>
  <c r="L503" i="1"/>
  <c r="K503" i="1"/>
  <c r="M502" i="1"/>
  <c r="L502" i="1"/>
  <c r="K502" i="1"/>
  <c r="M501" i="1"/>
  <c r="L501" i="1"/>
  <c r="K501" i="1"/>
  <c r="M500" i="1"/>
  <c r="L500" i="1"/>
  <c r="K500" i="1"/>
  <c r="M499" i="1"/>
  <c r="L499" i="1"/>
  <c r="K499" i="1"/>
  <c r="M498" i="1"/>
  <c r="L498" i="1"/>
  <c r="K498" i="1"/>
  <c r="M497" i="1"/>
  <c r="L497" i="1"/>
  <c r="K497" i="1"/>
  <c r="M496" i="1"/>
  <c r="L496" i="1"/>
  <c r="K496" i="1"/>
  <c r="M495" i="1"/>
  <c r="L495" i="1"/>
  <c r="K495" i="1"/>
  <c r="M494" i="1"/>
  <c r="L494" i="1"/>
  <c r="K494" i="1"/>
  <c r="M493" i="1"/>
  <c r="L493" i="1"/>
  <c r="K493" i="1"/>
  <c r="M492" i="1"/>
  <c r="L492" i="1"/>
  <c r="K492" i="1"/>
  <c r="M491" i="1"/>
  <c r="L491" i="1"/>
  <c r="K491" i="1"/>
  <c r="M490" i="1"/>
  <c r="L490" i="1"/>
  <c r="K490" i="1"/>
  <c r="M489" i="1"/>
  <c r="L489" i="1"/>
  <c r="K489" i="1"/>
  <c r="M488" i="1"/>
  <c r="L488" i="1"/>
  <c r="K488" i="1"/>
  <c r="M487" i="1"/>
  <c r="L487" i="1"/>
  <c r="K487" i="1"/>
  <c r="M486" i="1"/>
  <c r="L486" i="1"/>
  <c r="K486" i="1"/>
  <c r="M485" i="1"/>
  <c r="L485" i="1"/>
  <c r="K485" i="1"/>
  <c r="M484" i="1"/>
  <c r="L484" i="1"/>
  <c r="K484" i="1"/>
  <c r="M483" i="1"/>
  <c r="L483" i="1"/>
  <c r="K483" i="1"/>
  <c r="M482" i="1"/>
  <c r="L482" i="1"/>
  <c r="K482" i="1"/>
  <c r="M481" i="1"/>
  <c r="L481" i="1"/>
  <c r="K481" i="1"/>
  <c r="M480" i="1"/>
  <c r="L480" i="1"/>
  <c r="K480" i="1"/>
  <c r="M479" i="1"/>
  <c r="L479" i="1"/>
  <c r="K479" i="1"/>
  <c r="M478" i="1"/>
  <c r="L478" i="1"/>
  <c r="K478" i="1"/>
  <c r="M477" i="1"/>
  <c r="L477" i="1"/>
  <c r="K477" i="1"/>
  <c r="M476" i="1"/>
  <c r="L476" i="1"/>
  <c r="K476" i="1"/>
  <c r="M475" i="1"/>
  <c r="L475" i="1"/>
  <c r="K475" i="1"/>
  <c r="M474" i="1"/>
  <c r="L474" i="1"/>
  <c r="K474" i="1"/>
  <c r="M473" i="1"/>
  <c r="L473" i="1"/>
  <c r="K473" i="1"/>
  <c r="M472" i="1"/>
  <c r="L472" i="1"/>
  <c r="K472" i="1"/>
  <c r="M471" i="1"/>
  <c r="L471" i="1"/>
  <c r="K471" i="1"/>
  <c r="M470" i="1"/>
  <c r="L470" i="1"/>
  <c r="K470" i="1"/>
  <c r="M469" i="1"/>
  <c r="L469" i="1"/>
  <c r="K469" i="1"/>
  <c r="M468" i="1"/>
  <c r="L468" i="1"/>
  <c r="K468" i="1"/>
  <c r="M467" i="1"/>
  <c r="L467" i="1"/>
  <c r="K467" i="1"/>
  <c r="M466" i="1"/>
  <c r="L466" i="1"/>
  <c r="K466" i="1"/>
  <c r="M465" i="1"/>
  <c r="L465" i="1"/>
  <c r="K465" i="1"/>
  <c r="M464" i="1"/>
  <c r="L464" i="1"/>
  <c r="K464" i="1"/>
  <c r="M463" i="1"/>
  <c r="L463" i="1"/>
  <c r="K463" i="1"/>
  <c r="M462" i="1"/>
  <c r="L462" i="1"/>
  <c r="K462" i="1"/>
  <c r="M461" i="1"/>
  <c r="L461" i="1"/>
  <c r="K461" i="1"/>
  <c r="M460" i="1"/>
  <c r="L460" i="1"/>
  <c r="K460" i="1"/>
  <c r="M459" i="1"/>
  <c r="L459" i="1"/>
  <c r="K459" i="1"/>
  <c r="M458" i="1"/>
  <c r="L458" i="1"/>
  <c r="K458" i="1"/>
  <c r="M457" i="1"/>
  <c r="L457" i="1"/>
  <c r="K457" i="1"/>
  <c r="M456" i="1"/>
  <c r="L456" i="1"/>
  <c r="K456" i="1"/>
  <c r="M455" i="1"/>
  <c r="L455" i="1"/>
  <c r="K455" i="1"/>
  <c r="M454" i="1"/>
  <c r="L454" i="1"/>
  <c r="K454" i="1"/>
  <c r="M453" i="1"/>
  <c r="L453" i="1"/>
  <c r="K453" i="1"/>
  <c r="M452" i="1"/>
  <c r="L452" i="1"/>
  <c r="K452" i="1"/>
  <c r="M451" i="1"/>
  <c r="L451" i="1"/>
  <c r="K451" i="1"/>
  <c r="M450" i="1"/>
  <c r="L450" i="1"/>
  <c r="K450" i="1"/>
  <c r="M449" i="1"/>
  <c r="L449" i="1"/>
  <c r="K449" i="1"/>
  <c r="M448" i="1"/>
  <c r="L448" i="1"/>
  <c r="K448" i="1"/>
  <c r="M447" i="1"/>
  <c r="L447" i="1"/>
  <c r="K447" i="1"/>
  <c r="M446" i="1"/>
  <c r="L446" i="1"/>
  <c r="K446" i="1"/>
  <c r="M445" i="1"/>
  <c r="L445" i="1"/>
  <c r="K445" i="1"/>
  <c r="M444" i="1"/>
  <c r="L444" i="1"/>
  <c r="K444" i="1"/>
  <c r="M443" i="1"/>
  <c r="L443" i="1"/>
  <c r="K443" i="1"/>
  <c r="M442" i="1"/>
  <c r="L442" i="1"/>
  <c r="K442" i="1"/>
  <c r="M441" i="1"/>
  <c r="L441" i="1"/>
  <c r="K441" i="1"/>
  <c r="M440" i="1"/>
  <c r="L440" i="1"/>
  <c r="K440" i="1"/>
  <c r="M439" i="1"/>
  <c r="L439" i="1"/>
  <c r="K439" i="1"/>
  <c r="M438" i="1"/>
  <c r="L438" i="1"/>
  <c r="K438" i="1"/>
  <c r="M437" i="1"/>
  <c r="L437" i="1"/>
  <c r="K437" i="1"/>
  <c r="M436" i="1"/>
  <c r="L436" i="1"/>
  <c r="K436" i="1"/>
  <c r="M435" i="1"/>
  <c r="L435" i="1"/>
  <c r="K435" i="1"/>
  <c r="M434" i="1"/>
  <c r="L434" i="1"/>
  <c r="K434" i="1"/>
  <c r="M433" i="1"/>
  <c r="L433" i="1"/>
  <c r="K433" i="1"/>
  <c r="M432" i="1"/>
  <c r="L432" i="1"/>
  <c r="K432" i="1"/>
  <c r="M431" i="1"/>
  <c r="L431" i="1"/>
  <c r="K431" i="1"/>
  <c r="M430" i="1"/>
  <c r="L430" i="1"/>
  <c r="K430" i="1"/>
  <c r="M429" i="1"/>
  <c r="L429" i="1"/>
  <c r="K429" i="1"/>
  <c r="M428" i="1"/>
  <c r="L428" i="1"/>
  <c r="K428" i="1"/>
  <c r="M427" i="1"/>
  <c r="L427" i="1"/>
  <c r="K427" i="1"/>
  <c r="M426" i="1"/>
  <c r="L426" i="1"/>
  <c r="K426" i="1"/>
  <c r="M425" i="1"/>
  <c r="L425" i="1"/>
  <c r="K425" i="1"/>
  <c r="M424" i="1"/>
  <c r="L424" i="1"/>
  <c r="K424" i="1"/>
  <c r="M423" i="1"/>
  <c r="L423" i="1"/>
  <c r="K423" i="1"/>
  <c r="M422" i="1"/>
  <c r="L422" i="1"/>
  <c r="K422" i="1"/>
  <c r="M421" i="1"/>
  <c r="L421" i="1"/>
  <c r="K421" i="1"/>
  <c r="M420" i="1"/>
  <c r="L420" i="1"/>
  <c r="K420" i="1"/>
  <c r="M419" i="1"/>
  <c r="L419" i="1"/>
  <c r="K419" i="1"/>
  <c r="M418" i="1"/>
  <c r="L418" i="1"/>
  <c r="K418" i="1"/>
  <c r="M417" i="1"/>
  <c r="L417" i="1"/>
  <c r="K417" i="1"/>
  <c r="M416" i="1"/>
  <c r="L416" i="1"/>
  <c r="K416" i="1"/>
  <c r="M415" i="1"/>
  <c r="L415" i="1"/>
  <c r="K415" i="1"/>
  <c r="M414" i="1"/>
  <c r="L414" i="1"/>
  <c r="K414" i="1"/>
  <c r="M413" i="1"/>
  <c r="L413" i="1"/>
  <c r="K413" i="1"/>
  <c r="M412" i="1"/>
  <c r="L412" i="1"/>
  <c r="K412" i="1"/>
  <c r="M411" i="1"/>
  <c r="L411" i="1"/>
  <c r="K411" i="1"/>
  <c r="M410" i="1"/>
  <c r="L410" i="1"/>
  <c r="K410" i="1"/>
  <c r="M409" i="1"/>
  <c r="L409" i="1"/>
  <c r="K409" i="1"/>
  <c r="M408" i="1"/>
  <c r="L408" i="1"/>
  <c r="K408" i="1"/>
  <c r="M407" i="1"/>
  <c r="L407" i="1"/>
  <c r="K407" i="1"/>
  <c r="M406" i="1"/>
  <c r="L406" i="1"/>
  <c r="K406" i="1"/>
  <c r="M405" i="1"/>
  <c r="L405" i="1"/>
  <c r="K405" i="1"/>
  <c r="M404" i="1"/>
  <c r="L404" i="1"/>
  <c r="K404" i="1"/>
  <c r="M403" i="1"/>
  <c r="L403" i="1"/>
  <c r="K403" i="1"/>
  <c r="M402" i="1"/>
  <c r="L402" i="1"/>
  <c r="K402" i="1"/>
  <c r="M401" i="1"/>
  <c r="L401" i="1"/>
  <c r="K401" i="1"/>
  <c r="M400" i="1"/>
  <c r="L400" i="1"/>
  <c r="K400" i="1"/>
  <c r="M399" i="1"/>
  <c r="L399" i="1"/>
  <c r="K399" i="1"/>
  <c r="M398" i="1"/>
  <c r="L398" i="1"/>
  <c r="K398" i="1"/>
  <c r="M397" i="1"/>
  <c r="L397" i="1"/>
  <c r="K397" i="1"/>
  <c r="M396" i="1"/>
  <c r="L396" i="1"/>
  <c r="K396" i="1"/>
  <c r="M395" i="1"/>
  <c r="L395" i="1"/>
  <c r="K395" i="1"/>
  <c r="M394" i="1"/>
  <c r="L394" i="1"/>
  <c r="K394" i="1"/>
  <c r="M393" i="1"/>
  <c r="L393" i="1"/>
  <c r="K393" i="1"/>
  <c r="M392" i="1"/>
  <c r="L392" i="1"/>
  <c r="K392" i="1"/>
  <c r="M391" i="1"/>
  <c r="L391" i="1"/>
  <c r="K391" i="1"/>
  <c r="M390" i="1"/>
  <c r="L390" i="1"/>
  <c r="K390" i="1"/>
  <c r="M389" i="1"/>
  <c r="L389" i="1"/>
  <c r="K389" i="1"/>
  <c r="M388" i="1"/>
  <c r="L388" i="1"/>
  <c r="K388" i="1"/>
  <c r="M387" i="1"/>
  <c r="L387" i="1"/>
  <c r="K387" i="1"/>
  <c r="M386" i="1"/>
  <c r="L386" i="1"/>
  <c r="K386" i="1"/>
  <c r="M385" i="1"/>
  <c r="L385" i="1"/>
  <c r="K385" i="1"/>
  <c r="M384" i="1"/>
  <c r="L384" i="1"/>
  <c r="K384" i="1"/>
  <c r="M383" i="1"/>
  <c r="L383" i="1"/>
  <c r="K383" i="1"/>
  <c r="M382" i="1"/>
  <c r="L382" i="1"/>
  <c r="K382" i="1"/>
  <c r="M381" i="1"/>
  <c r="L381" i="1"/>
  <c r="K381" i="1"/>
  <c r="M380" i="1"/>
  <c r="L380" i="1"/>
  <c r="K380" i="1"/>
  <c r="M379" i="1"/>
  <c r="L379" i="1"/>
  <c r="K379" i="1"/>
  <c r="M378" i="1"/>
  <c r="L378" i="1"/>
  <c r="K378" i="1"/>
  <c r="M377" i="1"/>
  <c r="L377" i="1"/>
  <c r="K377" i="1"/>
  <c r="M376" i="1"/>
  <c r="L376" i="1"/>
  <c r="K376" i="1"/>
  <c r="M375" i="1"/>
  <c r="L375" i="1"/>
  <c r="K375" i="1"/>
  <c r="M374" i="1"/>
  <c r="L374" i="1"/>
  <c r="K374" i="1"/>
  <c r="M373" i="1"/>
  <c r="L373" i="1"/>
  <c r="K373" i="1"/>
  <c r="M372" i="1"/>
  <c r="L372" i="1"/>
  <c r="K372" i="1"/>
  <c r="M371" i="1"/>
  <c r="L371" i="1"/>
  <c r="K371" i="1"/>
  <c r="M370" i="1"/>
  <c r="L370" i="1"/>
  <c r="K370" i="1"/>
  <c r="M369" i="1"/>
  <c r="L369" i="1"/>
  <c r="K369" i="1"/>
  <c r="M368" i="1"/>
  <c r="L368" i="1"/>
  <c r="K368" i="1"/>
  <c r="M367" i="1"/>
  <c r="L367" i="1"/>
  <c r="K367" i="1"/>
  <c r="M366" i="1"/>
  <c r="L366" i="1"/>
  <c r="K366" i="1"/>
  <c r="M365" i="1"/>
  <c r="L365" i="1"/>
  <c r="K365" i="1"/>
  <c r="M364" i="1"/>
  <c r="L364" i="1"/>
  <c r="K364" i="1"/>
  <c r="M363" i="1"/>
  <c r="L363" i="1"/>
  <c r="K363" i="1"/>
  <c r="M362" i="1"/>
  <c r="L362" i="1"/>
  <c r="K362" i="1"/>
  <c r="M361" i="1"/>
  <c r="L361" i="1"/>
  <c r="K361" i="1"/>
  <c r="M360" i="1"/>
  <c r="L360" i="1"/>
  <c r="K360" i="1"/>
  <c r="M359" i="1"/>
  <c r="L359" i="1"/>
  <c r="K359" i="1"/>
  <c r="M358" i="1"/>
  <c r="L358" i="1"/>
  <c r="K358" i="1"/>
  <c r="M357" i="1"/>
  <c r="L357" i="1"/>
  <c r="K357" i="1"/>
  <c r="M356" i="1"/>
  <c r="L356" i="1"/>
  <c r="K356" i="1"/>
  <c r="M355" i="1"/>
  <c r="L355" i="1"/>
  <c r="K355" i="1"/>
  <c r="M354" i="1"/>
  <c r="L354" i="1"/>
  <c r="K354" i="1"/>
  <c r="M353" i="1"/>
  <c r="L353" i="1"/>
  <c r="K353" i="1"/>
  <c r="M352" i="1"/>
  <c r="L352" i="1"/>
  <c r="K352" i="1"/>
  <c r="M351" i="1"/>
  <c r="L351" i="1"/>
  <c r="K351" i="1"/>
  <c r="M350" i="1"/>
  <c r="L350" i="1"/>
  <c r="K350" i="1"/>
  <c r="M349" i="1"/>
  <c r="L349" i="1"/>
  <c r="K349" i="1"/>
  <c r="M348" i="1"/>
  <c r="L348" i="1"/>
  <c r="K348" i="1"/>
  <c r="M347" i="1"/>
  <c r="L347" i="1"/>
  <c r="K347" i="1"/>
  <c r="M346" i="1"/>
  <c r="L346" i="1"/>
  <c r="K346" i="1"/>
  <c r="M345" i="1"/>
  <c r="L345" i="1"/>
  <c r="K345" i="1"/>
  <c r="M344" i="1"/>
  <c r="L344" i="1"/>
  <c r="K344" i="1"/>
  <c r="M343" i="1"/>
  <c r="L343" i="1"/>
  <c r="K343" i="1"/>
  <c r="M342" i="1"/>
  <c r="L342" i="1"/>
  <c r="K342" i="1"/>
  <c r="M341" i="1"/>
  <c r="L341" i="1"/>
  <c r="K341" i="1"/>
  <c r="M340" i="1"/>
  <c r="L340" i="1"/>
  <c r="K340" i="1"/>
  <c r="M339" i="1"/>
  <c r="L339" i="1"/>
  <c r="K339" i="1"/>
  <c r="M338" i="1"/>
  <c r="L338" i="1"/>
  <c r="K338" i="1"/>
  <c r="M337" i="1"/>
  <c r="L337" i="1"/>
  <c r="K337" i="1"/>
  <c r="M336" i="1"/>
  <c r="L336" i="1"/>
  <c r="K336" i="1"/>
  <c r="M335" i="1"/>
  <c r="L335" i="1"/>
  <c r="K335" i="1"/>
  <c r="M334" i="1"/>
  <c r="L334" i="1"/>
  <c r="K334" i="1"/>
  <c r="M333" i="1"/>
  <c r="L333" i="1"/>
  <c r="K333" i="1"/>
  <c r="M332" i="1"/>
  <c r="L332" i="1"/>
  <c r="K332" i="1"/>
  <c r="M331" i="1"/>
  <c r="L331" i="1"/>
  <c r="K331" i="1"/>
  <c r="M330" i="1"/>
  <c r="L330" i="1"/>
  <c r="K330" i="1"/>
  <c r="M329" i="1"/>
  <c r="L329" i="1"/>
  <c r="K329" i="1"/>
  <c r="M328" i="1"/>
  <c r="L328" i="1"/>
  <c r="K328" i="1"/>
  <c r="M327" i="1"/>
  <c r="L327" i="1"/>
  <c r="K327" i="1"/>
  <c r="M326" i="1"/>
  <c r="L326" i="1"/>
  <c r="K326" i="1"/>
  <c r="M325" i="1"/>
  <c r="L325" i="1"/>
  <c r="K325" i="1"/>
  <c r="M324" i="1"/>
  <c r="L324" i="1"/>
  <c r="K324" i="1"/>
  <c r="M323" i="1"/>
  <c r="L323" i="1"/>
  <c r="K323" i="1"/>
  <c r="M322" i="1"/>
  <c r="L322" i="1"/>
  <c r="K322" i="1"/>
  <c r="M321" i="1"/>
  <c r="L321"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3" i="6"/>
  <c r="M18" i="6"/>
  <c r="M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F68B15-3FD5-4F59-BBF7-EC8C8A27AC06}" keepAlive="1" name="Query - Books" description="Connection to the 'Books' query in the workbook." type="5" refreshedVersion="8" background="1" saveData="1">
    <dbPr connection="Provider=Microsoft.Mashup.OleDb.1;Data Source=$Workbook$;Location=Books;Extended Properties=&quot;&quot;" command="SELECT * FROM [Book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<sst xmlns="http://schemas.openxmlformats.org/spreadsheetml/2006/main" count="8556" uniqueCount="4080">
  <si>
    <t>Fictional Points of View</t>
  </si>
  <si>
    <t>Peter Lamarque</t>
  </si>
  <si>
    <t>Literary Criticism</t>
  </si>
  <si>
    <t>Cornell University Press</t>
  </si>
  <si>
    <t>en</t>
  </si>
  <si>
    <t>Science Fiction and Fantasy Literature</t>
  </si>
  <si>
    <t>R. Reginald, Douglas Menville, Mary A. Burgess</t>
  </si>
  <si>
    <t>Reference</t>
  </si>
  <si>
    <t>Wildside Press LLC</t>
  </si>
  <si>
    <t>Fictional Space in the Modernist and Post-modernist American Novel</t>
  </si>
  <si>
    <t>Carl Darryl Malmgren</t>
  </si>
  <si>
    <t>Fiction</t>
  </si>
  <si>
    <t>Bucknell University Press</t>
  </si>
  <si>
    <t>Mestizos Come Home!</t>
  </si>
  <si>
    <t>Robert Con Davis-Undiano</t>
  </si>
  <si>
    <t>History</t>
  </si>
  <si>
    <t>University of Oklahoma Press</t>
  </si>
  <si>
    <t>Body, Mind &amp; Spirit</t>
  </si>
  <si>
    <t>BRILL</t>
  </si>
  <si>
    <t>Telling Lies in Modern American Autobiography</t>
  </si>
  <si>
    <t>Timothy Dow Adams</t>
  </si>
  <si>
    <t>UNC Press Books</t>
  </si>
  <si>
    <t>Essential Skills - Reading and Writing, Grade 1</t>
  </si>
  <si>
    <t>Teacher Created Resources, Inc</t>
  </si>
  <si>
    <t>Activity programs in education</t>
  </si>
  <si>
    <t>Teacher Created Resources</t>
  </si>
  <si>
    <t>Reload</t>
  </si>
  <si>
    <t>Mary Flanagan, Austin Booth</t>
  </si>
  <si>
    <t>Social Science</t>
  </si>
  <si>
    <t>MIT Press</t>
  </si>
  <si>
    <t>Presented Discourse in Popular Science</t>
  </si>
  <si>
    <t>Olga Pilkington</t>
  </si>
  <si>
    <t>Language Arts &amp; Disciplines</t>
  </si>
  <si>
    <t>Encyclopedia of the Novel</t>
  </si>
  <si>
    <t>Paul Schellinger</t>
  </si>
  <si>
    <t>Routledge</t>
  </si>
  <si>
    <t>Idealism</t>
  </si>
  <si>
    <t>Tyron Goldschmidt, Kenneth L. Pearce</t>
  </si>
  <si>
    <t>Philosophy</t>
  </si>
  <si>
    <t>Oxford University Press</t>
  </si>
  <si>
    <t>The Philosophy of David Cronenberg</t>
  </si>
  <si>
    <t>Simon Riches</t>
  </si>
  <si>
    <t>University Press of Kentucky</t>
  </si>
  <si>
    <t>International Who's Who of Authors and Writers 2004</t>
  </si>
  <si>
    <t>Europa Publications</t>
  </si>
  <si>
    <t>Biography &amp; Autobiography</t>
  </si>
  <si>
    <t>Psychology Press</t>
  </si>
  <si>
    <t>Drama</t>
  </si>
  <si>
    <t>Hugo Gernsback, Father of Modern Science Fiction</t>
  </si>
  <si>
    <t>Mark Siegel</t>
  </si>
  <si>
    <t>Millefleurs</t>
  </si>
  <si>
    <t>1984</t>
  </si>
  <si>
    <t>Tessa Tiger's Temper Tantrums</t>
  </si>
  <si>
    <t>Barbara deRubertis</t>
  </si>
  <si>
    <t>Juvenile Fiction</t>
  </si>
  <si>
    <t xml:space="preserve">Triangle Interactive, Inc. </t>
  </si>
  <si>
    <t>American literature</t>
  </si>
  <si>
    <t>Routledge Handbook of Historical International Relations</t>
  </si>
  <si>
    <t>Benjamin de Carvalho, Julia Costa Lopez, Halvard Leira</t>
  </si>
  <si>
    <t>Political Science</t>
  </si>
  <si>
    <t>Taylor &amp; Francis</t>
  </si>
  <si>
    <t>The Social Studies Curriculum</t>
  </si>
  <si>
    <t>E. Wayne Ross</t>
  </si>
  <si>
    <t>Education</t>
  </si>
  <si>
    <t>State University of New York Press</t>
  </si>
  <si>
    <t>St James's Palace</t>
  </si>
  <si>
    <t>Rufus Bird, Simon Thurley, Michael Turner</t>
  </si>
  <si>
    <t>Yale University Press</t>
  </si>
  <si>
    <t>Comprehending Antisemitism through the Ages: A Historical Perspective</t>
  </si>
  <si>
    <t>Armin Lange, Kerstin Mayerhofer, Dina Porat, Lawrence H. Schiffman</t>
  </si>
  <si>
    <t>Walter de Gruyter GmbH &amp; Co KG</t>
  </si>
  <si>
    <t>The Circle of Knowledge: A Classified, Simplified, Visualized Book of Answers</t>
  </si>
  <si>
    <t>Various</t>
  </si>
  <si>
    <t>DigiCat</t>
  </si>
  <si>
    <t>War and Conflict Quotations</t>
  </si>
  <si>
    <t>Michael C. Thomsett, Jean Freestone Thomsett</t>
  </si>
  <si>
    <t>McFarland</t>
  </si>
  <si>
    <t>Our Reason for Being</t>
  </si>
  <si>
    <t>T. F. Leong</t>
  </si>
  <si>
    <t>Religion</t>
  </si>
  <si>
    <t>Wipf and Stock Publishers</t>
  </si>
  <si>
    <t>Aesthetics</t>
  </si>
  <si>
    <t>Vasily Sesemann</t>
  </si>
  <si>
    <t>Critical Legal Education as a Subversive Activity</t>
  </si>
  <si>
    <t>Helen Gibbon, Ben Golder, Lucas Lixinski, Marina Nehme, Prue Vines</t>
  </si>
  <si>
    <t>Law</t>
  </si>
  <si>
    <t>A Classified Catalogue of the Malta Garrison Library</t>
  </si>
  <si>
    <t>Anonymous</t>
  </si>
  <si>
    <t>BoD – Books on Demand</t>
  </si>
  <si>
    <t>References to the Principal Works in every Department of Religious Literature</t>
  </si>
  <si>
    <t>Howard Malcom</t>
  </si>
  <si>
    <t>The Statesman's Year-Book</t>
  </si>
  <si>
    <t>M. Epstein</t>
  </si>
  <si>
    <t>Springer</t>
  </si>
  <si>
    <t>Architecture</t>
  </si>
  <si>
    <t>Decline and Fall of the Roman Empire</t>
  </si>
  <si>
    <t>Edward Gibbon</t>
  </si>
  <si>
    <t>Weidenfeld &amp; Nicolson</t>
  </si>
  <si>
    <t>A S R Index 2019</t>
  </si>
  <si>
    <t>Jan Young</t>
  </si>
  <si>
    <t>Lulu.com</t>
  </si>
  <si>
    <t>Groton During the Revolution</t>
  </si>
  <si>
    <t>Samuel Abbott Green</t>
  </si>
  <si>
    <t>Groton (Mass. : Town)</t>
  </si>
  <si>
    <t>Groton, Mass. [Cambridge, Mass., University Press</t>
  </si>
  <si>
    <t>Reading Biography</t>
  </si>
  <si>
    <t>Carl Rollyson</t>
  </si>
  <si>
    <t>iUniverse</t>
  </si>
  <si>
    <t>Recognizing Biography</t>
  </si>
  <si>
    <t>William H. Epstein</t>
  </si>
  <si>
    <t>University of Pennsylvania Press</t>
  </si>
  <si>
    <t>Biography and the Question of Literature in France</t>
  </si>
  <si>
    <t>Ann Jefferson</t>
  </si>
  <si>
    <t>OUP Oxford</t>
  </si>
  <si>
    <t>Biography in Theory</t>
  </si>
  <si>
    <t>Wilhelm Hemecker, Edward Saunders</t>
  </si>
  <si>
    <t>Biographies in the History of Physics</t>
  </si>
  <si>
    <t>Christian Forstner, Mark Walker</t>
  </si>
  <si>
    <t>Science</t>
  </si>
  <si>
    <t>Springer Nature</t>
  </si>
  <si>
    <t>The Art of Biography in Antiquity</t>
  </si>
  <si>
    <t>Tomas Hägg</t>
  </si>
  <si>
    <t>Cambridge University Press</t>
  </si>
  <si>
    <t>The Seductions of Biography</t>
  </si>
  <si>
    <t>David Suchoff, Mary Rhiel</t>
  </si>
  <si>
    <t>Music</t>
  </si>
  <si>
    <t>The Turn to Biographical Methods in Social Science</t>
  </si>
  <si>
    <t>Prue Chamberlayne, Joanna Bornat, Tom Wengraf</t>
  </si>
  <si>
    <t>Biographical Misrepresentations of British Women Writers</t>
  </si>
  <si>
    <t>Brenda Ayres</t>
  </si>
  <si>
    <t>A Companion to Literary Biography</t>
  </si>
  <si>
    <t>Richard Bradford</t>
  </si>
  <si>
    <t>John Wiley &amp; Sons</t>
  </si>
  <si>
    <t>The Book of Awesome Black Americans</t>
  </si>
  <si>
    <t>Monique Jones</t>
  </si>
  <si>
    <t>Young Adult Nonfiction</t>
  </si>
  <si>
    <t>Mango Media Inc.</t>
  </si>
  <si>
    <t>Berkshire Dictionary of Chinese Biography</t>
  </si>
  <si>
    <t>Kerry Brown</t>
  </si>
  <si>
    <t>Berkshire Publishing Group</t>
  </si>
  <si>
    <t>Writing Feminist Lives</t>
  </si>
  <si>
    <t>Malin Lidström Brock</t>
  </si>
  <si>
    <t>History of Medical Miracles and the Lives Behind Them</t>
  </si>
  <si>
    <t>Harry L. Munsinger J.D. Ph.D.</t>
  </si>
  <si>
    <t>Medical</t>
  </si>
  <si>
    <t>Archway Publishing</t>
  </si>
  <si>
    <t>Biblical Interpretation in Early Christian Gospels Volume 1</t>
  </si>
  <si>
    <t>Thomas Hatina</t>
  </si>
  <si>
    <t>A&amp;C Black</t>
  </si>
  <si>
    <t>What is a Gospel?</t>
  </si>
  <si>
    <t>Charles H. Talbert</t>
  </si>
  <si>
    <t>Mercer University Press</t>
  </si>
  <si>
    <t>Polybius and His Legacy</t>
  </si>
  <si>
    <t>Nikos Miltsios, Melina Tamiolaki</t>
  </si>
  <si>
    <t>Research Handbook on Inequalities in Later Life</t>
  </si>
  <si>
    <t>Catherine  Earl, Philip  Taylor</t>
  </si>
  <si>
    <t>Edward Elgar Publishing</t>
  </si>
  <si>
    <t>Lives of the Novelists</t>
  </si>
  <si>
    <t>Literary Collections</t>
  </si>
  <si>
    <t>Transnational Radicalism and the Connected Lives of Tom Mann and Robert Samuel Ross</t>
  </si>
  <si>
    <t>Neville Kirk</t>
  </si>
  <si>
    <t>Oak Cliff and the Missing Pieces</t>
  </si>
  <si>
    <t>Gregory M. Hasty</t>
  </si>
  <si>
    <t>Clio's Laws</t>
  </si>
  <si>
    <t>Mauricio Tenorio-Trillo</t>
  </si>
  <si>
    <t>University of Texas Press</t>
  </si>
  <si>
    <t>The Enlightenment as Social Criticism</t>
  </si>
  <si>
    <t>Paschalis M. Kitromilides</t>
  </si>
  <si>
    <t>Princeton University Press</t>
  </si>
  <si>
    <t>The Mystery Readers' Advisory</t>
  </si>
  <si>
    <t>John Charles, Joanna Morrison, Candace Clark</t>
  </si>
  <si>
    <t>American Library Association</t>
  </si>
  <si>
    <t>The Mystery of Tally-ho Cottage</t>
  </si>
  <si>
    <t>Enid Blyton</t>
  </si>
  <si>
    <t>Human Sexuality and the Nuptial Mystery</t>
  </si>
  <si>
    <t>Roy R. Jeal</t>
  </si>
  <si>
    <t>A Rachel Gift Mystery Bundle: Her Last Hope (#3) and Her Last Fear (#4)</t>
  </si>
  <si>
    <t>Blake Pierce</t>
  </si>
  <si>
    <t>The Mystery Fancier</t>
  </si>
  <si>
    <t>William F. Deeck</t>
  </si>
  <si>
    <t>Self-Help</t>
  </si>
  <si>
    <t>Eudora Welty and Mystery</t>
  </si>
  <si>
    <t>Jacob Agner, Harriet Pollack</t>
  </si>
  <si>
    <t>Univ. Press of Mississippi</t>
  </si>
  <si>
    <t>The Mystery of the Shemitah</t>
  </si>
  <si>
    <t>Jonathan Cahn</t>
  </si>
  <si>
    <t>Charisma Media</t>
  </si>
  <si>
    <t>The Mystery of Hidden Valley (The Mystery Series Book 3)</t>
  </si>
  <si>
    <t>Paul Moxham</t>
  </si>
  <si>
    <t>The Mystery at Dracula's Castle (Transylvania, Romania)</t>
  </si>
  <si>
    <t>Carole Marsh</t>
  </si>
  <si>
    <t>Gallopade International</t>
  </si>
  <si>
    <t>The Mystery in the Amazon Rainforest (South America)</t>
  </si>
  <si>
    <t>The Mystery of the Ancient Pyramid (Cairo, Egypt)</t>
  </si>
  <si>
    <t>The Tustin Chronicles: A Detective Santy Mystery</t>
  </si>
  <si>
    <t>Louise Hathaway</t>
  </si>
  <si>
    <t>If She Saw (A Kate Wise Mystery—Book 2)</t>
  </si>
  <si>
    <t>If She Feared (A Kate Wise Mystery—Book 6)</t>
  </si>
  <si>
    <t>If She Hid (A Kate Wise Mystery—Book 4)</t>
  </si>
  <si>
    <t>The Rip-ROARING Mystery on the African Safari (South Africa)</t>
  </si>
  <si>
    <t>Next Door (A Chloe Fine Psychological Suspense Mystery—Book 1)</t>
  </si>
  <si>
    <t>The Mystery of Musical Creativity</t>
  </si>
  <si>
    <t>Hermann Beckh</t>
  </si>
  <si>
    <t>Temple Lodge Publishing</t>
  </si>
  <si>
    <t>Once Bound (A Riley Paige Mystery—Book 12)</t>
  </si>
  <si>
    <t>The Mystery at the Eiffel Tower (Paris, France)</t>
  </si>
  <si>
    <t>The Nebraska Mystery Van Takes Off!</t>
  </si>
  <si>
    <t>Juvenile Nonfiction</t>
  </si>
  <si>
    <t>Carole Marsh Books</t>
  </si>
  <si>
    <t>The Mystery of Jesus Christ Revealed</t>
  </si>
  <si>
    <t>Mark Moonsamy</t>
  </si>
  <si>
    <t>Thistlewood Manor: A Flapper Fatality (An Eliza Montagu Cozy Mystery—Book 5)</t>
  </si>
  <si>
    <t>Fiona Grace</t>
  </si>
  <si>
    <t>Thistlewood Manor: A Doll’s Debacle (An Eliza Montagu Cozy Mystery—Book 7)</t>
  </si>
  <si>
    <t>A Zoe Prime Mystery Bundle: Face of Madness (#4) and Face of Fury (#5)</t>
  </si>
  <si>
    <t>Mystery Teachings from the Living Earth</t>
  </si>
  <si>
    <t>John Michael Greer</t>
  </si>
  <si>
    <t>Weiser Books</t>
  </si>
  <si>
    <t>California Mystery Van Takes Off! Book 1</t>
  </si>
  <si>
    <t>Beachfront Bakery: A Treacherous Tart (A Beachfront Bakery Cozy Mystery—Book 5)</t>
  </si>
  <si>
    <t>The Spicy Mystery MEGAPACK ®: 25 Tales from the "Spicy" Pulps</t>
  </si>
  <si>
    <t>Hugh B. Cave, Victor Rousseau, Atwater, Norman A. Daniels, Ellery Watson Calder</t>
  </si>
  <si>
    <t>The Mystery Fancier (Vol. 3 No. 4)</t>
  </si>
  <si>
    <t>Daphne Du Maurier, Harold R. Daniels</t>
  </si>
  <si>
    <t>Teaching World History as Mystery</t>
  </si>
  <si>
    <t>Jack Zevin, David Gerwin</t>
  </si>
  <si>
    <t>The Gerrard Street Mystery</t>
  </si>
  <si>
    <t>John Charles Dent</t>
  </si>
  <si>
    <t>Canadian fiction</t>
  </si>
  <si>
    <t>Rose</t>
  </si>
  <si>
    <t>Anglicising Romance</t>
  </si>
  <si>
    <t>Rhiannon Purdie</t>
  </si>
  <si>
    <t>Boydell &amp; Brewer Ltd</t>
  </si>
  <si>
    <t>The Ancient Romances</t>
  </si>
  <si>
    <t>Ben E. Perry</t>
  </si>
  <si>
    <t>Univ of California Press</t>
  </si>
  <si>
    <t>Romance Writing</t>
  </si>
  <si>
    <t>Lynne Pearce</t>
  </si>
  <si>
    <t>Polity</t>
  </si>
  <si>
    <t>The Cambridge History of English Poetry</t>
  </si>
  <si>
    <t>Michael O'Neill</t>
  </si>
  <si>
    <t>Nine Medieval Romances of Magic</t>
  </si>
  <si>
    <t>Marijane Osborn</t>
  </si>
  <si>
    <t>Poetry</t>
  </si>
  <si>
    <t>Broadview Press</t>
  </si>
  <si>
    <t>Third Language Acquisition and Universal Grammar</t>
  </si>
  <si>
    <t>Yan-kit Ingrid Leung</t>
  </si>
  <si>
    <t>Multilingual Matters</t>
  </si>
  <si>
    <t>International Encyclopedia of Linguistics</t>
  </si>
  <si>
    <t>William Frawley</t>
  </si>
  <si>
    <t>Class Fictions</t>
  </si>
  <si>
    <t>Pamela Fox</t>
  </si>
  <si>
    <t>Duke University Press</t>
  </si>
  <si>
    <t>Adoring Outlander</t>
  </si>
  <si>
    <t>Valerie Estelle Frankel</t>
  </si>
  <si>
    <t>Intertextuality and Victorian Studies</t>
  </si>
  <si>
    <t>Sudha Shastri</t>
  </si>
  <si>
    <t>Orient Blackswan</t>
  </si>
  <si>
    <t>Historicizing the Enlightenment, Volume 2</t>
  </si>
  <si>
    <t>Michael McKeon</t>
  </si>
  <si>
    <t>Rutgers University Press</t>
  </si>
  <si>
    <t>Romantic Love</t>
  </si>
  <si>
    <t>Yolanda van Ede</t>
  </si>
  <si>
    <t>Family &amp; Relationships</t>
  </si>
  <si>
    <t>LIT Verlag Münster</t>
  </si>
  <si>
    <t>Translation and Temporality in Benoît de Sainte-Maure's Roman de Troie</t>
  </si>
  <si>
    <t>Maud Burnett McInerney</t>
  </si>
  <si>
    <t>Boydell &amp; Brewer</t>
  </si>
  <si>
    <t>Stories about Stories</t>
  </si>
  <si>
    <t>Brian Attebery</t>
  </si>
  <si>
    <t>Oxford University Press, USA</t>
  </si>
  <si>
    <t>Teaching Tainted Lit</t>
  </si>
  <si>
    <t>Janet G. Casey</t>
  </si>
  <si>
    <t>University of Iowa Press</t>
  </si>
  <si>
    <t>James Fenimore Cooper</t>
  </si>
  <si>
    <t>W. M. Verhoeven</t>
  </si>
  <si>
    <t>Rodopi</t>
  </si>
  <si>
    <t>Handbook of Medieval Studies</t>
  </si>
  <si>
    <t>Albrecht Classen</t>
  </si>
  <si>
    <t>Walter de Gruyter</t>
  </si>
  <si>
    <t>Handbook of the American Novel of the Nineteenth Century</t>
  </si>
  <si>
    <t>Christine Gerhardt</t>
  </si>
  <si>
    <t>Don Quixote as Children's Literature</t>
  </si>
  <si>
    <t>Velma Bourgeois Richmond</t>
  </si>
  <si>
    <t>Poets and Scribes in Late Medieval England</t>
  </si>
  <si>
    <t>Michael Johnston, Kathryn Kerby-Fulton, Derek Pearsall</t>
  </si>
  <si>
    <t>Diachronic, Typological, and Areal Aspects of Converbs</t>
  </si>
  <si>
    <t>Paola Cotticelli-Kurras, Eystein Dahl, Jelena Živojinović</t>
  </si>
  <si>
    <t>Possible Knowledge</t>
  </si>
  <si>
    <t>Debapriya Sarkar</t>
  </si>
  <si>
    <t>Robert Louis Stevenson, Science, and the Fin de Siècle</t>
  </si>
  <si>
    <t>J. Reid</t>
  </si>
  <si>
    <t>Prose Fiction and Early Modern Sexuality,1570-1640</t>
  </si>
  <si>
    <t>C. Relihan, G. Stanivukovic</t>
  </si>
  <si>
    <t>The Consummate Virgin</t>
  </si>
  <si>
    <t>Jodi McAlister</t>
  </si>
  <si>
    <t>Gender and Women's Leadership</t>
  </si>
  <si>
    <t>Karen O'Connor</t>
  </si>
  <si>
    <t>Business &amp; Economics</t>
  </si>
  <si>
    <t>SAGE</t>
  </si>
  <si>
    <t>Challenging Realities: Magic Realism in Contemporary American Women's Fiction</t>
  </si>
  <si>
    <t>M. Ruth Noriega Sánchez</t>
  </si>
  <si>
    <t>Universitat de València</t>
  </si>
  <si>
    <t>Fantasy</t>
  </si>
  <si>
    <t>Richard Mathews</t>
  </si>
  <si>
    <t>The Fantasy Sport Industry</t>
  </si>
  <si>
    <t>Andrew Billings, Brody Ruihley</t>
  </si>
  <si>
    <t>Sports &amp; Recreation</t>
  </si>
  <si>
    <t>Interface Fantasy</t>
  </si>
  <si>
    <t>Andre Nusselder</t>
  </si>
  <si>
    <t>Fantasy Football and Mathematics</t>
  </si>
  <si>
    <t>Dan Flockhart</t>
  </si>
  <si>
    <t>Final Fantasy Ultimania Archive Volume 2</t>
  </si>
  <si>
    <t>Square Enix</t>
  </si>
  <si>
    <t>Games &amp; Activities</t>
  </si>
  <si>
    <t>Dark Horse Comics</t>
  </si>
  <si>
    <t>Translation and Fantasy Literature in Taiwan</t>
  </si>
  <si>
    <t>Y. Chung</t>
  </si>
  <si>
    <t>Race and Popular Fantasy Literature</t>
  </si>
  <si>
    <t>Helen Young</t>
  </si>
  <si>
    <t>Fantasy Football's Big Six</t>
  </si>
  <si>
    <t>Robert Zarzycki</t>
  </si>
  <si>
    <t>AuthorHouse</t>
  </si>
  <si>
    <t>The Year's Best Fantasy</t>
  </si>
  <si>
    <t>Paula Guran</t>
  </si>
  <si>
    <t>Pyr</t>
  </si>
  <si>
    <t>Imagination from Fantasy to Delusion</t>
  </si>
  <si>
    <t>Lois Oppenheim</t>
  </si>
  <si>
    <t>Psychology</t>
  </si>
  <si>
    <t>The Year's Best Dark Fantasy &amp; Horror</t>
  </si>
  <si>
    <t>The Cambridge Companion to Fantasy Literature</t>
  </si>
  <si>
    <t>Edward James, Farah Mendlesohn</t>
  </si>
  <si>
    <t>Historical Dictionary of Fantasy Literature</t>
  </si>
  <si>
    <t>Allen Stroud</t>
  </si>
  <si>
    <t>Rowman &amp; Littlefield</t>
  </si>
  <si>
    <t>The Fantasy Literature of England</t>
  </si>
  <si>
    <t>Colin N. Manlove</t>
  </si>
  <si>
    <t>Yoshitaka Amano: The Illustrated Biography Beyond the Fantasy Limited Edition</t>
  </si>
  <si>
    <t>Florent Gorges, Luc Petronille</t>
  </si>
  <si>
    <t>Comics &amp; Graphic Novels</t>
  </si>
  <si>
    <t>Gender and Sexuality in Contemporary Popular Fantasy</t>
  </si>
  <si>
    <t>Jude Roberts, Esther MacCallum-Stewart</t>
  </si>
  <si>
    <t>Life with an Ordinary Guy Who Reincarnated into a Total Fantasy Knockout Vol. 4</t>
  </si>
  <si>
    <t>Yu Tsurusaki, Shin Ikezawa</t>
  </si>
  <si>
    <t>Seven Seas Entertainment</t>
  </si>
  <si>
    <t>Children's stories</t>
  </si>
  <si>
    <t>Fantasy Global Appeal</t>
  </si>
  <si>
    <t>Nakoa Rainfall, AI</t>
  </si>
  <si>
    <t>Publifye AS</t>
  </si>
  <si>
    <t>Fantasy Football Tips</t>
  </si>
  <si>
    <t>Sam Hendricks</t>
  </si>
  <si>
    <t>Fantasy Sports Unleashed</t>
  </si>
  <si>
    <t>Barrett Williams, ChatGPT</t>
  </si>
  <si>
    <t>Barrett Williams</t>
  </si>
  <si>
    <t>Art of Fantasy</t>
  </si>
  <si>
    <t>S. Elizabeth</t>
  </si>
  <si>
    <t>Art</t>
  </si>
  <si>
    <t>Frances Lincoln Children's Books</t>
  </si>
  <si>
    <t>Fantasy Comics Influence</t>
  </si>
  <si>
    <t>Logan Rodriguez, AI</t>
  </si>
  <si>
    <t>Rhetorics of Fantasy</t>
  </si>
  <si>
    <t>Farah Mendlesohn</t>
  </si>
  <si>
    <t>Wesleyan University Press</t>
  </si>
  <si>
    <t>Child Studies Through Fantasy</t>
  </si>
  <si>
    <t>Rosalind Gould</t>
  </si>
  <si>
    <t>Crown</t>
  </si>
  <si>
    <t>Fantasy Art Bible</t>
  </si>
  <si>
    <t>Jane Moseley, Jackie Strachan</t>
  </si>
  <si>
    <t>Chartwell</t>
  </si>
  <si>
    <t>Modern Mystery, Fantasy, and Science Fiction Writers</t>
  </si>
  <si>
    <t>Bruce Cassiday</t>
  </si>
  <si>
    <t>Burns &amp; Oates</t>
  </si>
  <si>
    <t>Final Fantasy VIII Official Strategy Guide</t>
  </si>
  <si>
    <t>David Cassady</t>
  </si>
  <si>
    <t>BradyGames</t>
  </si>
  <si>
    <t>English literature</t>
  </si>
  <si>
    <t>Thriller Genre Trends</t>
  </si>
  <si>
    <t>Aisha Khan, AI</t>
  </si>
  <si>
    <t>Thrillers</t>
  </si>
  <si>
    <t>John Fraser</t>
  </si>
  <si>
    <t>eBookIt.com</t>
  </si>
  <si>
    <t>The Thriller</t>
  </si>
  <si>
    <t>Gregory G. Sarno</t>
  </si>
  <si>
    <t>Performing Arts</t>
  </si>
  <si>
    <t>Antiques &amp; Collectibles</t>
  </si>
  <si>
    <t>History and Story in the American Political Thriller Film</t>
  </si>
  <si>
    <t>Pablo Castrillo Maortua</t>
  </si>
  <si>
    <t>Study Aids</t>
  </si>
  <si>
    <t xml:space="preserve">Gale, Cengage Learning </t>
  </si>
  <si>
    <t>Storizen Magazine October 2019 | A Thriller Writer at Heart - Kanchana Banerjee</t>
  </si>
  <si>
    <t>Saurabh Chawla, Pria Raiyani</t>
  </si>
  <si>
    <t>Storizen Media</t>
  </si>
  <si>
    <t>The Unseen Face (Barren Pines: Book 7)</t>
  </si>
  <si>
    <t>Kate Bold</t>
  </si>
  <si>
    <t>Understanding Competition and Diversity in Television Programming: Economic crisis &amp; TV</t>
  </si>
  <si>
    <t>Andreas Masouras</t>
  </si>
  <si>
    <t>diplom.de</t>
  </si>
  <si>
    <t>Where You Go (A Kelly Cruz Mystery—Book One)</t>
  </si>
  <si>
    <t>Rylie Dark</t>
  </si>
  <si>
    <t>Crime Fiction</t>
  </si>
  <si>
    <t>John Scaggs</t>
  </si>
  <si>
    <t>Personal Voice</t>
  </si>
  <si>
    <t>Katherine Lindberg</t>
  </si>
  <si>
    <t>CRC Press</t>
  </si>
  <si>
    <t>Internet Science</t>
  </si>
  <si>
    <t>Svetlana S. Bodrunova</t>
  </si>
  <si>
    <t>Computers</t>
  </si>
  <si>
    <t>His Other Self (A Jessie Reach Mystery—Book Two)</t>
  </si>
  <si>
    <t>Beyond Doubt (A Reese Link Mystery—Book Four)</t>
  </si>
  <si>
    <t>Molly Black</t>
  </si>
  <si>
    <t>Alternative Scriptwriting</t>
  </si>
  <si>
    <t>Ken Dancyger, Jeff Rush</t>
  </si>
  <si>
    <t>Target Thirteen (The Spy Game—Book #13)</t>
  </si>
  <si>
    <t>Jack Mars</t>
  </si>
  <si>
    <t>Where You Fear (A Kelly Cruz Mystery—Book Five)</t>
  </si>
  <si>
    <t>Film and Suspense</t>
  </si>
  <si>
    <t>Altan Löker</t>
  </si>
  <si>
    <t>Trafford Publishing</t>
  </si>
  <si>
    <t>Driving With Music: Cognitive-Behavioural Implications</t>
  </si>
  <si>
    <t>Dr Warren Brodsky</t>
  </si>
  <si>
    <t>Technology &amp; Engineering</t>
  </si>
  <si>
    <t>Ashgate Publishing, Ltd.</t>
  </si>
  <si>
    <t>AKASHVANI</t>
  </si>
  <si>
    <t>All India Radio (AIR),New Delhi</t>
  </si>
  <si>
    <t>The Hero in Transition</t>
  </si>
  <si>
    <t>Ray Broadus Browne, Marshall William Fishwick</t>
  </si>
  <si>
    <t>Popular Press</t>
  </si>
  <si>
    <t>The Intellectual Devotional Modern Culture</t>
  </si>
  <si>
    <t>David S. Kidder, Noah D. Oppenheim</t>
  </si>
  <si>
    <t>Rodale</t>
  </si>
  <si>
    <t>Jaico Publishing House</t>
  </si>
  <si>
    <t>The End of Meaning</t>
  </si>
  <si>
    <t>Matthew Gumpert</t>
  </si>
  <si>
    <t>Cambridge Scholars Publishing</t>
  </si>
  <si>
    <t>The Little Black Book of 80s Hits</t>
  </si>
  <si>
    <t>Wise Publications</t>
  </si>
  <si>
    <t>The Lies That Bind Us</t>
  </si>
  <si>
    <t>Gone Dark</t>
  </si>
  <si>
    <t>CJ Lyons</t>
  </si>
  <si>
    <t>CJ Lyons+ORM</t>
  </si>
  <si>
    <t>Young People, Stalking Awareness and Domestic Abuse</t>
  </si>
  <si>
    <t>Maria Mellins, Rachael Wheatley, Caroline Flowers</t>
  </si>
  <si>
    <t>Devil Smoke</t>
  </si>
  <si>
    <t>The Sleepless Stars</t>
  </si>
  <si>
    <t>EdgyReads</t>
  </si>
  <si>
    <t>The Narrative Reader</t>
  </si>
  <si>
    <t>Martin McQuillan</t>
  </si>
  <si>
    <t>Target Nine (The Spy Game—Book #9)</t>
  </si>
  <si>
    <t>Christianity</t>
  </si>
  <si>
    <t>Ivan King, christianity</t>
  </si>
  <si>
    <t>christianity</t>
  </si>
  <si>
    <t>Bestsellers</t>
  </si>
  <si>
    <t>Ivan King, Bestsellers</t>
  </si>
  <si>
    <t>Young Adult Fiction</t>
  </si>
  <si>
    <t>bestsellers</t>
  </si>
  <si>
    <t>New Educational Philosophy</t>
  </si>
  <si>
    <t>Bhagirathi Sahu</t>
  </si>
  <si>
    <t>Sarup &amp; Sons</t>
  </si>
  <si>
    <t>An Introductory Philosophy of Medicine</t>
  </si>
  <si>
    <t>James A. Marcum</t>
  </si>
  <si>
    <t>Springer Science &amp; Business Media</t>
  </si>
  <si>
    <t>Being a Philosopher</t>
  </si>
  <si>
    <t>David W. Hamlyn</t>
  </si>
  <si>
    <t>The Oxford Handbook of Philosophy and Race</t>
  </si>
  <si>
    <t>Naomi Zack</t>
  </si>
  <si>
    <t>A Conceptual-analytic Study of Classical Indian Philosophy of Morals</t>
  </si>
  <si>
    <t>Rajendra Prasad</t>
  </si>
  <si>
    <t>Ethics</t>
  </si>
  <si>
    <t>Concept Publishing Company</t>
  </si>
  <si>
    <t>The Philosophy of Law and Legal Science</t>
  </si>
  <si>
    <t>V.P. Salnikov, S.I. Zakhartsev</t>
  </si>
  <si>
    <t>The Onion and Philosophy</t>
  </si>
  <si>
    <t>Sharon Kaye</t>
  </si>
  <si>
    <t>Open Court</t>
  </si>
  <si>
    <t>The Philosophical Foundations of Ecological Civilization</t>
  </si>
  <si>
    <t>Arran Gare</t>
  </si>
  <si>
    <t>Nature</t>
  </si>
  <si>
    <t>Nietzsche's Philosophical Context</t>
  </si>
  <si>
    <t>Thomas H Brobjer</t>
  </si>
  <si>
    <t>University of Illinois Press</t>
  </si>
  <si>
    <t>The Philosopher</t>
  </si>
  <si>
    <t>Justin Smith-Ruiu</t>
  </si>
  <si>
    <t>Jew and Philosopher</t>
  </si>
  <si>
    <t>Kenneth Hart Green</t>
  </si>
  <si>
    <t>Top 101 Philosophers</t>
  </si>
  <si>
    <t>Britannica Educational Publishing</t>
  </si>
  <si>
    <t>A Philosopher's Apprentice</t>
  </si>
  <si>
    <t>Joseph Agassi</t>
  </si>
  <si>
    <t>Philosophical Papers: Volume 3, Realism and Reason</t>
  </si>
  <si>
    <t>Hilary Putnam</t>
  </si>
  <si>
    <t>Great Philosophers</t>
  </si>
  <si>
    <t>Jeremy Stangroom, James Garvey</t>
  </si>
  <si>
    <t>The Rosen Publishing Group, Inc</t>
  </si>
  <si>
    <t>Emerson as Philosopher</t>
  </si>
  <si>
    <t>Richard Gilmore</t>
  </si>
  <si>
    <t>Philosophical Writing</t>
  </si>
  <si>
    <t>A. P. Martinich</t>
  </si>
  <si>
    <t>Philosophy of Language</t>
  </si>
  <si>
    <t>William G. Lycan</t>
  </si>
  <si>
    <t>Philosophers on Race</t>
  </si>
  <si>
    <t>Julie K. Ward, Tommy L. Lott</t>
  </si>
  <si>
    <t>Faith and the Philosophers</t>
  </si>
  <si>
    <t>John Hick</t>
  </si>
  <si>
    <t>Plato and the Question of Beauty</t>
  </si>
  <si>
    <t>Drew A. Hyland</t>
  </si>
  <si>
    <t>Indiana University Press</t>
  </si>
  <si>
    <t>200 Words to Help You Talk about Philosophy</t>
  </si>
  <si>
    <t>Anja Steinbauer</t>
  </si>
  <si>
    <t>Hachette UK</t>
  </si>
  <si>
    <t>Kod?ly Today</t>
  </si>
  <si>
    <t>M?che?l Houlahan, Philip Tacka</t>
  </si>
  <si>
    <t>System of Transcendental Idealism (1800)</t>
  </si>
  <si>
    <t>Friedrich Wilhelm Joseph von Schelling</t>
  </si>
  <si>
    <t>University of Virginia Press</t>
  </si>
  <si>
    <t>Coping</t>
  </si>
  <si>
    <t>C. R. Snyder</t>
  </si>
  <si>
    <t>Clarendon Press</t>
  </si>
  <si>
    <t>The Oxford Handbook of Clinical Psychology</t>
  </si>
  <si>
    <t>David H. Barlow</t>
  </si>
  <si>
    <t>Charles Hubbard Judd</t>
  </si>
  <si>
    <t>New York : C. Scribner's sons</t>
  </si>
  <si>
    <t>Essential Psychology</t>
  </si>
  <si>
    <t>Philip Banyard, Gayle Dillon, Christine Norman, Belinda Winder</t>
  </si>
  <si>
    <t>SAGE Publications Limited</t>
  </si>
  <si>
    <t>Handbook of Psychology and Law</t>
  </si>
  <si>
    <t>Dorothy K. Kagehiro, William S. Laufer</t>
  </si>
  <si>
    <t>A Practical Guide to Building Professional Competencies in School Psychology</t>
  </si>
  <si>
    <t>Timothy M. Lionetti, Edward P. Snyder, Ray W. Christner</t>
  </si>
  <si>
    <t>Applied Psychology</t>
  </si>
  <si>
    <t>Rowan Bayne, Ian Horton</t>
  </si>
  <si>
    <t>Handbook of Clinical Psychopharmacology for Psychologists</t>
  </si>
  <si>
    <t>Mark Muse, Bret A. Moore</t>
  </si>
  <si>
    <t>What Is Psychology?</t>
  </si>
  <si>
    <t>Ellen E. Pastorino, Susann M. Doyle-Portillo</t>
  </si>
  <si>
    <t>Cengage Learning</t>
  </si>
  <si>
    <t>The Future of Psychology</t>
  </si>
  <si>
    <t>Rubén Ardila</t>
  </si>
  <si>
    <t>The Psychological Science of Money</t>
  </si>
  <si>
    <t>Erik Bijleveld, Henk Aarts</t>
  </si>
  <si>
    <t>Meta-Analysis for Psychologists</t>
  </si>
  <si>
    <t>Richard Cooke</t>
  </si>
  <si>
    <t>Foundations of the Psychological Intervention</t>
  </si>
  <si>
    <t>Sergio Salvatore, Barbara Cordella</t>
  </si>
  <si>
    <t>Essentials of Culture in Psychological Assessment</t>
  </si>
  <si>
    <t>A. Jordan Wright</t>
  </si>
  <si>
    <t>Essays in Ancient Greek Philosophy II</t>
  </si>
  <si>
    <t>John Peter Anton, George L. Kustas, Anthony Preus</t>
  </si>
  <si>
    <t>SUNY Press</t>
  </si>
  <si>
    <t>Behavior and Psychological Man</t>
  </si>
  <si>
    <t>Edward Chace Tolman</t>
  </si>
  <si>
    <t>Dissemination and Implementation of Evidence-Based Psychological Interventions</t>
  </si>
  <si>
    <t>R. Kathryn McHugh, David H. Barlow</t>
  </si>
  <si>
    <t>Psychology Australian and New Zealand Edition</t>
  </si>
  <si>
    <t>Douglas A. Bernstein, Julie Ann Pooley, Lynne Cohen, Steve Provost, Jacquelyn Cranney, Bethanie Gouldthorp, Neil Drew</t>
  </si>
  <si>
    <t>Cengage AU</t>
  </si>
  <si>
    <t>Essentials of Forensic Psychological Assessment</t>
  </si>
  <si>
    <t>Marc J. Ackerman</t>
  </si>
  <si>
    <t>Emotions in Social Psychology</t>
  </si>
  <si>
    <t>W. Gerrod Parrott</t>
  </si>
  <si>
    <t>Atlantic Publishers &amp; Dist</t>
  </si>
  <si>
    <t>Pyschology 4e</t>
  </si>
  <si>
    <t>Douglas A. Bernstein, Julie Ann Pooley, Lynne Cohen, Steve Provost, Jacquelyn Cranney, Neil Drew</t>
  </si>
  <si>
    <t>Cognitive Behavior Therapy</t>
  </si>
  <si>
    <t>William T. O'Donohue, Jane E. Fisher</t>
  </si>
  <si>
    <t>Human Growth and Development</t>
  </si>
  <si>
    <t>Mr. Rohit Manglik</t>
  </si>
  <si>
    <t>EduGorilla Publication</t>
  </si>
  <si>
    <t>Psychological and Transcendental Phenomenology and the Confrontation with Heidegger (1927–1931)</t>
  </si>
  <si>
    <t>Edmund Husserl</t>
  </si>
  <si>
    <t>Handbook of Personality Assessment</t>
  </si>
  <si>
    <t>Irving B. Weiner, Roger L. Greene</t>
  </si>
  <si>
    <t>Research Methods Pedagogy: Engaging Psychology Students in Research Methods and Statistics</t>
  </si>
  <si>
    <t>Lynne Roberts</t>
  </si>
  <si>
    <t>Frontiers Media SA</t>
  </si>
  <si>
    <t>Arthāt arthatantra</t>
  </si>
  <si>
    <t>Sujeev Shakya</t>
  </si>
  <si>
    <t>Publication Nepalaya</t>
  </si>
  <si>
    <t>ne</t>
  </si>
  <si>
    <t>SUN TZU ENTREPRENEURSHIP™</t>
  </si>
  <si>
    <t>James Sonhill DBA, Sun Tzu</t>
  </si>
  <si>
    <t>Sonhill Publishing LLC</t>
  </si>
  <si>
    <t>Marketing and Managing Tourism Destinations</t>
  </si>
  <si>
    <t>Alastair M. Morrison</t>
  </si>
  <si>
    <t>Military Spouse Journey</t>
  </si>
  <si>
    <t>Kathie Hightower, Holly Scherer</t>
  </si>
  <si>
    <t>Elva Resa Publishing</t>
  </si>
  <si>
    <t>Cambridge IGCSE® Business Studies Coursebook with CD-ROM</t>
  </si>
  <si>
    <t>Mark Fisher, Medi Houghton, Veenu Jain</t>
  </si>
  <si>
    <t>Information Technology Project Management</t>
  </si>
  <si>
    <t>Jack T. Marchewka</t>
  </si>
  <si>
    <t>Handbook of Pediatric Behavioral Healthcare</t>
  </si>
  <si>
    <t>Susan G. Forman, Jeffrey D. Shahidullah</t>
  </si>
  <si>
    <t>The Learning Healthcare System</t>
  </si>
  <si>
    <t>Institute of Medicine, Roundtable on Evidence-Based Medicine</t>
  </si>
  <si>
    <t>National Academies Press</t>
  </si>
  <si>
    <t>Mismanaged Money in American Healthcare</t>
  </si>
  <si>
    <t>Lisa Famiglietti, Mark Scott</t>
  </si>
  <si>
    <t>Health &amp; Fitness</t>
  </si>
  <si>
    <t>Impact of Digital Solutions for Improved Healthcare Delivery</t>
  </si>
  <si>
    <t>Wickramasinghe, Nilmini</t>
  </si>
  <si>
    <t>IGI Global</t>
  </si>
  <si>
    <t>Public Health Nursing - Revised Reprint</t>
  </si>
  <si>
    <t>Marcia Stanhope, Jeanette Lancaster</t>
  </si>
  <si>
    <t>Elsevier Health Sciences</t>
  </si>
  <si>
    <t>Back Injury Among Healthcare Workers</t>
  </si>
  <si>
    <t>William Charney, Anne Hudson</t>
  </si>
  <si>
    <t>The Art and Science of Mental Health Nursing</t>
  </si>
  <si>
    <t>Ian Norman</t>
  </si>
  <si>
    <t>McGraw-Hill Education (UK)</t>
  </si>
  <si>
    <t>Kozier &amp; Erb's Fundamentals of Nursing Australian Edition</t>
  </si>
  <si>
    <t>Audry Berman, Shirlee J. Snyder, Barbara Kozier, Glenora Lea Erb, Tracy Levett-Jones, Trudy Dwyer, Majella Hales, Nichole Harvey, Lorna Moxham, Tanya Park, Barbara Parker, Kerry Reid-Searl, David Stanley</t>
  </si>
  <si>
    <t>Pearson Higher Education AU</t>
  </si>
  <si>
    <t>Functional Performance in Older Adults</t>
  </si>
  <si>
    <t>Bette R Bonder, Vanina Dal Bello-Haas</t>
  </si>
  <si>
    <t>F.A. Davis</t>
  </si>
  <si>
    <t>Cook's Science</t>
  </si>
  <si>
    <t>Cook's Illustrated, Guy Crosby, Ph.D</t>
  </si>
  <si>
    <t>Cooking</t>
  </si>
  <si>
    <t>America's Test Kitchen</t>
  </si>
  <si>
    <t>The Basic Basics How to Cook from A–Z</t>
  </si>
  <si>
    <t>Janet Macdonald</t>
  </si>
  <si>
    <t>Grub Street Cookery</t>
  </si>
  <si>
    <t>Zero Oil South Indian Cook Book</t>
  </si>
  <si>
    <t>Dr. Bimal Chhajer</t>
  </si>
  <si>
    <t>Cooking, Indic</t>
  </si>
  <si>
    <t>Diamond Pocket Books (P) Ltd.</t>
  </si>
  <si>
    <t>Exploring Culinary Arts</t>
  </si>
  <si>
    <t>Balram Chugh</t>
  </si>
  <si>
    <t>Travel</t>
  </si>
  <si>
    <t>Educohack Press</t>
  </si>
  <si>
    <t>Routine Post-harvest Screening of Banana/plantain Hybrids</t>
  </si>
  <si>
    <t>B. K. Dadzie, J. E. Orchard</t>
  </si>
  <si>
    <t>Bananas</t>
  </si>
  <si>
    <t>Bioversity International</t>
  </si>
  <si>
    <t>Advanced Research Methods in Food Processing Technologies</t>
  </si>
  <si>
    <t>Junaid Ahmad Malik, Megh R. Goyal, Preeti Birwal, Ritesh B. Watharkar</t>
  </si>
  <si>
    <t>The Temple Complex at Horvat Omrit</t>
  </si>
  <si>
    <t>J. Andrew Overman, Daniel N. Schowalter, Michael C. Nelson</t>
  </si>
  <si>
    <t>Longman Active Study Dictionary</t>
  </si>
  <si>
    <t>Michael Mayor</t>
  </si>
  <si>
    <t>Foreign Language Study</t>
  </si>
  <si>
    <t>Pearson Education India</t>
  </si>
  <si>
    <t>The Human Side of Service Engineering</t>
  </si>
  <si>
    <t>Christine Leitner, Jens Neuhüttler, Clara Bassano and Debra Satterfield</t>
  </si>
  <si>
    <t>AHFE International</t>
  </si>
  <si>
    <t>Food Phytates</t>
  </si>
  <si>
    <t>N. Rukma Reddy, Shridhar K. Sathe</t>
  </si>
  <si>
    <t>Mindful Eating</t>
  </si>
  <si>
    <t>Özge Zeytin Bildirici</t>
  </si>
  <si>
    <t xml:space="preserve">Özge Zeytin Bildirici </t>
  </si>
  <si>
    <t>Foodservice Operations and Management: Concepts and Applications</t>
  </si>
  <si>
    <t>Karen Eich Drummond, Mary Cooley, Thomas J. Cooley</t>
  </si>
  <si>
    <t>Jones &amp; Bartlett Learning</t>
  </si>
  <si>
    <t>Kavousi IIB</t>
  </si>
  <si>
    <t>Leslie Preston Day, Kevin T. Glowacki</t>
  </si>
  <si>
    <t>INSTAP Academic Press</t>
  </si>
  <si>
    <t>Use of the RE-AIM Framework: Translating Research to Practice with Novel Applications and Emerging Directions</t>
  </si>
  <si>
    <t>Russell E. Glasgow, Samantha M. Harden, Bridget Gaglio, Borsika Adrienn Rabin, Marcia G. Ory, Matthew Lee Smith, Paul A. Estabrooks</t>
  </si>
  <si>
    <t>Oswaal ISC 5 Previous Year Solved Papers Class-12 | Year wise 2018-2024 | Commerce (Accounts, Economics, Business studies, commerce, English 1, English 2, Maths, Hindi, Computer science) For 2025 Board Exam</t>
  </si>
  <si>
    <t>Oswaal Editorial Board</t>
  </si>
  <si>
    <t>Oswaal Books</t>
  </si>
  <si>
    <t>Proceedings of the World Congress on Vegetable Protein Utilization in Human Foods and Animal Feedstuffs</t>
  </si>
  <si>
    <t>Thomas H. Applewhite</t>
  </si>
  <si>
    <t>The American Oil Chemists Society</t>
  </si>
  <si>
    <t>Bronze Age Settlement and Land-Use in Thy, Northwest Denmark (Volume 1 &amp; 2)</t>
  </si>
  <si>
    <t>Jens-Henrik Bech, Kristian Kristiansen, Berit Valentin Eriksen</t>
  </si>
  <si>
    <t>Aarhus Universitetsforlag</t>
  </si>
  <si>
    <t>Indo-Persian Travels in the Age of Discoveries, 1400-1800</t>
  </si>
  <si>
    <t>Muzaffar Alam, Sanjay Subrahmanyam</t>
  </si>
  <si>
    <t>Words at Work</t>
  </si>
  <si>
    <t>David Horner, Peter Strutt</t>
  </si>
  <si>
    <t>Statewide Travel Forecasting Models</t>
  </si>
  <si>
    <t>Alan J. Horowitz, National Cooperative Highway Research Program</t>
  </si>
  <si>
    <t>Mathematics</t>
  </si>
  <si>
    <t>Transportation Research Board</t>
  </si>
  <si>
    <t>Managing Tourism and Hospitality Services</t>
  </si>
  <si>
    <t>B. Prideaux, Gianna Moscardo, Eric Laws</t>
  </si>
  <si>
    <t>Hospitality industry</t>
  </si>
  <si>
    <t>CABI</t>
  </si>
  <si>
    <t>How to Document Your Travels for Profit</t>
  </si>
  <si>
    <t>Ahmed Musa</t>
  </si>
  <si>
    <t>Recorded Books</t>
  </si>
  <si>
    <t>Drafting Technology Patent License Agreements</t>
  </si>
  <si>
    <t>Michael J. Lennon</t>
  </si>
  <si>
    <t>Wolters Kluwer</t>
  </si>
  <si>
    <t>Inclusive Leisure</t>
  </si>
  <si>
    <t>Mary Ann Devine, Lynn Anderson</t>
  </si>
  <si>
    <t>Human Kinetics</t>
  </si>
  <si>
    <t>The Definitive Guide to Entertainment Marketing</t>
  </si>
  <si>
    <t>Al Lieberman, Pat Esgate</t>
  </si>
  <si>
    <t>FT Press</t>
  </si>
  <si>
    <t>Technology Integration and Foundations for Effective Leadership</t>
  </si>
  <si>
    <t>Wang, Shuyan, Hartsell, Taralynn</t>
  </si>
  <si>
    <t>Cities, value chains, and dairy production in Ethiopia</t>
  </si>
  <si>
    <t>Vandercasteelen, Joachim, Minten, Bart, Tamru, Seneshaw</t>
  </si>
  <si>
    <t>Intl Food Policy Res Inst</t>
  </si>
  <si>
    <t>Handbook of Research and Policy in Art Education</t>
  </si>
  <si>
    <t>Elliot W. Eisner, Michael D. Day</t>
  </si>
  <si>
    <t>The Theory of the Arts</t>
  </si>
  <si>
    <t>Francis Edward Sparshott</t>
  </si>
  <si>
    <t>EU Law After Lisbon</t>
  </si>
  <si>
    <t>Andrea Biondi, Piet Eeckhout, Stefanie Ripley</t>
  </si>
  <si>
    <t>Nicholls, Montgomery, and Knowles on The Law of Extradition and Mutual Assistance</t>
  </si>
  <si>
    <t>Clive Nicholls QC, Clive Nicholls, Clare Montgomery QC, Clare Montgomery, Julian B. Knowles, Julian B. Knowles QC, Anand Doobay, Mark Summers</t>
  </si>
  <si>
    <t>European Union Law</t>
  </si>
  <si>
    <t>Damian Chalmers, Gareth Davies, Giorgio Monti</t>
  </si>
  <si>
    <t>Delivering Authentic Arts Education 4e</t>
  </si>
  <si>
    <t>Judith Dinham</t>
  </si>
  <si>
    <t>EU Competition Law and Intellectual Property Rights</t>
  </si>
  <si>
    <t>Pat  Treacy</t>
  </si>
  <si>
    <t>UN Convention against Transnational Organized Crime</t>
  </si>
  <si>
    <t>Andreas Schloenhardt, Francesco Calderoni, Joseph Lelliott, Bettina Weißer</t>
  </si>
  <si>
    <t>Unjustified Enrichment</t>
  </si>
  <si>
    <t>Stephen Swann, Christian von Bar</t>
  </si>
  <si>
    <t>Cases and Materials on the Carriage of Goods By Sea</t>
  </si>
  <si>
    <t>Martin Dockray</t>
  </si>
  <si>
    <t>The Diversification and Fragmentation of International Criminal Law</t>
  </si>
  <si>
    <t>Larissa van den Herik, Carsten Stahn</t>
  </si>
  <si>
    <t>Martinus Nijhoff Publishers</t>
  </si>
  <si>
    <t>Presidential Government in Gaullist France</t>
  </si>
  <si>
    <t>William G. Andrews</t>
  </si>
  <si>
    <t>Mason and McCall Smith's Law and Medical Ethics</t>
  </si>
  <si>
    <t>Graeme T. Laurie, Shawn Harmon, John Kenyon Mason, Gerard Porter, Alexander McCall Smith</t>
  </si>
  <si>
    <t>A Philosophy of Technology</t>
  </si>
  <si>
    <t>Pieter E. Vermaas</t>
  </si>
  <si>
    <t>Morgan &amp; Claypool Publishers</t>
  </si>
  <si>
    <t>Technen: Elements of Recent History of Information Technologies with Epistemological Conclusions</t>
  </si>
  <si>
    <t>Andrzej Piotr Wierzbicki</t>
  </si>
  <si>
    <t>Interactive Technologies and the Social Studies</t>
  </si>
  <si>
    <t>Peter H. Martorella</t>
  </si>
  <si>
    <t>Impact of Disruptive Technologies on the Socio-Economic Development of Emerging Countries</t>
  </si>
  <si>
    <t>Mtenzi, Fredrick Japhet, Oreku, George S., Lupiana, Dennis M.</t>
  </si>
  <si>
    <t>Advances in Embedded and Fan-Out Wafer Level Packaging Technologies</t>
  </si>
  <si>
    <t>Beth Keser, Steffen Kröhnert</t>
  </si>
  <si>
    <t>Security, Design, and Architecture for Broadband and Wireless Network Technologies</t>
  </si>
  <si>
    <t>Chilamkurti, Naveen</t>
  </si>
  <si>
    <t>Cultural Technologies</t>
  </si>
  <si>
    <t>Göran Bolin</t>
  </si>
  <si>
    <t>Energy-Efficient Technologies for the Dismounted Soldier</t>
  </si>
  <si>
    <t>National Research Council, Division on Engineering and Physical Sciences, Commission on Engineering and Technical Systems, Committee on Electric Power for the Dismounted Soldier</t>
  </si>
  <si>
    <t>Reshaping Learning with Next Generation Educational Technologies</t>
  </si>
  <si>
    <t>Braman, James, Brown, Alexis, Richards, Mary Jo</t>
  </si>
  <si>
    <t>The Role of Digital Technologies in Shaping the Post-Pandemic World</t>
  </si>
  <si>
    <t>Savvas Papagiannidis, Eleftherios Alamanos, Suraksha Gupta, Yogesh K. Dwivedi, Matti Mäntymäki, Ilias O. Pappas</t>
  </si>
  <si>
    <t>Disruptive Logic Architectures and Technologies</t>
  </si>
  <si>
    <t>Pierre-Emmanuel Gaillardon, Ian O’Connor, Fabien Clermidy</t>
  </si>
  <si>
    <t>Emerging Disruptive Technologies for Society 5.0 in Developing Countries</t>
  </si>
  <si>
    <t>Sara Arezki, Mariya Ouaissa, Mariyam Ouaissa, Moez Krichen, Anand Nayyar</t>
  </si>
  <si>
    <t>Simulation for Cyber-Physical Systems Engineering</t>
  </si>
  <si>
    <t>José L. Risco Martín, Saurabh Mittal, Tuncer Ören</t>
  </si>
  <si>
    <t>Economic and Social Implications of Information and Communication Technologies</t>
  </si>
  <si>
    <t>Bayar, Yilmaz, Karabetyan, Lina</t>
  </si>
  <si>
    <t>Cutting Edge Research in Technologies</t>
  </si>
  <si>
    <t>Constantin Volosencu</t>
  </si>
  <si>
    <t>Technologies to Lead Schools</t>
  </si>
  <si>
    <t>Gary Ivory, Dana Christman</t>
  </si>
  <si>
    <t>Bloomsbury Publishing PLC</t>
  </si>
  <si>
    <t>Proceedings of 4th 2024 International Conference on Autonomous Unmanned Systems (4th ICAUS 2024)</t>
  </si>
  <si>
    <t>Lianqing Liu, Yifeng Niu, Wenxing Fu, Yi Qu</t>
  </si>
  <si>
    <t>The AUPHA Manual of Health Services Management</t>
  </si>
  <si>
    <t>Robert J. Taylor, Susan B. Taylor</t>
  </si>
  <si>
    <t>Plunkett's Infotech Industry Almanac 2006: The Only Complete Guide to the Technologies and Companies Changing the Way the World Thinks, Works and Shar</t>
  </si>
  <si>
    <t>Jack W. Plunkett</t>
  </si>
  <si>
    <t>Plunkett Research, Ltd.</t>
  </si>
  <si>
    <t>Systems Engineering Using the DEJI Systems Model®</t>
  </si>
  <si>
    <t>Adedeji B. Badiru</t>
  </si>
  <si>
    <t>Teacher Education: Concepts, Methodologies, Tools, and Applications</t>
  </si>
  <si>
    <t>Management Association, Information Resources</t>
  </si>
  <si>
    <t>Green Technologies to Improve the Environment on Earth</t>
  </si>
  <si>
    <t>Marquidia Pacheco</t>
  </si>
  <si>
    <t>Supply Chain as Strategic Asset</t>
  </si>
  <si>
    <t>Vivek Sehgal</t>
  </si>
  <si>
    <t>Steps to Facilitate Principal-Investigator-Led Earth Science Missions</t>
  </si>
  <si>
    <t>National Research Council, Division on Engineering and Physical Sciences, Space Studies Board, Committee on Earth Studies</t>
  </si>
  <si>
    <t>Negative Economic Aspects of Higher Education</t>
  </si>
  <si>
    <t>Caroline Mutuku</t>
  </si>
  <si>
    <t>GRIN Verlag</t>
  </si>
  <si>
    <t>Handbook of Educational Psychology</t>
  </si>
  <si>
    <t>Patricia A. Alexander, PHILIP H WINNE</t>
  </si>
  <si>
    <t>Culturally Sensitive Research Methods for Educational Administration and Leadership</t>
  </si>
  <si>
    <t>Eugenie A. Samier, Eman S. ElKaleh</t>
  </si>
  <si>
    <t>Emotional Dimensions of Educational Administration and Leadership</t>
  </si>
  <si>
    <t>Eugenie A. Samier, Michèle Schmidt</t>
  </si>
  <si>
    <t>Educational Alternatives in Latin America</t>
  </si>
  <si>
    <t>Robert Aman, Timothy Ireland</t>
  </si>
  <si>
    <t>Special Educational Needs</t>
  </si>
  <si>
    <t>Ronald Gulliford, Graham Upton</t>
  </si>
  <si>
    <t>Educational Innovations Beyond Technology</t>
  </si>
  <si>
    <t>Nancy Law, Allan Yuen, Robert Fox</t>
  </si>
  <si>
    <t>American Educational History Journal</t>
  </si>
  <si>
    <t>Paul J. Ramsey</t>
  </si>
  <si>
    <t>IAP</t>
  </si>
  <si>
    <t>Educational Collateral Damage</t>
  </si>
  <si>
    <t>Anton McLean</t>
  </si>
  <si>
    <t>Policy Press</t>
  </si>
  <si>
    <t>FUNDAMENTALS OF EDUCATIONAL ADMINISTRATION, MANAGEMENT AND ORGANIZATION</t>
  </si>
  <si>
    <t>Ashok Yakkaldevi</t>
  </si>
  <si>
    <t>Educational Charters and Documents 598 to 1909</t>
  </si>
  <si>
    <t>Arthur Francis Leach</t>
  </si>
  <si>
    <t>Cambridge, U. P</t>
  </si>
  <si>
    <t>The Road to Sustained Growth in Jamaica</t>
  </si>
  <si>
    <t>World Bank</t>
  </si>
  <si>
    <t>World Bank Publications</t>
  </si>
  <si>
    <t>Knowledge Management for School Education</t>
  </si>
  <si>
    <t>Eric C. K. Cheng</t>
  </si>
  <si>
    <t>Career Opportunities in Education and Related Services, Second Edition</t>
  </si>
  <si>
    <t>Susan Echaore-McDavid</t>
  </si>
  <si>
    <t>Infobase Publishing</t>
  </si>
  <si>
    <t>Researching Higher Education in Asia</t>
  </si>
  <si>
    <t>Jisun Jung, Hugo Horta, Akiyoshi Yonezawa</t>
  </si>
  <si>
    <t>Teaching for Learning</t>
  </si>
  <si>
    <t>Claire Howell Major, Michael S. Harris, Todd D. Zakrajsek</t>
  </si>
  <si>
    <t>Education Policy</t>
  </si>
  <si>
    <t>Jerome G. Delaney</t>
  </si>
  <si>
    <t>Brush Education</t>
  </si>
  <si>
    <t>The Role of the Poet in Early Societies</t>
  </si>
  <si>
    <t>Morton Wilfred Bloomfield, Charles William Dunn</t>
  </si>
  <si>
    <t>Indie Poet Rock Star</t>
  </si>
  <si>
    <t>Michael La Ronn</t>
  </si>
  <si>
    <t>Author Level Up LLC</t>
  </si>
  <si>
    <t>On Poets and Others</t>
  </si>
  <si>
    <t>Octavio Paz</t>
  </si>
  <si>
    <t>Skyhorse</t>
  </si>
  <si>
    <t>Indian Literary Criticism</t>
  </si>
  <si>
    <t>G. N. Devy</t>
  </si>
  <si>
    <t>The Poet-Hero in the Work of Byron and Shelley</t>
  </si>
  <si>
    <t>Madeleine Callaghan</t>
  </si>
  <si>
    <t>Anthem Press</t>
  </si>
  <si>
    <t>Byron and the Best of Poets</t>
  </si>
  <si>
    <t>Nicholas Gayle</t>
  </si>
  <si>
    <t>The Poet’s Role</t>
  </si>
  <si>
    <t>Ruth J. Owen</t>
  </si>
  <si>
    <t>Youth Poets</t>
  </si>
  <si>
    <t>Korina M. Jocson</t>
  </si>
  <si>
    <t>Peter Lang</t>
  </si>
  <si>
    <t>The Poetic Theology of Love</t>
  </si>
  <si>
    <t>Thomas Hyde</t>
  </si>
  <si>
    <t>University of Delaware Press</t>
  </si>
  <si>
    <t>English poetry UP State (NEP) B.A Second Semester</t>
  </si>
  <si>
    <t>Dr. Shiva Kant Tripathi, Dr. Ravi Kumar Yadav</t>
  </si>
  <si>
    <t>Thakur Publication Private Limited</t>
  </si>
  <si>
    <t>My Heart Screams Enough</t>
  </si>
  <si>
    <t>Marc-Lee Tierney</t>
  </si>
  <si>
    <t xml:space="preserve">Marc-Lee Tierney </t>
  </si>
  <si>
    <t>Catalogue of the Mercantile Library of Philadelphia</t>
  </si>
  <si>
    <t>ohne Autor</t>
  </si>
  <si>
    <t>European Alliance for Innovation</t>
  </si>
  <si>
    <t>Routledge Handbook of Post Classical and Contemporary Persian Literature</t>
  </si>
  <si>
    <t>Kamran Talattof</t>
  </si>
  <si>
    <t>Treasury of Thought. Forming an Encyclopædia of Quotations from Ancient and Modern Authors</t>
  </si>
  <si>
    <t>Maturin Murray Ballou</t>
  </si>
  <si>
    <t>Treasures of Knowledge: An Inventory of the Ottoman Palace Library (1502/3-1503/4) (2 vols)</t>
  </si>
  <si>
    <t>Gülru Necipoğlu, Cemal Kafadar, Cornell H. Fleischer</t>
  </si>
  <si>
    <t>The Poetic Melody</t>
  </si>
  <si>
    <t>Ms. Arpita Roy</t>
  </si>
  <si>
    <t>Notion Press</t>
  </si>
  <si>
    <t>The Maine Poets</t>
  </si>
  <si>
    <t>Wesley McNair</t>
  </si>
  <si>
    <t>Down East Books</t>
  </si>
  <si>
    <t>Poetry &amp; Translation</t>
  </si>
  <si>
    <t>Peter Robinson</t>
  </si>
  <si>
    <t>Liverpool University Press</t>
  </si>
  <si>
    <t>Poetic Critique</t>
  </si>
  <si>
    <t>Michel Chaouli, Jan Lietz, Jutta Müller-Tamm, Simon Schleusener</t>
  </si>
  <si>
    <t>Poetry 180</t>
  </si>
  <si>
    <t>Billy Collins</t>
  </si>
  <si>
    <t>Random House Trade Paperbacks</t>
  </si>
  <si>
    <t>Criticism</t>
  </si>
  <si>
    <t>The Routledge Companion to Drama in Education</t>
  </si>
  <si>
    <t>Mary McAvoy, Peter O'Connor</t>
  </si>
  <si>
    <t>Drama and Traditional Story for the Early Years</t>
  </si>
  <si>
    <t>Nigel Toye, Francis Prendiville</t>
  </si>
  <si>
    <t>Teaching Drama in Primary and Secondary Schools</t>
  </si>
  <si>
    <t>Michael Fleming</t>
  </si>
  <si>
    <t>Drop the Drama!</t>
  </si>
  <si>
    <t>Guerin Moorman</t>
  </si>
  <si>
    <t>BalboaPress</t>
  </si>
  <si>
    <t>Writing and Producing Radio Dramas</t>
  </si>
  <si>
    <t>Esta de Fossard</t>
  </si>
  <si>
    <t>Jesuit School Drama</t>
  </si>
  <si>
    <t>Nigel Griffin</t>
  </si>
  <si>
    <t>DS Brewer</t>
  </si>
  <si>
    <t>Transforming Teaching and Learning with Active and Dramatic Approaches</t>
  </si>
  <si>
    <t>Brian Edmiston</t>
  </si>
  <si>
    <t>An Introduction to Arabic Literature</t>
  </si>
  <si>
    <t>Roger Allen</t>
  </si>
  <si>
    <t>Interactive Language Teaching</t>
  </si>
  <si>
    <t>Wilga M. Rivers</t>
  </si>
  <si>
    <t>Dance and Drama Bites for Seniors</t>
  </si>
  <si>
    <t>Frances Reed</t>
  </si>
  <si>
    <t>Dance</t>
  </si>
  <si>
    <t>Essential Resources</t>
  </si>
  <si>
    <t>Women, Television and Everyday Life in Korea</t>
  </si>
  <si>
    <t>Youna Kim</t>
  </si>
  <si>
    <t>Chief Contemporary Dramatists</t>
  </si>
  <si>
    <t>Thomas H. Dickinson</t>
  </si>
  <si>
    <t>The Language of Theatre</t>
  </si>
  <si>
    <t>Martin Harrison</t>
  </si>
  <si>
    <t>INCOLWIS 2019</t>
  </si>
  <si>
    <t>O'Neill's Shakespeare</t>
  </si>
  <si>
    <t>Normand Berlin</t>
  </si>
  <si>
    <t>University of Michigan Press</t>
  </si>
  <si>
    <t>William Shakespeare</t>
  </si>
  <si>
    <t>War and Popular Culture</t>
  </si>
  <si>
    <t>Chang-tai Hung</t>
  </si>
  <si>
    <t>Andros Odyssey: Liberation</t>
  </si>
  <si>
    <t>Stavros Boinodiris PHD</t>
  </si>
  <si>
    <t>Actors' Yearbook 2014</t>
  </si>
  <si>
    <t>Simon Dunmore</t>
  </si>
  <si>
    <t>Routledge International Companion to Education</t>
  </si>
  <si>
    <t>Miriam Ben-Peretz, Sally Brown, Bob Moon</t>
  </si>
  <si>
    <t>Routledge International Handbook of Adventure Tourism</t>
  </si>
  <si>
    <t>Gill Pomfret, Adele Doran, Carl Cater</t>
  </si>
  <si>
    <t>A 1000 Days Adventure - Entrepreneur Journeys</t>
  </si>
  <si>
    <t>Manoj Nakra</t>
  </si>
  <si>
    <t>Handbook of Group Counseling and Psychotherapy</t>
  </si>
  <si>
    <t>Janice L. DeLucia-Waack, Deborah A. Gerrity, Cynthia R. Kalodner, Maria Riva</t>
  </si>
  <si>
    <t>SAGE Publications</t>
  </si>
  <si>
    <t>Fox and Bear: Unforgettable Adventures</t>
  </si>
  <si>
    <t>Zamfir Iacob</t>
  </si>
  <si>
    <t>The Complete Short Stories of Sir Arthur Conan Doyle (Illustrated Edition)</t>
  </si>
  <si>
    <t>Arthur Conan Doyle</t>
  </si>
  <si>
    <t>Good Press</t>
  </si>
  <si>
    <t>The Complete Works of Arthur Conan Doyle (Illustrated)</t>
  </si>
  <si>
    <t>e-artnow</t>
  </si>
  <si>
    <t>Mikhail Bakhtin</t>
  </si>
  <si>
    <t>Gary Saul Morson, Caryl Emerson</t>
  </si>
  <si>
    <t>Stanford University Press</t>
  </si>
  <si>
    <t>Evidence-Based Writing, Grade 4</t>
  </si>
  <si>
    <t>Christine Schwab</t>
  </si>
  <si>
    <t>Carson-Dellosa Publishing</t>
  </si>
  <si>
    <t>Handbook of Physical Education</t>
  </si>
  <si>
    <t>David Kirk, Doune Macdonald, Mary O′Sullivan</t>
  </si>
  <si>
    <t>The MX Book of New Sherlock Holmes Stories - Part IX</t>
  </si>
  <si>
    <t>David Marcum</t>
  </si>
  <si>
    <t>Andrews UK Limited</t>
  </si>
  <si>
    <t>Tourism Product</t>
  </si>
  <si>
    <t>EduGorilla Community Pvt. Ltd.</t>
  </si>
  <si>
    <t>The Business of Tourism</t>
  </si>
  <si>
    <t>A. K. Bhatia</t>
  </si>
  <si>
    <t>Sterling Publishers Pvt. Ltd</t>
  </si>
  <si>
    <t>Adventures In Australia: A Comprehensive Guide</t>
  </si>
  <si>
    <t>Nicky Huys</t>
  </si>
  <si>
    <t>Nicky Huys Books</t>
  </si>
  <si>
    <t>Ecotourism</t>
  </si>
  <si>
    <t>David A. Fennell</t>
  </si>
  <si>
    <t>Outdoor Environmental Education in Higher Education</t>
  </si>
  <si>
    <t>Glyn Thomas, Janet Dyment, Heather Prince</t>
  </si>
  <si>
    <t>Play from Birth to Twelve</t>
  </si>
  <si>
    <t>Doris Pronin Fromberg, Doris Bergen</t>
  </si>
  <si>
    <t>The Blank Swan</t>
  </si>
  <si>
    <t>Elie Ayache</t>
  </si>
  <si>
    <t>The Adventures of Princess Ramele and Prince Peter, Vol. 2</t>
  </si>
  <si>
    <t>Mona Leung</t>
  </si>
  <si>
    <t>David Crockett: His Life and Adventures</t>
  </si>
  <si>
    <t>John S. C. Abbott</t>
  </si>
  <si>
    <t>Sustainable Human Resource Management in Tourism</t>
  </si>
  <si>
    <t>Tom Baum, Ann Ndiuini</t>
  </si>
  <si>
    <t>Mindful Adventures for Little Minds</t>
  </si>
  <si>
    <t>Mohan Chute</t>
  </si>
  <si>
    <t>The Holistic Care</t>
  </si>
  <si>
    <t>Feel Good &amp; Shine On: A Lifestyle</t>
  </si>
  <si>
    <t>Sunshine Mechtenberg</t>
  </si>
  <si>
    <t>The MX Book of New Sherlock Holmes Stories - Part XLVIII</t>
  </si>
  <si>
    <t>Philosophical Adventures in African Higher Education</t>
  </si>
  <si>
    <t>Yusef Waghid</t>
  </si>
  <si>
    <t>Sailing the Seven Seas of Life</t>
  </si>
  <si>
    <t>John Elzinga</t>
  </si>
  <si>
    <t>Dog Ear Publishing</t>
  </si>
  <si>
    <t>Franklin in the Dark</t>
  </si>
  <si>
    <t>Paulette Bourgeois</t>
  </si>
  <si>
    <t>Kids Can Press</t>
  </si>
  <si>
    <t>Hype</t>
  </si>
  <si>
    <t>Jon Helgason, Sara Kärrholm, Ann Steiner</t>
  </si>
  <si>
    <t>Nordic Academic Press</t>
  </si>
  <si>
    <t>iPod: The Missing Manual</t>
  </si>
  <si>
    <t>J.D. Biersdorfer, David Pogue</t>
  </si>
  <si>
    <t>"O'Reilly Media, Inc."</t>
  </si>
  <si>
    <t>Anne Bancroft</t>
  </si>
  <si>
    <t>Peter Shelley</t>
  </si>
  <si>
    <t>English for Academic Research: Vocabulary Exercises</t>
  </si>
  <si>
    <t>Adrian Wallwork</t>
  </si>
  <si>
    <t>Flash Professional CS6</t>
  </si>
  <si>
    <t>Katherine Ulrich</t>
  </si>
  <si>
    <t>Peachpit Press</t>
  </si>
  <si>
    <t>Elsevier</t>
  </si>
  <si>
    <t>Longman Dictionary of Contemporary English</t>
  </si>
  <si>
    <t>The Game Design Reader</t>
  </si>
  <si>
    <t>Katie Salen Tekinbas, Eric Zimmerman</t>
  </si>
  <si>
    <t>Encyclopedia of International Games</t>
  </si>
  <si>
    <t>Daniel Bell</t>
  </si>
  <si>
    <t>Designer's Guide to Mac OS X Tiger</t>
  </si>
  <si>
    <t>Jeff Gamet</t>
  </si>
  <si>
    <t>Prehispanic Settlement Patterns in the Northwestern Valley of Mexico</t>
  </si>
  <si>
    <t>Jeffrey R. Parsons</t>
  </si>
  <si>
    <t>U OF M MUSEUM ANTHRO ARCHAEOLOGY</t>
  </si>
  <si>
    <t>The Final Elegy: the Consolation of the Classics in Old Age</t>
  </si>
  <si>
    <t>Richard Oliver Brooks</t>
  </si>
  <si>
    <t>Xlibris Corporation</t>
  </si>
  <si>
    <t>The Making of the Modern Canon</t>
  </si>
  <si>
    <t>Jan Gorak</t>
  </si>
  <si>
    <t>Ancient Communities in the Mimbres Valley</t>
  </si>
  <si>
    <t>Roger Anyon, Steven A. LeBlanc</t>
  </si>
  <si>
    <t>University of Arizona Press</t>
  </si>
  <si>
    <t>Bone and Soft Tissue Tumors</t>
  </si>
  <si>
    <t>Therese J Bocklage, Robert Quinn, Berndt Schmit, Claire Verschraegen</t>
  </si>
  <si>
    <t>JP Medical Ltd</t>
  </si>
  <si>
    <t>The Prehistory of the Tuxtlas</t>
  </si>
  <si>
    <t>Robert S. Santley</t>
  </si>
  <si>
    <t>UNM Press</t>
  </si>
  <si>
    <t>The Anti-Group</t>
  </si>
  <si>
    <t>Morris Nitsun</t>
  </si>
  <si>
    <t>The Christian's Secret to a Happy Life</t>
  </si>
  <si>
    <t>Hannah Whitall Smith</t>
  </si>
  <si>
    <t>B&amp;H Publishing Group</t>
  </si>
  <si>
    <t>Conceptual Modeling: Foundations and Applications</t>
  </si>
  <si>
    <t>Alex T. Borgida, Vinay Chaudhri, Paolo Giorgini, Eric Yu</t>
  </si>
  <si>
    <t>UMTS Network Planning, Optimization, and Inter-Operation with GSM</t>
  </si>
  <si>
    <t>Moe Rahnema</t>
  </si>
  <si>
    <t>Encyclopedia of Social Theory</t>
  </si>
  <si>
    <t>Austin Harrington, Barbara L. Marshall, Hans-Peter Müller</t>
  </si>
  <si>
    <t>Dictionary of Artifacts</t>
  </si>
  <si>
    <t>Barbara Ann Kipfer</t>
  </si>
  <si>
    <t>Gathering Hopewell</t>
  </si>
  <si>
    <t>Christopher Carr, D. Troy Case</t>
  </si>
  <si>
    <t>Food Allergies</t>
  </si>
  <si>
    <t>William E. Walsh</t>
  </si>
  <si>
    <t>Turner Publishing Company</t>
  </si>
  <si>
    <t>A Regional Contemporary</t>
  </si>
  <si>
    <t>C. J. W.-L. Wee</t>
  </si>
  <si>
    <t>Dialogues with Contemporary Political Theorists</t>
  </si>
  <si>
    <t>G. Browning, R. Prokhovnik, M. Dimova-Cookson</t>
  </si>
  <si>
    <t>Contemporary Native American Cultural Issues</t>
  </si>
  <si>
    <t>Duane Champagne</t>
  </si>
  <si>
    <t>Rowman Altamira</t>
  </si>
  <si>
    <t>Aspects of Contemporary World Literature</t>
  </si>
  <si>
    <t>P. Bayapa Reddy</t>
  </si>
  <si>
    <t>Focus: Music in Contemporary Japan</t>
  </si>
  <si>
    <t>Jennifer Milioto Matsue</t>
  </si>
  <si>
    <t>Routledge Handbook of Contemporary Vietnam</t>
  </si>
  <si>
    <t>Jonathan D. London</t>
  </si>
  <si>
    <t>Intersectionality and Decolonisation in Contemporary British Crime Fiction</t>
  </si>
  <si>
    <t>Charlotte Beyer</t>
  </si>
  <si>
    <t>Religion and Contemporary Art</t>
  </si>
  <si>
    <t>Ronald R. Bernier, Rachel Hostetter Smith</t>
  </si>
  <si>
    <t>The Palgrave Handbook of Contemporary Irish Theatre and Performance</t>
  </si>
  <si>
    <t>Eamonn Jordan, Eric Weitz</t>
  </si>
  <si>
    <t>Contemporary Daoism, Organic Relationality, and Curriculum of Integrative Creativity</t>
  </si>
  <si>
    <t>Hongyu Wang</t>
  </si>
  <si>
    <t>Science and Technology in Contemporary China</t>
  </si>
  <si>
    <t>Varaprasad S. Dolla</t>
  </si>
  <si>
    <t>Routledge Handbook of Contemporary African Migration</t>
  </si>
  <si>
    <t>Daniel Makina, Dominic Pasura</t>
  </si>
  <si>
    <t>Understanding Mobilities for Designing Contemporary Cities</t>
  </si>
  <si>
    <t>Paola Pucci, Matteo Colleoni</t>
  </si>
  <si>
    <t>Aristotle - Contemporary Perspectives on his Thought</t>
  </si>
  <si>
    <t>Demetra Sfendoni-Mentzou</t>
  </si>
  <si>
    <t>Contemporary Sociological Thinkers and Theories</t>
  </si>
  <si>
    <t>Sandro Segre</t>
  </si>
  <si>
    <t>Rewriting White Masculinities in Contemporary Fiction and Film</t>
  </si>
  <si>
    <t>Josep M. Armengol</t>
  </si>
  <si>
    <t>Labor and Aesthetics in European Contemporary Dance</t>
  </si>
  <si>
    <t>Annelies Van Assche</t>
  </si>
  <si>
    <t>The Printed Book in Contemporary American Culture</t>
  </si>
  <si>
    <t>Heike Schaefer, Alexander Starre</t>
  </si>
  <si>
    <t>Contemporary Strategy Analysis</t>
  </si>
  <si>
    <t>Robert M. Grant</t>
  </si>
  <si>
    <t>Women and Contemporary Art in the Gulf</t>
  </si>
  <si>
    <t>Sabrina DeTurk</t>
  </si>
  <si>
    <t>The Politics of Contemporary Spain</t>
  </si>
  <si>
    <t>Sebastian Balfour</t>
  </si>
  <si>
    <t>World Encyclopedia of Contemporary Theatre</t>
  </si>
  <si>
    <t>Don Rubin, Carlos Solorzano</t>
  </si>
  <si>
    <t>Contemporary Computer-Assisted Language Learning</t>
  </si>
  <si>
    <t>Michael Thomas</t>
  </si>
  <si>
    <t>A Practical Reader in Contemporary Literary Theory</t>
  </si>
  <si>
    <t>Peter Brooker, Peter Widdowson</t>
  </si>
  <si>
    <t>Doctrine and Defense. Theological and Ecclesiastical Contemporary History. Monthly Bulletin</t>
  </si>
  <si>
    <t>EBOOK: Contemporary Management - MEE, 2e</t>
  </si>
  <si>
    <t>JONES</t>
  </si>
  <si>
    <t>McGraw Hill</t>
  </si>
  <si>
    <t>Routledge International Handbook of Contemporary Social and Political Theory</t>
  </si>
  <si>
    <t>Gerard Delanty, Stephen P. Turner</t>
  </si>
  <si>
    <t>Government and Politics of the Contemporary Middle East</t>
  </si>
  <si>
    <t>Tareq Y. Ismael, Jacqueline S. Ismael</t>
  </si>
  <si>
    <t>The Contemporary Reader of Gender and Fat Studies</t>
  </si>
  <si>
    <t>Amy Erdman Farrell</t>
  </si>
  <si>
    <t>What's Wrong with Contemporary Art?</t>
  </si>
  <si>
    <t>Peter Timms</t>
  </si>
  <si>
    <t>UNSW Press</t>
  </si>
  <si>
    <t>International Humanitarian Law (IHL) and Contemporary Warfare. Challenges and Recommendations</t>
  </si>
  <si>
    <t>Richlyn Siaw</t>
  </si>
  <si>
    <t>Contemporary Business</t>
  </si>
  <si>
    <t>Louis E. Boone, David L. Kurtz, Brahm Canzer</t>
  </si>
  <si>
    <t>Contemporary Art</t>
  </si>
  <si>
    <t>Emilie Dufresne</t>
  </si>
  <si>
    <t>Enslow Publishing, LLC</t>
  </si>
  <si>
    <t>Young Adult Literature</t>
  </si>
  <si>
    <t>Michael Cart</t>
  </si>
  <si>
    <t>Young Adult Offenders</t>
  </si>
  <si>
    <t>Friedrich Lösel, Anthony Bottoms, David P. Farrington</t>
  </si>
  <si>
    <t>Young Adult Faith</t>
  </si>
  <si>
    <t>Nancy Marrocco</t>
  </si>
  <si>
    <t>Saint Mary's Press</t>
  </si>
  <si>
    <t>Writing Young Adult Fiction For Dummies</t>
  </si>
  <si>
    <t>Deborah Halverson</t>
  </si>
  <si>
    <t>PEERS® for Young Adults</t>
  </si>
  <si>
    <t>Elizabeth Laugeson</t>
  </si>
  <si>
    <t>Models and Methods for Youth and Young Adult Ministry</t>
  </si>
  <si>
    <t>Arthur David Canales</t>
  </si>
  <si>
    <t>Teaching Young Adult Literature</t>
  </si>
  <si>
    <t>Thomas W. Bean, Judith Dunkerly-Bean, Helen J. Harper</t>
  </si>
  <si>
    <t>Cancer in Adolescents and Young Adults</t>
  </si>
  <si>
    <t>Archie W. Bleyer, Ronald Duncan Barr</t>
  </si>
  <si>
    <t>Guidelines for Leading Your Congregation 2013-2016 - Ministries with Young People</t>
  </si>
  <si>
    <t>Cindy Klick</t>
  </si>
  <si>
    <t>Abingdon Press</t>
  </si>
  <si>
    <t>Nursing Adolescents and Young Adults with Cancer</t>
  </si>
  <si>
    <t>Pia Riis Olsen, Sam Smith</t>
  </si>
  <si>
    <t>Dimensions of Human Behavior</t>
  </si>
  <si>
    <t>Elizabeth D. Hutchison</t>
  </si>
  <si>
    <t>The Critical Merits of Young Adult Literature</t>
  </si>
  <si>
    <t>Crag Hill</t>
  </si>
  <si>
    <t>Handbook of Death and Dying</t>
  </si>
  <si>
    <t>Clifton D. Bryant</t>
  </si>
  <si>
    <t>Young People And Social Change</t>
  </si>
  <si>
    <t>Furlong, Andy, Cartmel, Fred</t>
  </si>
  <si>
    <t>Contemporary Children's and Young Adult Literature</t>
  </si>
  <si>
    <t>Teen Spaces</t>
  </si>
  <si>
    <t>Kimberly Bolan Taney, Kimberly Bolan</t>
  </si>
  <si>
    <t>Children and Young People’s Relationships</t>
  </si>
  <si>
    <t>Samantha Punch, Kay Tisdall</t>
  </si>
  <si>
    <t>Early Adulthood in a Family Context</t>
  </si>
  <si>
    <t>Alan Booth, Susan L. Brown, Nancy S Landale, Wendy D. Manning, Susan M McHale</t>
  </si>
  <si>
    <t>Condition of Education 2009</t>
  </si>
  <si>
    <t>Michael Planty, William J. Hussar, Thomas D. Snyder</t>
  </si>
  <si>
    <t>Government Printing Office</t>
  </si>
  <si>
    <t>Handbook of Quality of Life in Cancer</t>
  </si>
  <si>
    <t>Angelos P. Kassianos</t>
  </si>
  <si>
    <t>Voices From the Wreckage: Young Adult Voices in the #MeToo Movement</t>
  </si>
  <si>
    <t>Kimberly Karshner</t>
  </si>
  <si>
    <t>Vernon Press</t>
  </si>
  <si>
    <t>Confrontation</t>
  </si>
  <si>
    <t>Vincent M. Azevedo</t>
  </si>
  <si>
    <t>Transitional Age Youth and Mental Illness: Influences on Young Adult Outcomes, An Issue of Child and Adolescent Psychiatric Clinics of North America, E-Book</t>
  </si>
  <si>
    <t>Adele L. Martel, D. Catherine Fuchs</t>
  </si>
  <si>
    <t>Children and Young People's Nursing at a Glance</t>
  </si>
  <si>
    <t>Elizabeth Gormley-Fleming, Sheila Roberts</t>
  </si>
  <si>
    <t>Writing Young Adult Novels</t>
  </si>
  <si>
    <t>Hadley Irwin, Jeannette Eyerly</t>
  </si>
  <si>
    <t>Betterway Books</t>
  </si>
  <si>
    <t>Child and Adult Development</t>
  </si>
  <si>
    <t>Calvin A. Colarusso</t>
  </si>
  <si>
    <t>Practical Paediatrics</t>
  </si>
  <si>
    <t>Don M. Roberton, M. J. South</t>
  </si>
  <si>
    <t>Essentials of Young Adult Literature</t>
  </si>
  <si>
    <t>Carl M. Tomlinson, Carol Lynch-Brown</t>
  </si>
  <si>
    <t>Allyn &amp; Bacon</t>
  </si>
  <si>
    <t>Journey to Adulthood</t>
  </si>
  <si>
    <t>Chin-Chun Yi, Ming-Chang Tsai</t>
  </si>
  <si>
    <t>A Textbook of Children's and Young People's Nursing E-Book</t>
  </si>
  <si>
    <t>Edward Alan Glasper, James Richardson</t>
  </si>
  <si>
    <t>Teaching the World's Children</t>
  </si>
  <si>
    <t>Mary Ashworth, Patricia Wakefield</t>
  </si>
  <si>
    <t>Pippin Publishing Corporation</t>
  </si>
  <si>
    <t>Children, Technology, and Culture</t>
  </si>
  <si>
    <t>Ian Hutchby, Jo Moran-Ellis</t>
  </si>
  <si>
    <t>Safeguarding Children and Schools</t>
  </si>
  <si>
    <t>Mary Baginsky</t>
  </si>
  <si>
    <t>Jessica Kingsley Publishers</t>
  </si>
  <si>
    <t>Hearing-impaired Children Under Five</t>
  </si>
  <si>
    <t>Alexander William Gordon Ewing</t>
  </si>
  <si>
    <t>Manchester University Press</t>
  </si>
  <si>
    <t>Children Draw and Tell</t>
  </si>
  <si>
    <t>Marvin Klepsch, Laura Logie</t>
  </si>
  <si>
    <t>School Children and Sport in Ireland</t>
  </si>
  <si>
    <t>Tony Fahey, Liam Delaney, Brenda Gannon</t>
  </si>
  <si>
    <t>ESRI</t>
  </si>
  <si>
    <t>Behavior Therapy with Children II</t>
  </si>
  <si>
    <t>Anthony M. Graziano</t>
  </si>
  <si>
    <t>Transaction Publishers</t>
  </si>
  <si>
    <t>Children and Spirituality</t>
  </si>
  <si>
    <t>Brendan Hyde</t>
  </si>
  <si>
    <t>A Situational Analysis of Orphans and Vulnerable Children in Four Districts of South Africa</t>
  </si>
  <si>
    <t>Alicia Davids</t>
  </si>
  <si>
    <t>HSRC Press</t>
  </si>
  <si>
    <t>How-To Guide: Inclusive Education for Children With Disabilities</t>
  </si>
  <si>
    <t>Catholic Relief Services</t>
  </si>
  <si>
    <t>Children's Literature</t>
  </si>
  <si>
    <t>Elizabeth Lennox Keyser, Julie Pfeiffer</t>
  </si>
  <si>
    <t>School-Based Prevention Programs for Children and Adolescents</t>
  </si>
  <si>
    <t>Joseph A. Durlak</t>
  </si>
  <si>
    <t>Children Bill</t>
  </si>
  <si>
    <t>Great Britain: Parliament: Joint Committee on Human Rights</t>
  </si>
  <si>
    <t>The Stationery Office</t>
  </si>
  <si>
    <t>Children of the Mill</t>
  </si>
  <si>
    <t>Ronald D. Cohen</t>
  </si>
  <si>
    <t>Special Needs of Children of Drug Misusers</t>
  </si>
  <si>
    <t>Beate Leopold, Elfriede Steffan</t>
  </si>
  <si>
    <t>Council of Europe</t>
  </si>
  <si>
    <t>Children</t>
  </si>
  <si>
    <t>Where Are The Children?</t>
  </si>
  <si>
    <t>Mary Higgins Clark</t>
  </si>
  <si>
    <t>Simon and Schuster</t>
  </si>
  <si>
    <t>Writing Successful Self-Help and How-To Books</t>
  </si>
  <si>
    <t>Jean Marie Stine</t>
  </si>
  <si>
    <t>Self-Care Solution</t>
  </si>
  <si>
    <t>Purnima Banerjee</t>
  </si>
  <si>
    <t>Gurudas Bandyopadhyay</t>
  </si>
  <si>
    <t>Mental Health of Refugees</t>
  </si>
  <si>
    <t>Paul M.G. Emmelkamp</t>
  </si>
  <si>
    <t>Looking through the Speculum</t>
  </si>
  <si>
    <t>Judith A. Houck</t>
  </si>
  <si>
    <t>University of Chicago Press</t>
  </si>
  <si>
    <t>Understanding Burnout Recovery Among Native-Born Korean Missionaries</t>
  </si>
  <si>
    <t>Hannah Kyong-Jin Cho</t>
  </si>
  <si>
    <t>Working With Troubled Men</t>
  </si>
  <si>
    <t>Morley D. Glicken</t>
  </si>
  <si>
    <t>Violent Death</t>
  </si>
  <si>
    <t>Edward K. Rynearson</t>
  </si>
  <si>
    <t>Science and Pseudoscience in Clinical Psychology, First Edition</t>
  </si>
  <si>
    <t>Scott O. Lilienfeld, Steven Jay Lynn, Jeffrey M. Lohr</t>
  </si>
  <si>
    <t>Guilford Press</t>
  </si>
  <si>
    <t>Innovations and Advances in Computer Sciences and Engineering</t>
  </si>
  <si>
    <t>Tarek Sobh</t>
  </si>
  <si>
    <t>After Homicide</t>
  </si>
  <si>
    <t>Paul Elliott Rock</t>
  </si>
  <si>
    <t>The Astrological Guide to Self-Care</t>
  </si>
  <si>
    <t>Constance Stellas</t>
  </si>
  <si>
    <t>Adams Media</t>
  </si>
  <si>
    <t>Small Transformations</t>
  </si>
  <si>
    <t>János Mátyás Kovács</t>
  </si>
  <si>
    <t>Mental Health in the Elderly</t>
  </si>
  <si>
    <t>H. Häfner, G. Moschel, N. Sartorius</t>
  </si>
  <si>
    <t>Recovery the Native Way</t>
  </si>
  <si>
    <t>Dr. Alf H. Walle</t>
  </si>
  <si>
    <t>Behavioral Therapy for Rural Substance Abusers</t>
  </si>
  <si>
    <t>Carl Leukefeld, Theodore Godlaski, James Clark, Cynthia Brown, Lon Hays</t>
  </si>
  <si>
    <t>The Oxford Handbook of Eating Disorders</t>
  </si>
  <si>
    <t>W. Stewart Agras</t>
  </si>
  <si>
    <t>Rhetoric of the Protestant Sermon in America</t>
  </si>
  <si>
    <t>Eric C. Miller, Jonathan J. Edwards</t>
  </si>
  <si>
    <t>Human Behavior in the Social Environment</t>
  </si>
  <si>
    <t>Esther Urdang</t>
  </si>
  <si>
    <t>Awakening to Race</t>
  </si>
  <si>
    <t>Jack Turner</t>
  </si>
  <si>
    <t>Reading Is My Window</t>
  </si>
  <si>
    <t>Megan Sweeney</t>
  </si>
  <si>
    <t>Univ of North Carolina Press</t>
  </si>
  <si>
    <t>Housing as Governance</t>
  </si>
  <si>
    <t>Astrid Ley</t>
  </si>
  <si>
    <t>Cape Town (South Africa)</t>
  </si>
  <si>
    <t>Voices of Experience</t>
  </si>
  <si>
    <t>Thurstine Basset, Theo Stickley</t>
  </si>
  <si>
    <t>The Myth of Religious Violence</t>
  </si>
  <si>
    <t>William T Cavanaugh</t>
  </si>
  <si>
    <t>The Religious Lives of Older Laywomen</t>
  </si>
  <si>
    <t>Abby Day</t>
  </si>
  <si>
    <t>C.S. Lewis—On the Christ of a Religious Economy, 3.2</t>
  </si>
  <si>
    <t>P. H. Brazier</t>
  </si>
  <si>
    <t>Religious Appeals in Power Politics</t>
  </si>
  <si>
    <t>Peter S. Henne</t>
  </si>
  <si>
    <t>Bibliography of Japanese New Religious Movements</t>
  </si>
  <si>
    <t>Peter B Clarke</t>
  </si>
  <si>
    <t>A Trinitarian Theology of Religions</t>
  </si>
  <si>
    <t>Gerald Robert McDermott, Harold A. Netland</t>
  </si>
  <si>
    <t>The World's Religions in Figures</t>
  </si>
  <si>
    <t>Todd M. Johnson, Brian J. Grim</t>
  </si>
  <si>
    <t>Constitutions and Religious Freedom</t>
  </si>
  <si>
    <t>Frank B. Cross</t>
  </si>
  <si>
    <t>Peacemaking and Religious Violence</t>
  </si>
  <si>
    <t>Roger A. Johnson</t>
  </si>
  <si>
    <t>Pride and Prejudice</t>
  </si>
  <si>
    <t>Jane Austen</t>
  </si>
  <si>
    <t>To Kill a Mockingbird</t>
  </si>
  <si>
    <t>Harper Lee</t>
  </si>
  <si>
    <t>Dramatic Publishing</t>
  </si>
  <si>
    <t>The Hunger Games (Hunger Games, Book One)</t>
  </si>
  <si>
    <t>Suzanne Collins</t>
  </si>
  <si>
    <t>Scholastic Inc.</t>
  </si>
  <si>
    <t>Om Books International</t>
  </si>
  <si>
    <t>Pride and Prejudice (Fourth Edition) (Norton Critical Editions)</t>
  </si>
  <si>
    <t>W. W. Norton &amp; Company</t>
  </si>
  <si>
    <t>PRIDE and PREJUDICE - Vol. II - A Story by Jane Austen</t>
  </si>
  <si>
    <t>Abela Publishing Ltd</t>
  </si>
  <si>
    <t>Pride and Prejudice &amp; Mansfield Park</t>
  </si>
  <si>
    <t>Jane Austen, Alex Williams, Eric Williams, 5310 Publishing</t>
  </si>
  <si>
    <t>5310 Publishing</t>
  </si>
  <si>
    <t>To Kill a Mockingbird (Enhanced Edition)</t>
  </si>
  <si>
    <t>Harper Collins</t>
  </si>
  <si>
    <t>The Great Gatsby</t>
  </si>
  <si>
    <t>F. Scott Fitzgerald</t>
  </si>
  <si>
    <t>Scribner</t>
  </si>
  <si>
    <t>F. Scott Fitzgerald, The Anglo Egyptian Bookshop  مكتبة الأنجلو المصرية</t>
  </si>
  <si>
    <t>The Anglo Egyptian Bookshop</t>
  </si>
  <si>
    <t>The Great Gatsby: A Graphic Novel</t>
  </si>
  <si>
    <t>The Great Gatsby - The Original 1925 Edition</t>
  </si>
  <si>
    <t>Unabridgd</t>
  </si>
  <si>
    <t>Absolution - a false start to The Great Gatsby</t>
  </si>
  <si>
    <t>AGATHA CHRISTIE Premium Collection</t>
  </si>
  <si>
    <t>Agatha Christie</t>
  </si>
  <si>
    <t>The Da Vinci Code (Republish)</t>
  </si>
  <si>
    <t>Dan Brown</t>
  </si>
  <si>
    <t>Bentang Pustaka</t>
  </si>
  <si>
    <t>id</t>
  </si>
  <si>
    <t>Harry Potter ve Sırlar Odası – 2</t>
  </si>
  <si>
    <t>J.K. Rowling</t>
  </si>
  <si>
    <t>Yapı Kredi Yayınları</t>
  </si>
  <si>
    <t>tr</t>
  </si>
  <si>
    <t>Adventures of Sherlock Holmes</t>
  </si>
  <si>
    <t>Sir Arthur Conan Doyle</t>
  </si>
  <si>
    <t>The Hunger Games</t>
  </si>
  <si>
    <t>Hunger Games - Il canto della rivolta</t>
  </si>
  <si>
    <t>Edizioni Mondadori</t>
  </si>
  <si>
    <t>it</t>
  </si>
  <si>
    <t>Mary Wollstonecraft Shelley</t>
  </si>
  <si>
    <t>The Ultimate Harry Potter and Philosophy</t>
  </si>
  <si>
    <t>William Irwin, Gregory Bassham</t>
  </si>
  <si>
    <t>Francis Scott Fitzgerald</t>
  </si>
  <si>
    <t>Wordsworth Editions</t>
  </si>
  <si>
    <t>The Adventures of Sherlock Holmes</t>
  </si>
  <si>
    <t>Sterling Publishing Company, Inc.</t>
  </si>
  <si>
    <t>J. K. Rowling</t>
  </si>
  <si>
    <t>The Hunger Games and Philosophy</t>
  </si>
  <si>
    <t>George A. Dunn, Nicolas Michaud</t>
  </si>
  <si>
    <t>The Hunger Games Tribute Guide</t>
  </si>
  <si>
    <t>Suzanne Collins, Emily Seife</t>
  </si>
  <si>
    <t>Alice in Wonderland</t>
  </si>
  <si>
    <t>The Psychology of Harry Potter</t>
  </si>
  <si>
    <t>Neil Mulholland</t>
  </si>
  <si>
    <t>BenBella Books, Inc.</t>
  </si>
  <si>
    <t>101 Amazing Harry Potter Facts</t>
  </si>
  <si>
    <t>Jack Goldstein, Frankie Taylor</t>
  </si>
  <si>
    <t>Friends and Foes of Harry Potter</t>
  </si>
  <si>
    <t>Nikita Agarwal, Chitra Agarwal</t>
  </si>
  <si>
    <t>Children's stories, English</t>
  </si>
  <si>
    <t>Texas World Publishing</t>
  </si>
  <si>
    <t>Harry Potter: Cinematic Guide: Hermione Granger</t>
  </si>
  <si>
    <t>Scholastic</t>
  </si>
  <si>
    <t>Scholastic UK</t>
  </si>
  <si>
    <t>Harry Potter: The Official Hogwarts Book of Cross-Stitch</t>
  </si>
  <si>
    <t>Willow Polson, Jody Revenson</t>
  </si>
  <si>
    <t>Crafts &amp; Hobbies</t>
  </si>
  <si>
    <t>Harry Potter and the Classical World</t>
  </si>
  <si>
    <t>Richard A. Spencer</t>
  </si>
  <si>
    <t>HARRY POTTER &amp; THE PHILOSOPHER'S STONE</t>
  </si>
  <si>
    <t>NARAYAN CHANGDER</t>
  </si>
  <si>
    <t>CHANGDER OUTLINE</t>
  </si>
  <si>
    <t>Harry Potter and the Sorcerer's Stone</t>
  </si>
  <si>
    <t>EZ Summary</t>
  </si>
  <si>
    <t>BookSummaryGr</t>
  </si>
  <si>
    <t>The Magic of Harry Potter</t>
  </si>
  <si>
    <t>Daniel Mitchell</t>
  </si>
  <si>
    <t>The Ivory Tower, Harry Potter, and Beyond</t>
  </si>
  <si>
    <t>Lana A. Whited</t>
  </si>
  <si>
    <t>University of Missouri Press</t>
  </si>
  <si>
    <t>Baptizing Harry Potter</t>
  </si>
  <si>
    <t>Luke Bell</t>
  </si>
  <si>
    <t>Paulist Press</t>
  </si>
  <si>
    <t>Harry Potter: The Dark Arts (Tiny Book)</t>
  </si>
  <si>
    <t>Insight Editions</t>
  </si>
  <si>
    <t>Inside the World of Harry Potter</t>
  </si>
  <si>
    <t>Christopher E. Bell</t>
  </si>
  <si>
    <t>101 Amazing Facts about J.K. Rowling</t>
  </si>
  <si>
    <t>Holger Weßling, Archie Thomas</t>
  </si>
  <si>
    <t>Critical Perspectives on Harry Potter</t>
  </si>
  <si>
    <t>Elizabeth E. Heilman</t>
  </si>
  <si>
    <t>The Harry Potter Generation</t>
  </si>
  <si>
    <t>Emily Lauer, Balaka Basu</t>
  </si>
  <si>
    <t>Harry Potter: Bake, Create, and Decorate (30+ Sweets and Treats Inspired by the Films)</t>
  </si>
  <si>
    <t>Joanna Farrow</t>
  </si>
  <si>
    <t>Harry Potter: Homemade</t>
  </si>
  <si>
    <t>Lindsay Gilbert</t>
  </si>
  <si>
    <t>Jennifer Hunsicker</t>
  </si>
  <si>
    <t>Capstone</t>
  </si>
  <si>
    <t>Harry Potter Power</t>
  </si>
  <si>
    <t>J. A. Sykley, Dr Julie Sykley</t>
  </si>
  <si>
    <t>Interactive Publications</t>
  </si>
  <si>
    <t>Harry Potter: Characters of the Wizarding World</t>
  </si>
  <si>
    <t>Jody Revenson</t>
  </si>
  <si>
    <t>Harry Potter: Film Vault: Volume 11</t>
  </si>
  <si>
    <t>Harry Potter and Philosophy</t>
  </si>
  <si>
    <t>David Baggett</t>
  </si>
  <si>
    <t>Open Court Publishing</t>
  </si>
  <si>
    <t>Harry Potter: The Mini Book of Hogwarts</t>
  </si>
  <si>
    <t>Harry Potter: Creatures of the Wizarding World</t>
  </si>
  <si>
    <t>Harry Potter and the Other</t>
  </si>
  <si>
    <t>Sarah Park Dahlen, Ebony Elizabeth Thomas</t>
  </si>
  <si>
    <t>Harry Potter and Convergence Culture</t>
  </si>
  <si>
    <t>Amanda Firestone, Leisa A. Clark</t>
  </si>
  <si>
    <t>Cath Senker</t>
  </si>
  <si>
    <t>The Lord of the Rings</t>
  </si>
  <si>
    <t>Ernest Mathijs</t>
  </si>
  <si>
    <t>Wallflower Press</t>
  </si>
  <si>
    <t>Harold Bloom</t>
  </si>
  <si>
    <t>Watching the Lord of the Rings</t>
  </si>
  <si>
    <t>Reading The Lord of the Rings</t>
  </si>
  <si>
    <t>Robert Eaglestone</t>
  </si>
  <si>
    <t>The Lord of the Rings and Philosophy</t>
  </si>
  <si>
    <t>Gregory Bassham, Eric Bronson</t>
  </si>
  <si>
    <t>The Rough Guide to the Lord of the Rings</t>
  </si>
  <si>
    <t>Angie Errigo, Paul Simpson</t>
  </si>
  <si>
    <t>Rough Guides</t>
  </si>
  <si>
    <t>The Lord of the Rings#1: Sembilan Pembawa Cincin (The Lord of the Rings Fellowship)</t>
  </si>
  <si>
    <t>J.R.R. Tolkien</t>
  </si>
  <si>
    <t>Gramedia Pustaka Utama</t>
  </si>
  <si>
    <t>The Lord Of The Rings: Sembilan Pembawa Cincin (The Fellowship Of The Ring) *Cetak Ulang Cover Baru</t>
  </si>
  <si>
    <t>ms</t>
  </si>
  <si>
    <t>Studying The Lord of the Rings</t>
  </si>
  <si>
    <t>Anna Dawson</t>
  </si>
  <si>
    <t>The Lord of the Rings#2: Dua Menara (Two Towers)</t>
  </si>
  <si>
    <t>The Lord Of The Rings: Dua Menara (The Two Towers) *Cetak Ulang Cover Baru</t>
  </si>
  <si>
    <t>The Lord Of The Rings: Kembalinya Sang Raja (The Return Of The King) *Cetak Ulang Cover Baru</t>
  </si>
  <si>
    <t>THE LORD OF THE RINGS</t>
  </si>
  <si>
    <t>The Perception of Women in J. R. R. Tolkien's The Lord of the Rings</t>
  </si>
  <si>
    <t>Marion Klotz</t>
  </si>
  <si>
    <t>Finding God in The Lord of the Rings</t>
  </si>
  <si>
    <t>Kurt Bruner, Jim Ware</t>
  </si>
  <si>
    <t>Tyndale House Publishers, Inc.</t>
  </si>
  <si>
    <t>Approaches to Teaching Tolkien's The Lord of the Rings and Other Works</t>
  </si>
  <si>
    <t>Leslie A. Donovan</t>
  </si>
  <si>
    <t>Modern Language Association</t>
  </si>
  <si>
    <t>Moments of Grace and Spiritual Warfare in the Lord of the Rings</t>
  </si>
  <si>
    <t>Anna Marie Gazzolo</t>
  </si>
  <si>
    <t>WestBow Press</t>
  </si>
  <si>
    <t>The Lord of the Rings: Red Book of Westmarch Traveler's Notebook Set</t>
  </si>
  <si>
    <t>Insights</t>
  </si>
  <si>
    <t>Lord of the Rings</t>
  </si>
  <si>
    <t>Jane Chance</t>
  </si>
  <si>
    <t>Understanding the Lord of the Rings</t>
  </si>
  <si>
    <t>Rose A. Zimbardo, Neil D. Isaacs</t>
  </si>
  <si>
    <t>Houghton Mifflin Harcourt</t>
  </si>
  <si>
    <t>The Lord of the Rings. Illustrated</t>
  </si>
  <si>
    <t>J. R. R. Tolkien</t>
  </si>
  <si>
    <t>Strelbytskyy Multimedia Publishing, Andrii Ponomarenko</t>
  </si>
  <si>
    <t>The Art of Game of Thrones, the Official Book of Design from Season 1 to Season 8</t>
  </si>
  <si>
    <t>Deborah Riley, Jody Revenson</t>
  </si>
  <si>
    <t>Game of Thrones and the Theories of International Relations</t>
  </si>
  <si>
    <t>Laura D. Young, Ñusta Carranza Ko</t>
  </si>
  <si>
    <t>Inside HBO's Game of Thrones</t>
  </si>
  <si>
    <t>Bryan Cogman</t>
  </si>
  <si>
    <t>Chronicle Books</t>
  </si>
  <si>
    <t>fr</t>
  </si>
  <si>
    <t>e-Pedia: Game of Thrones (season 6)</t>
  </si>
  <si>
    <t>Wikipedia Contributors</t>
  </si>
  <si>
    <t>e-Pedia</t>
  </si>
  <si>
    <t>Game of Thrones and Philosophy</t>
  </si>
  <si>
    <t>Henry Jacoby</t>
  </si>
  <si>
    <t>Mastering the Game of Thrones</t>
  </si>
  <si>
    <t>Jes Battis, Susan Johnston</t>
  </si>
  <si>
    <t>A Game of Thrones</t>
  </si>
  <si>
    <t>George R. R. Martin</t>
  </si>
  <si>
    <t>Fantasious</t>
  </si>
  <si>
    <t>Game of Thrones: House of the Dragon [Season 2]</t>
  </si>
  <si>
    <t>Gina McIntyre</t>
  </si>
  <si>
    <t>1000 Game of Thrones Facts</t>
  </si>
  <si>
    <t>Scott Ambrose</t>
  </si>
  <si>
    <t>epubli</t>
  </si>
  <si>
    <t>Game of Thrones: The Storyboards, the official archive from Season 1 to Season 7</t>
  </si>
  <si>
    <t>William Simpson, Michael Kogge</t>
  </si>
  <si>
    <t>Game of Thrones: House of the Dragon</t>
  </si>
  <si>
    <t>The Unofficial Guide to Game of Thrones</t>
  </si>
  <si>
    <t>Kim Renfro</t>
  </si>
  <si>
    <t>Atria Books</t>
  </si>
  <si>
    <t>Game of Thrones versus History</t>
  </si>
  <si>
    <t>Brian A. Pavlac</t>
  </si>
  <si>
    <t>Game of Thrones and the Medieval Art of War</t>
  </si>
  <si>
    <t>Ken Mondschein</t>
  </si>
  <si>
    <t>Game of Thrones Paper Models</t>
  </si>
  <si>
    <t>Bill Scollon, Barbara Montini</t>
  </si>
  <si>
    <t>Game of Thrones Jigsaw Puzzle Book</t>
  </si>
  <si>
    <t>Management Lessons from Game of Thrones</t>
  </si>
  <si>
    <t>Moore, Fiona</t>
  </si>
  <si>
    <t>The Official Westeros Cookbook: Recipes from Game of Thrones and House of the Dragon</t>
  </si>
  <si>
    <t>Cassandra Reeder, Joanne Bourne</t>
  </si>
  <si>
    <t>Fan Phenomena: Game of Thrones</t>
  </si>
  <si>
    <t>Kavita Mudan Finn</t>
  </si>
  <si>
    <t>Intellect Books</t>
  </si>
  <si>
    <t>Leadership in Game of Thrones</t>
  </si>
  <si>
    <t>Brigitte Biehl</t>
  </si>
  <si>
    <t>Game of Thrones - A View from the Humanities Vol. 2</t>
  </si>
  <si>
    <t>Alfonso Álvarez-Ossorio, Fernando Lozano, Rosario Moreno Soldevila, Cristina Rosillo-López</t>
  </si>
  <si>
    <t>Power and Subversion in Game of Thrones</t>
  </si>
  <si>
    <t>A. Keith Kelly</t>
  </si>
  <si>
    <t>Game of Thrones - A View from the Humanities Vol. 1</t>
  </si>
  <si>
    <t>Alfonso Álvarez-Ossorio, Fernando Lozano, Rosario Moreno Soldevila, Cristina Rosillo-Lopez</t>
  </si>
  <si>
    <t>Re-reading A GAME OF THRONES</t>
  </si>
  <si>
    <t>Remy J. Verhoeve</t>
  </si>
  <si>
    <t>Nimble Books LLC</t>
  </si>
  <si>
    <t>The Little Book of Game of Thrones Facts</t>
  </si>
  <si>
    <t>Fact Bomb Company Limited</t>
  </si>
  <si>
    <t>The Fact Book Company Limited</t>
  </si>
  <si>
    <t>Inside HBO's Game of Thrones: Seasons 3 &amp; 4</t>
  </si>
  <si>
    <t>C. A. Taylor</t>
  </si>
  <si>
    <t>Game of Thrones as a Contemporary Feminist Revenge Tragedy</t>
  </si>
  <si>
    <t>Lea M. Peters</t>
  </si>
  <si>
    <t>A Game of Thrones. From Novel to TV</t>
  </si>
  <si>
    <t>Onno Thießen</t>
  </si>
  <si>
    <t>Theology and Game of Thrones</t>
  </si>
  <si>
    <t>Matthew William Brake</t>
  </si>
  <si>
    <t>Jane Austen's Pride and Prejudice</t>
  </si>
  <si>
    <t>Jane. Austen</t>
  </si>
  <si>
    <t>Evans Brothers</t>
  </si>
  <si>
    <t>The Condensed Pride and Prejudice (Jane Austen's Classic Novel)</t>
  </si>
  <si>
    <t>BookCaps Study Guides</t>
  </si>
  <si>
    <t>Pride and Prejudice 2.0</t>
  </si>
  <si>
    <t>Hanne Birk, Marion Gymnich</t>
  </si>
  <si>
    <t>V&amp;R Unipress</t>
  </si>
  <si>
    <t>Robert Morrison</t>
  </si>
  <si>
    <t>Fiona Gregory</t>
  </si>
  <si>
    <t>Insight Publications</t>
  </si>
  <si>
    <t>To Kill A Mockingbird - Literature Kit Gr. 9-12</t>
  </si>
  <si>
    <t>Paul Bramley</t>
  </si>
  <si>
    <t>Classroom Complete Press</t>
  </si>
  <si>
    <t>BMI Educational Services</t>
  </si>
  <si>
    <t>To Kill a Mockingbird Study Guide and Student Workbook</t>
  </si>
  <si>
    <t>BMI Staff</t>
  </si>
  <si>
    <t>LIFE The Enduring Legacy of Harper Lee and To Kill a Mockingbird</t>
  </si>
  <si>
    <t>The Editors of LIFE</t>
  </si>
  <si>
    <t>Time Inc. Books</t>
  </si>
  <si>
    <t>Timeless Themes in To Kill a Mockingbird An Analysis</t>
  </si>
  <si>
    <t>Online Digital Centre</t>
  </si>
  <si>
    <t>Harper Lee's To Kill a Mockingbird</t>
  </si>
  <si>
    <t>Infobase Learning</t>
  </si>
  <si>
    <t>George Orwell's 1984</t>
  </si>
  <si>
    <t>Dystopias in literature</t>
  </si>
  <si>
    <t>George Orwell's Guide Through Hell</t>
  </si>
  <si>
    <t>Robert Plank</t>
  </si>
  <si>
    <t>The Cambridge Introduction to George Orwell</t>
  </si>
  <si>
    <t>John Rodden, John Rossi</t>
  </si>
  <si>
    <t>F. Scott Fitzgerald's The Great Gatsby</t>
  </si>
  <si>
    <t>The Great Gatsby and Modern Times</t>
  </si>
  <si>
    <t>Ronald Berman</t>
  </si>
  <si>
    <t>The Great Gatsby (Study Guide)</t>
  </si>
  <si>
    <t>LessonCaps</t>
  </si>
  <si>
    <t>Smith Ashley</t>
  </si>
  <si>
    <t>ReadHowYouWant.com</t>
  </si>
  <si>
    <t>Approaches to interpreting Fitzgerald’s "The Great Gatsby". Unreliable narration, the functions of adultery, and the role of the American Dream</t>
  </si>
  <si>
    <t>Vittoria Guarino, Friederike Lang, Emilie Platt, Julia Straub</t>
  </si>
  <si>
    <t>THE GREAT GATSBY</t>
  </si>
  <si>
    <t>The Great Gatsby Cookbook</t>
  </si>
  <si>
    <t>Cristina Smith, Chef Ron Oliver</t>
  </si>
  <si>
    <t>Post Hill Press</t>
  </si>
  <si>
    <t>Jane Eyre</t>
  </si>
  <si>
    <t>Charlotte Brontë</t>
  </si>
  <si>
    <t>ABDO</t>
  </si>
  <si>
    <t>Jane Eyre's American Daughters</t>
  </si>
  <si>
    <t>John Seelye</t>
  </si>
  <si>
    <t>Timothy Roberts</t>
  </si>
  <si>
    <t>Jane Eyre: Usborne Classics Retold</t>
  </si>
  <si>
    <t>Anna Claybourne</t>
  </si>
  <si>
    <t>Usborne Publishing Ltd</t>
  </si>
  <si>
    <t>Robert Johanson</t>
  </si>
  <si>
    <t>Charlotte Bronte</t>
  </si>
  <si>
    <t>Saddleback Educational Publishing</t>
  </si>
  <si>
    <t>Jane Eyre (Third International Student Edition) (Norton Critical Editions)</t>
  </si>
  <si>
    <t>Female emancipation in Charlotte Bronte's JANE EYRE</t>
  </si>
  <si>
    <t>Paola Bertolino</t>
  </si>
  <si>
    <t>Amy Corzine, Charlotte Brontë</t>
  </si>
  <si>
    <t>Classical Comics</t>
  </si>
  <si>
    <t>CliffsNotes on Brontë’s Jane Eyre</t>
  </si>
  <si>
    <t>Mary Ellen Snodgrass, Karin Jacobson</t>
  </si>
  <si>
    <t>Jane Eyre + Wuthering Heights (2 Unabridged Classics)</t>
  </si>
  <si>
    <t>Charlotte Brontë, Emily Brontë</t>
  </si>
  <si>
    <t>Jennifer Adams</t>
  </si>
  <si>
    <t>Gibbs Smith</t>
  </si>
  <si>
    <t>Jane Eyre Level 6 Oxford Bookworms Library</t>
  </si>
  <si>
    <t>Reflecting on Jane Eyre</t>
  </si>
  <si>
    <t>Pat Macpherson</t>
  </si>
  <si>
    <t>The Realisation of Jane Eyre as a Bildungsroman</t>
  </si>
  <si>
    <t>Catharina Kern</t>
  </si>
  <si>
    <t>SHERLOCK HOLMES - THE RETURN OF SHERLOCK HOLMES</t>
  </si>
  <si>
    <t>ARTHUR CONAN DOYLE</t>
  </si>
  <si>
    <t>PURE SNOW PUBLISHING</t>
  </si>
  <si>
    <t>Sherlock Holmes For Dummies</t>
  </si>
  <si>
    <t>Steven Doyle, David A. Crowder</t>
  </si>
  <si>
    <t>The Great Adventures of Sherlock Holmes</t>
  </si>
  <si>
    <t>Sherlock Holmes. Selected Stories</t>
  </si>
  <si>
    <t>Courier Corporation</t>
  </si>
  <si>
    <t>The Case-book of Sherlock Holmes</t>
  </si>
  <si>
    <t>Sir Arthur Conan Doyle, Arthur Conan Doyle</t>
  </si>
  <si>
    <t>The Last Adventures of Sherlock Holmes</t>
  </si>
  <si>
    <t>Sherlock Holmes Collection: The Complete Stories and Novels</t>
  </si>
  <si>
    <t>Xist Publishing</t>
  </si>
  <si>
    <t>Gender and the Modern Sherlock Holmes</t>
  </si>
  <si>
    <t>Nadine Farghaly</t>
  </si>
  <si>
    <t>English Classics: Sherlock Holmes Short Stories#3</t>
  </si>
  <si>
    <t>Sherlock Holmes - The Sign of the Four</t>
  </si>
  <si>
    <t>Sherlock Holmes in Advertising</t>
  </si>
  <si>
    <t>Amanda J Field</t>
  </si>
  <si>
    <t>Towards Sherlock Holmes</t>
  </si>
  <si>
    <t>Stephen Knight</t>
  </si>
  <si>
    <t>The Unsolved Case Files of Sherlock Holmes</t>
  </si>
  <si>
    <t>Stewart Ross</t>
  </si>
  <si>
    <t>Michael O'Mara Books</t>
  </si>
  <si>
    <t>The Return of Sherlock Holmes</t>
  </si>
  <si>
    <t>The Great, Great Granddaughter of Sherlock Holmes</t>
  </si>
  <si>
    <t>Jon Jory</t>
  </si>
  <si>
    <t>Stage Partners</t>
  </si>
  <si>
    <t>Sherlock Holmes in Babylon</t>
  </si>
  <si>
    <t>Marlow Anderson, Victor Katz, Robin Wilson</t>
  </si>
  <si>
    <t>MAA</t>
  </si>
  <si>
    <t>The Complete Sherlock Holmes</t>
  </si>
  <si>
    <t>Aegitas</t>
  </si>
  <si>
    <t>The Best of Sherlock Holmes</t>
  </si>
  <si>
    <t>Collector's Library</t>
  </si>
  <si>
    <t>The Memoirs of Sherlock Holmes</t>
  </si>
  <si>
    <t>Createspace Independent Publishing Platform</t>
  </si>
  <si>
    <t>Sherlock Holmes and a Scandal in Bohemia</t>
  </si>
  <si>
    <t>Graphic Universe ™</t>
  </si>
  <si>
    <t>#01 Sherlock Holmes and a Scandal in Bohemia</t>
  </si>
  <si>
    <t>The Complete Short Stories of Sherlock Holmes</t>
  </si>
  <si>
    <t>Sherlock Holmes and the Adventure of the Dancing Men</t>
  </si>
  <si>
    <t>The Complete "Sherlock Holmes" Stories (4 novels and 56 short stories + An Intimate Study of Sherlock Holmes by Conan Doyle himself)</t>
  </si>
  <si>
    <t>Sherlock Holmes: The Investigations</t>
  </si>
  <si>
    <t>John Heywood</t>
  </si>
  <si>
    <t>O último caso de Sherlock Holmes</t>
  </si>
  <si>
    <t>Principis</t>
  </si>
  <si>
    <t>pt</t>
  </si>
  <si>
    <t>The Philosophy of Sherlock Holmes</t>
  </si>
  <si>
    <t>Philip Tallon, David Baggett</t>
  </si>
  <si>
    <t>Sherlock Holmes and Philosophy</t>
  </si>
  <si>
    <t>Josef Steiff</t>
  </si>
  <si>
    <t>Meghan Engsberg Cunningham</t>
  </si>
  <si>
    <t>Cavendish Square Publishing, LLC</t>
  </si>
  <si>
    <t>The Agatha Christie Companion</t>
  </si>
  <si>
    <t>Russell H. Fitzgibbon</t>
  </si>
  <si>
    <t>Agatha Christie, Woman of Mystery - With Audio Level 2 Oxford Bookworms Library</t>
  </si>
  <si>
    <t>John Escott</t>
  </si>
  <si>
    <t>Agatha Christie, Woman of Mystery Level 2 Oxford Bookworms Library</t>
  </si>
  <si>
    <t>Young Agatha Christie</t>
  </si>
  <si>
    <t>William Augel</t>
  </si>
  <si>
    <t>Humor</t>
  </si>
  <si>
    <t>Humanoids, Inc.</t>
  </si>
  <si>
    <t>The Detective Novels of Agatha Christie</t>
  </si>
  <si>
    <t>James Zemboy</t>
  </si>
  <si>
    <t>J.C. Bernthal</t>
  </si>
  <si>
    <t>The Science of Agatha Christie</t>
  </si>
  <si>
    <t>Meg Hafdahl, Kelly Florence</t>
  </si>
  <si>
    <t>Everyman's Guide to the Mysteries of Agatha Christie</t>
  </si>
  <si>
    <t>Bruce Pendergast</t>
  </si>
  <si>
    <t>Agatha Christie: Plots, Clues and Misdirections</t>
  </si>
  <si>
    <t>Sally and Tony Hope</t>
  </si>
  <si>
    <t>Book Guild Publishing</t>
  </si>
  <si>
    <t>M. Makinen</t>
  </si>
  <si>
    <t>Agatha Christie’s The Mysterious Affair at Styles in German and Dutch Translation</t>
  </si>
  <si>
    <t>Marjolijn Storm</t>
  </si>
  <si>
    <t>The Getaway Guide to Agatha Christie's England</t>
  </si>
  <si>
    <t>Judith Hurdle</t>
  </si>
  <si>
    <t>RDR Books</t>
  </si>
  <si>
    <t>Stephen King</t>
  </si>
  <si>
    <t>Children and Childhood in the Works of Stephen King</t>
  </si>
  <si>
    <t>Debbie Olson</t>
  </si>
  <si>
    <t>The Gothic World of Stephen King</t>
  </si>
  <si>
    <t>Gary Hoppenstand, Ray Broadus Browne</t>
  </si>
  <si>
    <t>The Moral Voyages of Stephen King</t>
  </si>
  <si>
    <t>Tony Magistrale, Anthony Magistrale</t>
  </si>
  <si>
    <t>The Many Facets of Stephen King</t>
  </si>
  <si>
    <t>Michael R. Collings</t>
  </si>
  <si>
    <t>Stephen King's America</t>
  </si>
  <si>
    <t>Jonathan P. Davis</t>
  </si>
  <si>
    <t>Angels &amp; Demons</t>
  </si>
  <si>
    <t>The Dan Brown Enigma</t>
  </si>
  <si>
    <t>Graham Thomas</t>
  </si>
  <si>
    <t>Kings Road Publishing</t>
  </si>
  <si>
    <t>The Gospel According to Dan Brown</t>
  </si>
  <si>
    <t>Jeff Dunn, Craig Bubeck</t>
  </si>
  <si>
    <t>David C Cook</t>
  </si>
  <si>
    <t>Dan Brown's Road to Success</t>
  </si>
  <si>
    <t>D. M. Brown</t>
  </si>
  <si>
    <t>348 Coincidence! Among Myself and Dan Brown</t>
  </si>
  <si>
    <t>Aydin Turkgucu</t>
  </si>
  <si>
    <t>AYDIN TURKGUCU</t>
  </si>
  <si>
    <t>DAN BROWN’IN KODU</t>
  </si>
  <si>
    <t>Aydın Türkgücü</t>
  </si>
  <si>
    <t>A Study Guide for Dan Brown's The Da Vinci Code</t>
  </si>
  <si>
    <t>Gale, Cengage Learning</t>
  </si>
  <si>
    <t>Broken Wand (Or, How J.K. Rowling Killed Harry Potter)</t>
  </si>
  <si>
    <t>Timothy A. Wolf</t>
  </si>
  <si>
    <t>Strategic Book Publishing</t>
  </si>
  <si>
    <t>JK Rowling's Harry Potter Novels</t>
  </si>
  <si>
    <t>Philip Nel</t>
  </si>
  <si>
    <t>The Subversive Harry Potter</t>
  </si>
  <si>
    <t>Vandana Saxena</t>
  </si>
  <si>
    <t>J.K. Rowling A Short Unauthorized Biography</t>
  </si>
  <si>
    <t>Fame Life Bios</t>
  </si>
  <si>
    <t>Harry Potter et la Chambre des secrets de J. K. Rowling (Fiche de lecture)</t>
  </si>
  <si>
    <t>lePetitLitteraire,, Youri Panneel</t>
  </si>
  <si>
    <t>Primento</t>
  </si>
  <si>
    <t>CHILDREN’S LITERATURE J.K.ROWLING’S MASTERY IN PORTRAYAL OF CHARACTERS IN HARRY POTTER SERIES</t>
  </si>
  <si>
    <t>Mrs Shringar Tiwari</t>
  </si>
  <si>
    <t>A Study Guide for J.K. Rowling's Harry Potter and the Order of the Phoenix</t>
  </si>
  <si>
    <t>The Phenomenon "Harry Potter" - The Secret of Its Success</t>
  </si>
  <si>
    <t>Isabel Zosig</t>
  </si>
  <si>
    <t>A Study Guide for J.K. Rowling's Harry Potter and the Half-Blood Prince</t>
  </si>
  <si>
    <t>J.K. Rowling. L'incantatrice di babbani</t>
  </si>
  <si>
    <t>Marina Lenti</t>
  </si>
  <si>
    <t>Ares</t>
  </si>
  <si>
    <t>Literary Allusion in Harry Potter</t>
  </si>
  <si>
    <t>Beatrice Groves</t>
  </si>
  <si>
    <t>George Orwell, Updated Edition</t>
  </si>
  <si>
    <t>The Cambridge Companion to George Orwell</t>
  </si>
  <si>
    <t>John Rodden</t>
  </si>
  <si>
    <t>George Orwell</t>
  </si>
  <si>
    <t>Adibur Rahman</t>
  </si>
  <si>
    <t>Humanism in literature</t>
  </si>
  <si>
    <t>A G Printing &amp; Publishing</t>
  </si>
  <si>
    <t>Stephen Ingle</t>
  </si>
  <si>
    <t>Becoming George Orwell</t>
  </si>
  <si>
    <t>Anita Croy</t>
  </si>
  <si>
    <t>Greenhaven Publishing LLC</t>
  </si>
  <si>
    <t>Michael Carter</t>
  </si>
  <si>
    <t>George Orwell's Animal Farm</t>
  </si>
  <si>
    <t>George Orwell on Screen</t>
  </si>
  <si>
    <t>David Ryan</t>
  </si>
  <si>
    <t>1984 (Indonesian Edition)</t>
  </si>
  <si>
    <t>1984 - Hindi</t>
  </si>
  <si>
    <t>Rajkamal Prakashan</t>
  </si>
  <si>
    <t>hi</t>
  </si>
  <si>
    <t>A Study of George Orwell</t>
  </si>
  <si>
    <t>Christopher Hollis</t>
  </si>
  <si>
    <t>[Must Read Personalities] A life Story of George Orwell</t>
  </si>
  <si>
    <t>InRead Team</t>
  </si>
  <si>
    <t>by Mocktime Publication</t>
  </si>
  <si>
    <t>Peter Brian Barry</t>
  </si>
  <si>
    <t>SUMMARY - 1984 By George Orwell</t>
  </si>
  <si>
    <t>Shortcut Edition</t>
  </si>
  <si>
    <t>The Unsung Artistry of George Orwell</t>
  </si>
  <si>
    <t>Loraine Saunders</t>
  </si>
  <si>
    <t>Charles Dickens</t>
  </si>
  <si>
    <t>Charles Dickens, Updated Edition</t>
  </si>
  <si>
    <t>Michael Slater</t>
  </si>
  <si>
    <t>James E. Marlow</t>
  </si>
  <si>
    <t>Susquehanna University Press</t>
  </si>
  <si>
    <t>The Shorter Novels of Charles Dickens</t>
  </si>
  <si>
    <t>Charles Dickens; the Progress of a Radical</t>
  </si>
  <si>
    <t>Thomas Alfred Jackson</t>
  </si>
  <si>
    <t>Ardent Media</t>
  </si>
  <si>
    <t>Rod Mengham</t>
  </si>
  <si>
    <t>The Life of the Author: Charles Dickens</t>
  </si>
  <si>
    <t>Pete Orford</t>
  </si>
  <si>
    <t>The Life and Lies of Charles Dickens</t>
  </si>
  <si>
    <t>Helena Kelly</t>
  </si>
  <si>
    <t>The Complete Works of Charles Dickens</t>
  </si>
  <si>
    <t>Cosimo, Inc.</t>
  </si>
  <si>
    <t>The Life of Charles Dickens</t>
  </si>
  <si>
    <t>John Forster</t>
  </si>
  <si>
    <t>Life of Charles Dickens</t>
  </si>
  <si>
    <t>Sir Frank Thomas Marzials</t>
  </si>
  <si>
    <t>London [Eng.] : W. Scott</t>
  </si>
  <si>
    <t>Secret Shakespeare</t>
  </si>
  <si>
    <t>Richard Wilson</t>
  </si>
  <si>
    <t>Shakespeare's Lives</t>
  </si>
  <si>
    <t>Samuel Schoenbaum</t>
  </si>
  <si>
    <t>Shakespeare</t>
  </si>
  <si>
    <t>Park Honan</t>
  </si>
  <si>
    <t>Political Shakespeare</t>
  </si>
  <si>
    <t>Jonathan Dollimore, Alan Sinfield</t>
  </si>
  <si>
    <t>Shakespeare and the Practice of Physic</t>
  </si>
  <si>
    <t>Todd Howard James Pettigrew</t>
  </si>
  <si>
    <t>Shakespeare and the Culture of Romanticism</t>
  </si>
  <si>
    <t>Joseph M. Ortiz</t>
  </si>
  <si>
    <t>Samuel Taylor Coleridge</t>
  </si>
  <si>
    <t>Shakespeare Without Women</t>
  </si>
  <si>
    <t>Dympna Callaghan</t>
  </si>
  <si>
    <t>Africans in literature</t>
  </si>
  <si>
    <t>S. Chand Publishing</t>
  </si>
  <si>
    <t>The New Cambridge Companion to Shakespeare</t>
  </si>
  <si>
    <t>Margreta De Grazia, Stanley Wells</t>
  </si>
  <si>
    <t>Reimagining Shakespeare for Children and Young Adults</t>
  </si>
  <si>
    <t>Naomi J. Miller</t>
  </si>
  <si>
    <t>Players of Shakespeare 1</t>
  </si>
  <si>
    <t>Philip Brockbank</t>
  </si>
  <si>
    <t>Shakespeare and Amateur Performance</t>
  </si>
  <si>
    <t>Michael Dobson</t>
  </si>
  <si>
    <t>Shakespeare's Sonnets</t>
  </si>
  <si>
    <t>Sunil Kumar Sarker</t>
  </si>
  <si>
    <t>Sonnets, English</t>
  </si>
  <si>
    <t>Shakespeare, National Poet-Playwright</t>
  </si>
  <si>
    <t>Patrick Cheney</t>
  </si>
  <si>
    <t>Shakespeare Matters</t>
  </si>
  <si>
    <t>Lloyd Davis</t>
  </si>
  <si>
    <t>Shakespeare and Historical Formalism</t>
  </si>
  <si>
    <t>Professor Stephen Cohen</t>
  </si>
  <si>
    <t>Shakespeare from the Margins</t>
  </si>
  <si>
    <t>Patricia A. Parker</t>
  </si>
  <si>
    <t>How to Survive Being in a Shakespeare Play</t>
  </si>
  <si>
    <t>Don Zolidis</t>
  </si>
  <si>
    <t>Shakespeare in the Media</t>
  </si>
  <si>
    <t>Stefani Brusberg-Kiermeier</t>
  </si>
  <si>
    <t>Players of Shakespeare 2</t>
  </si>
  <si>
    <t>Russell Jackson, Robert Smallwood</t>
  </si>
  <si>
    <t>The Hobbit: An Unexpected Journey Official Movie Guide</t>
  </si>
  <si>
    <t>Brian Sibley</t>
  </si>
  <si>
    <t>The Hobbit: An Unexpected Journey Visual Companion</t>
  </si>
  <si>
    <t>Jude Fisher</t>
  </si>
  <si>
    <t>The Hobbit: An Unexpected Journey--The World of Hobbits</t>
  </si>
  <si>
    <t>Paddy Kempshall</t>
  </si>
  <si>
    <t>The Hobbit and Tolkien's Mythology</t>
  </si>
  <si>
    <t>Bradford Lee Eden</t>
  </si>
  <si>
    <t>The Hobbit</t>
  </si>
  <si>
    <t>The Hobbit Encyclopedia</t>
  </si>
  <si>
    <t>Damien Bador, Vivien Stocker, Coralie Potot, Dominique Vigot</t>
  </si>
  <si>
    <t>Frances Lincoln</t>
  </si>
  <si>
    <t>The Christian World of The Hobbit</t>
  </si>
  <si>
    <t>Devin Brown</t>
  </si>
  <si>
    <t>THE HOBBIT</t>
  </si>
  <si>
    <t>The Hobbit Trap</t>
  </si>
  <si>
    <t>Maciej Henneberg, Robert B Eckhardt, John Schofield</t>
  </si>
  <si>
    <t>J. R. R. Tolkien's "The Hobbit"</t>
  </si>
  <si>
    <t>Robert T. Tally Jr.</t>
  </si>
  <si>
    <t>The Hobbit and History</t>
  </si>
  <si>
    <t>Nancy R. Reagin, Janice Liedl</t>
  </si>
  <si>
    <t>The Hobbit and Philosophy</t>
  </si>
  <si>
    <t>A Guide for Using The Hobbit in the Classroom</t>
  </si>
  <si>
    <t>John Carratello, Patty Carratello</t>
  </si>
  <si>
    <t>CliffsNotes on Tolkien's The Lord of the Rings &amp; The Hobbit</t>
  </si>
  <si>
    <t>Gene B Hardy</t>
  </si>
  <si>
    <t>Exploring J.R.R. Tolkien's The Hobbit</t>
  </si>
  <si>
    <t>Corey Olsen</t>
  </si>
  <si>
    <t>The Hobbit Party</t>
  </si>
  <si>
    <t>Jonathan Witt, Jay Richards</t>
  </si>
  <si>
    <t>Ignatius Press</t>
  </si>
  <si>
    <t>The Science of Dune</t>
  </si>
  <si>
    <t>Kevin R. Grazier</t>
  </si>
  <si>
    <t>Dunes</t>
  </si>
  <si>
    <t>Andrew Warren</t>
  </si>
  <si>
    <t>Coastal Dunes</t>
  </si>
  <si>
    <t>M. L. Martínez, Norbert P. Psuty</t>
  </si>
  <si>
    <t>Timothйe Chalamet: Dune's Leading Man</t>
  </si>
  <si>
    <t>Elizabeth Andrews</t>
  </si>
  <si>
    <t>The Complete Guide to Michigan Sand Dunes</t>
  </si>
  <si>
    <t>Jim DuFresne</t>
  </si>
  <si>
    <t>The Physics of Blown Sand and Desert Dunes</t>
  </si>
  <si>
    <t>R. A. Bagnold</t>
  </si>
  <si>
    <t>Sand Dune Conservation, Management and Restoration</t>
  </si>
  <si>
    <t>J. Patrick Doody</t>
  </si>
  <si>
    <t>Dune Worlds</t>
  </si>
  <si>
    <t>Ralph D. Lorenz, James R. Zimbelman</t>
  </si>
  <si>
    <t>The Winds of Dune</t>
  </si>
  <si>
    <t>Kevin J. Anderson, Brian Herbert</t>
  </si>
  <si>
    <t>Unifable Saga: Book 11: Valkyries And Dune's Plea</t>
  </si>
  <si>
    <t>Thomas Wolf</t>
  </si>
  <si>
    <t>Dune is a Four-letter Word</t>
  </si>
  <si>
    <t>Griselda Sprigg, Rod Maclean</t>
  </si>
  <si>
    <t>Wakefield Press</t>
  </si>
  <si>
    <t>Beach and Dune Restoration</t>
  </si>
  <si>
    <t>Karl F. Nordstrom, Nancy L. Jackson</t>
  </si>
  <si>
    <t>Geomorphology of Desert Dunes</t>
  </si>
  <si>
    <t>Nicholas Lancaster</t>
  </si>
  <si>
    <t>Sand Dune Life</t>
  </si>
  <si>
    <t>Yves Earhart, AI</t>
  </si>
  <si>
    <t>The Biology of Coastal Sand Dunes</t>
  </si>
  <si>
    <t>M. Anwar Maun</t>
  </si>
  <si>
    <t>The Ecology and Conservation of European Dunes</t>
  </si>
  <si>
    <t>Francisco García Novo</t>
  </si>
  <si>
    <t>Universidad de Sevilla</t>
  </si>
  <si>
    <t>Sand Dunes of the Northern Hemisphere</t>
  </si>
  <si>
    <t>Qi Lu, Mahesh K. Gaur, Victor R. Squires</t>
  </si>
  <si>
    <t>Inland Dunes of North America</t>
  </si>
  <si>
    <t>Nicholas Lancaster, Patrick Hesp</t>
  </si>
  <si>
    <t>Beaches and Dunes of Developed Coasts</t>
  </si>
  <si>
    <t>Karl F. Nordstrom</t>
  </si>
  <si>
    <t>Ecology of Dunes, Salt Marsh and Shingle</t>
  </si>
  <si>
    <t>J.R. Packham, A. J. Willis</t>
  </si>
  <si>
    <t>Restoration of Coastal Dunes</t>
  </si>
  <si>
    <t>Luisa M Martínez, Juan B. Gallego-Fernández, Patrick A. Hesp</t>
  </si>
  <si>
    <t>Geological Society of America</t>
  </si>
  <si>
    <t>Dunes and Fossil Soils</t>
  </si>
  <si>
    <t>Wolfgang Schirmer</t>
  </si>
  <si>
    <t>Sedimentary Structures in Dunes of the Namib Desert, South West Africa</t>
  </si>
  <si>
    <t>Edwin Dinwiddie McKee</t>
  </si>
  <si>
    <t>Sand Dunes of the Northern Hemisphere: Distribution, Formation, Migration and Management</t>
  </si>
  <si>
    <t>Lu Qi, Mahesh K. Gaur, Victor R. Squires</t>
  </si>
  <si>
    <t>Upon this Foundation</t>
  </si>
  <si>
    <t>Elizabeth F. Henrickson, I. Thuesen</t>
  </si>
  <si>
    <t>Museum Tusculanum Press</t>
  </si>
  <si>
    <t>Foundations of IT</t>
  </si>
  <si>
    <t>Dhiraj Sharma</t>
  </si>
  <si>
    <t>Electronic data processing</t>
  </si>
  <si>
    <t>Excel Books India</t>
  </si>
  <si>
    <t>Business for Foundation Degrees and Higher Awards</t>
  </si>
  <si>
    <t>Robert Dransfield</t>
  </si>
  <si>
    <t>Heinemann</t>
  </si>
  <si>
    <t>Foundations of Orientation and Mobility, 3rd Edition</t>
  </si>
  <si>
    <t>William R. Wiener, Richard L. Welsh, Bruce B. Blasch</t>
  </si>
  <si>
    <t>American Foundation for the Blind</t>
  </si>
  <si>
    <t>Foundation</t>
  </si>
  <si>
    <t>Joseph G. Schloss</t>
  </si>
  <si>
    <t>Foundations of Education: Instructional strategies for teaching children and youths with visual impairments</t>
  </si>
  <si>
    <t>M. Cay Holbrook, Alan J. Koenig</t>
  </si>
  <si>
    <t>Children with visual disabilities</t>
  </si>
  <si>
    <t>The Foundation Engineering Handbook</t>
  </si>
  <si>
    <t>Manjriker Gunaratne</t>
  </si>
  <si>
    <t>FOUNDATION DESIGN IN PRACTICE</t>
  </si>
  <si>
    <t>GHOSH, KARUNA MOY</t>
  </si>
  <si>
    <t>PHI Learning Pvt. Ltd.</t>
  </si>
  <si>
    <t>Foundation Design</t>
  </si>
  <si>
    <t>N. S. V. Kamesware Rao</t>
  </si>
  <si>
    <t>Foundation Models for Natural Language Processing</t>
  </si>
  <si>
    <t>Gerhard Paaß, Sven Giesselbach</t>
  </si>
  <si>
    <t>Foundation Management</t>
  </si>
  <si>
    <t>Frank L. Ellsworth, Joe Lumarda</t>
  </si>
  <si>
    <t>Soil-Foundation-Structure Interaction</t>
  </si>
  <si>
    <t>Rolando P. Orense, Nawawi Chouw, Michael J. Pender</t>
  </si>
  <si>
    <t>Foundation Mathematics for Computer Science</t>
  </si>
  <si>
    <t>John Vince</t>
  </si>
  <si>
    <t>Foundation Engineering Handbook</t>
  </si>
  <si>
    <t>Hsai-Yang Fang</t>
  </si>
  <si>
    <t>Nursing Informatics and the Foundation of Knowledge</t>
  </si>
  <si>
    <t>Dee McGonigle, Kathleen Mastrian</t>
  </si>
  <si>
    <t>Jones &amp; Bartlett Publishers</t>
  </si>
  <si>
    <t>Problem Solving in Foundation Engineering using foundationPro</t>
  </si>
  <si>
    <t>Mohammad Yamin</t>
  </si>
  <si>
    <t>Philanthropic Foundations</t>
  </si>
  <si>
    <t>Ellen Condliffe Lagemann</t>
  </si>
  <si>
    <t>A Short Course in Foundation Engineering</t>
  </si>
  <si>
    <t>N.E. Simons, B.K. Menzies</t>
  </si>
  <si>
    <t>N. E. Simons, Bruce Menzies</t>
  </si>
  <si>
    <t>Thomas Telford</t>
  </si>
  <si>
    <t>Shallow Foundations</t>
  </si>
  <si>
    <t>Braja M. Das</t>
  </si>
  <si>
    <t>Creating Foundations for American Schools</t>
  </si>
  <si>
    <t>Dan H. McCormick, David G. Bauer, Daryl E. Ferguson</t>
  </si>
  <si>
    <t>Foundations of Orientation and Mobility</t>
  </si>
  <si>
    <t>Laying the Foundation: A Handbook of Catholic Apologetics and Fundamental Theology</t>
  </si>
  <si>
    <t>Fr. Joseph Clifford Fenton, S.T.D.</t>
  </si>
  <si>
    <t>Emmaus Road Publishing</t>
  </si>
  <si>
    <t>Simplified Design of Building Foundations</t>
  </si>
  <si>
    <t>James Ambrose</t>
  </si>
  <si>
    <t>Structural Foundation Designers' Manual</t>
  </si>
  <si>
    <t>W. G. Curtin, Gerry Shaw, Gary Parkinson, J. Golding, Norman Seward</t>
  </si>
  <si>
    <t>Nursing Foundations-I</t>
  </si>
  <si>
    <t>Prof. (Dr.) Manjubala Dash, Prof. (Dr.) Sandeep Kumar Choubisa</t>
  </si>
  <si>
    <t>Thakur Publicatoin Private Limited</t>
  </si>
  <si>
    <t>Sociological Foundation of Education</t>
  </si>
  <si>
    <t>Srinibas Bhattacharya</t>
  </si>
  <si>
    <t>A Study Guide for Douglas Adams's "The Hitchhiker's Guide to the Galaxy"</t>
  </si>
  <si>
    <t>Gale Cengage Learning</t>
  </si>
  <si>
    <t>The Hitchhiker's Guide to Negotiation</t>
  </si>
  <si>
    <t>Ian Wilkinson</t>
  </si>
  <si>
    <t>Amer. Assoc. for Clinical Chemistry</t>
  </si>
  <si>
    <t>The Hitchhiker's Guide to Python</t>
  </si>
  <si>
    <t>Kenneth Reitz, Tanya Schlusser</t>
  </si>
  <si>
    <t>The Hitchhiker's Guide to Writing Research</t>
  </si>
  <si>
    <t>Xinghua Liu, Michael Hebert, Rui A. Alves</t>
  </si>
  <si>
    <t>A Hitchhiker's Guide To Armageddon</t>
  </si>
  <si>
    <t>David Hatcher Childress</t>
  </si>
  <si>
    <t>SCB Distributors</t>
  </si>
  <si>
    <t>The Hitchhiker's Guide to Going Mobile</t>
  </si>
  <si>
    <t>Arthur Goldstuck</t>
  </si>
  <si>
    <t>Juta and Company Ltd</t>
  </si>
  <si>
    <t>The Hitchhiker's Guide to Effective Time Management</t>
  </si>
  <si>
    <t>Christopher S. Frings</t>
  </si>
  <si>
    <t>The Hitchhiker's Guide to Calculus</t>
  </si>
  <si>
    <t>Michael Spivak</t>
  </si>
  <si>
    <t>American Mathematical Soc.</t>
  </si>
  <si>
    <t>The Hitchhiker's Guide to Whole Exome Analysis</t>
  </si>
  <si>
    <t>Shrey Gandhi, Vinod Scaria</t>
  </si>
  <si>
    <t>Research in Genomics</t>
  </si>
  <si>
    <t>The Hitchhiker's Guide to Going Wireless</t>
  </si>
  <si>
    <t>Cell phones</t>
  </si>
  <si>
    <t>A Hitchhiker's Guide to Virtual Reality</t>
  </si>
  <si>
    <t>Karen McMenemy, Robin Stuart Ferguson</t>
  </si>
  <si>
    <t>Hitchhiker's Guide to Internal Medicine</t>
  </si>
  <si>
    <t>Atif Qasim</t>
  </si>
  <si>
    <t>mind matter mood: a hitchhiker's guide to enlightenment</t>
  </si>
  <si>
    <t>frank taddei</t>
  </si>
  <si>
    <t>Religion and atheism in Douglas Adams' "Hitchhiker's guide to the galaxy"</t>
  </si>
  <si>
    <t>Christian Schlegel</t>
  </si>
  <si>
    <t>The Hitchhiker's Guide to Improving Efficiency in the Clinical Laboratory</t>
  </si>
  <si>
    <t>Frederick L. Kiechle, Rhonda Ingram Main</t>
  </si>
  <si>
    <t>The Hitchhiker's Guide to Operations Management</t>
  </si>
  <si>
    <t>Charlie Gifford</t>
  </si>
  <si>
    <t>ISA</t>
  </si>
  <si>
    <t>Hitchhiker's Guide to the Galaxy #1</t>
  </si>
  <si>
    <t>John Carnell</t>
  </si>
  <si>
    <t>ibooks</t>
  </si>
  <si>
    <t>A Guide to The Hitchhiker's Guide to the Galaxy</t>
  </si>
  <si>
    <t>Kevin R. Smith</t>
  </si>
  <si>
    <t>Hitchhiker's Guide to SQL Server 2000 Reporting Services</t>
  </si>
  <si>
    <t>Peter Blackburn, William R. Vaughn</t>
  </si>
  <si>
    <t>Addison-Wesley Professional</t>
  </si>
  <si>
    <t>The Hitchhiker's Guide to Machine Learning Algorithms</t>
  </si>
  <si>
    <t>Devin Schumacher, Francis LaBounty Jr.</t>
  </si>
  <si>
    <t>SERP Media</t>
  </si>
  <si>
    <t>Summary of Douglas Adams's The Hitchhiker's Guide to the Galaxy</t>
  </si>
  <si>
    <t>Milkyway Media</t>
  </si>
  <si>
    <t>Gillian Flynn</t>
  </si>
  <si>
    <t>sv</t>
  </si>
  <si>
    <t>Gone Girl (Flink pike)</t>
  </si>
  <si>
    <t>Font Forlag AS</t>
  </si>
  <si>
    <t>no</t>
  </si>
  <si>
    <t>The Girl with the Dragon Tattoo #2</t>
  </si>
  <si>
    <t>Sylvain Runberg, Stieg Larsson</t>
  </si>
  <si>
    <t>Titan Comics</t>
  </si>
  <si>
    <t>Denise Mina</t>
  </si>
  <si>
    <t>The Girl With The Dragon Tattoo Book One</t>
  </si>
  <si>
    <t>Vertigo</t>
  </si>
  <si>
    <t>The Girl with the Dragon Tattoo and Philosophy</t>
  </si>
  <si>
    <t>Eric Bronson</t>
  </si>
  <si>
    <t>The Psychology of the Girl with the Dragon Tattoo</t>
  </si>
  <si>
    <t>Robin S. Rosenberg, Shannon O'Neill</t>
  </si>
  <si>
    <t>The Da Vinci Code</t>
  </si>
  <si>
    <t>Shirley Bell</t>
  </si>
  <si>
    <t>The Da Vinci Code Revisited</t>
  </si>
  <si>
    <t>Christopher H.K. Persaud</t>
  </si>
  <si>
    <t>Nicky Gumbel</t>
  </si>
  <si>
    <t>Alpha International</t>
  </si>
  <si>
    <t>The Da Vinci Code Controversy</t>
  </si>
  <si>
    <t>Michael J. Easley, John Ankerberg</t>
  </si>
  <si>
    <t>Moody Publishers</t>
  </si>
  <si>
    <t>The Da Vinci Code and the Secrets of the Temple</t>
  </si>
  <si>
    <t>Robin Griffith-Jones</t>
  </si>
  <si>
    <t>Wm. B. Eerdmans Publishing</t>
  </si>
  <si>
    <t>Breaking the Da Vinci Code</t>
  </si>
  <si>
    <t>Darrell L. Bock</t>
  </si>
  <si>
    <t>HarperChristian + ORM</t>
  </si>
  <si>
    <t>The Truth Behind the Da Vinci Code</t>
  </si>
  <si>
    <t>Richard Abanes</t>
  </si>
  <si>
    <t>Harvest House Publishers</t>
  </si>
  <si>
    <t>The Da Vinci Codebreaker</t>
  </si>
  <si>
    <t>James L. Garlow</t>
  </si>
  <si>
    <t>Baker Books</t>
  </si>
  <si>
    <t>Le Jésus du Da Vinci code</t>
  </si>
  <si>
    <t>Jean-Paul Michaud</t>
  </si>
  <si>
    <t>Les Editions Fides</t>
  </si>
  <si>
    <t>Exploring the Da Vinci Code</t>
  </si>
  <si>
    <t>Lee Strobel, Garry Poole</t>
  </si>
  <si>
    <t>Zondervan</t>
  </si>
  <si>
    <t>The Man Behind the Da Vinci Code</t>
  </si>
  <si>
    <t>Lisa Rogak</t>
  </si>
  <si>
    <t>Andrews McMeel Publishing</t>
  </si>
  <si>
    <t>Twilight</t>
  </si>
  <si>
    <t>William Gay</t>
  </si>
  <si>
    <t>Faber &amp; Faber</t>
  </si>
  <si>
    <t>Kristen Heitzmann</t>
  </si>
  <si>
    <t>Bethany House</t>
  </si>
  <si>
    <t>Seduced by Twilight</t>
  </si>
  <si>
    <t>Natalie Wilson</t>
  </si>
  <si>
    <t>Why We Love (and Hate) Twilight</t>
  </si>
  <si>
    <t>Sarah Elizabeth Gallagher</t>
  </si>
  <si>
    <t>Mango Media</t>
  </si>
  <si>
    <t>Bitten by Twilight</t>
  </si>
  <si>
    <t>Melissa A. Click, Jennifer Stevens Aubrey, Elizabeth Behm-Morawitz</t>
  </si>
  <si>
    <t>Theorizing Twilight</t>
  </si>
  <si>
    <t>Maggie Parke, Natalie Wilson</t>
  </si>
  <si>
    <t>Frank Danby</t>
  </si>
  <si>
    <t>Genre, Reception, and Adaptation in the 'Twilight' Series</t>
  </si>
  <si>
    <t>Professor Anne Morey</t>
  </si>
  <si>
    <t>Twilight Serenade</t>
  </si>
  <si>
    <t>John Severin Green</t>
  </si>
  <si>
    <t>Nancy Pickard</t>
  </si>
  <si>
    <t>Twilight, Say Cheese!</t>
  </si>
  <si>
    <t>Daisy Sunshine</t>
  </si>
  <si>
    <t>Aladdin</t>
  </si>
  <si>
    <t>Elie Wiesel</t>
  </si>
  <si>
    <t>Twilight of the White Rajahs</t>
  </si>
  <si>
    <t>Alex Ling</t>
  </si>
  <si>
    <t>Bringing Light to Twilight</t>
  </si>
  <si>
    <t>G. Anatol</t>
  </si>
  <si>
    <t>Twilight in Italy (義大利的黃昏)</t>
  </si>
  <si>
    <t>David Herbert Lawrence</t>
  </si>
  <si>
    <t>Hyweb Technology Co. Ltd.</t>
  </si>
  <si>
    <t>Fame: The Cast of Twilight</t>
  </si>
  <si>
    <t>Kim Sherman, Ryan Burton</t>
  </si>
  <si>
    <t>Bluewater Productions</t>
  </si>
  <si>
    <t>Rev. Jim Hall</t>
  </si>
  <si>
    <t>The Binge Watcher’s Guide to the Twilight Saga</t>
  </si>
  <si>
    <t>Rachel Zimny</t>
  </si>
  <si>
    <t>Riverdale Avenue Books LLC</t>
  </si>
  <si>
    <t>Interdisciplinary Approaches to Twilight</t>
  </si>
  <si>
    <t>Mariah Larsson, Ann Steiner</t>
  </si>
  <si>
    <t xml:space="preserve">Svenska Historiska Media Förlag </t>
  </si>
  <si>
    <t>The Twilight Mind</t>
  </si>
  <si>
    <t>Julie-Anne Sykley</t>
  </si>
  <si>
    <t>John Hunt Publishing</t>
  </si>
  <si>
    <t>The Psychology of Twilight</t>
  </si>
  <si>
    <t>E. David Klonsky, Alexis Black</t>
  </si>
  <si>
    <t>BenBella Books</t>
  </si>
  <si>
    <t>Grzegorz V. Rozenberg</t>
  </si>
  <si>
    <t>Hunger Games Trilogy 1: The Hunger Games: Anniversary Edition</t>
  </si>
  <si>
    <t>The Hunger Games (Movie tie-in)</t>
  </si>
  <si>
    <t>The Hunger Games Complete Trilogy</t>
  </si>
  <si>
    <t>Of Bread, Blood and The Hunger Games</t>
  </si>
  <si>
    <t>Mary F. Pharr, Leisa A. Clark, Donald E. Palumbo</t>
  </si>
  <si>
    <t>Guide to The Hunger Games</t>
  </si>
  <si>
    <t>Caroline Carpenter</t>
  </si>
  <si>
    <t>Plexus Publishing</t>
  </si>
  <si>
    <t>FAME: Suzanne Collins: The creator of the Hunger Games</t>
  </si>
  <si>
    <t>Sara Gundell</t>
  </si>
  <si>
    <t>101 Amazing Facts about The Hunger Games</t>
  </si>
  <si>
    <t>THE HUNGER GAMES</t>
  </si>
  <si>
    <t>The Hunger Games Official Illustrated Movie Companion</t>
  </si>
  <si>
    <t>Kate Egan</t>
  </si>
  <si>
    <t>Violence in Suzanne Collins' The Hunger Games Trilogy</t>
  </si>
  <si>
    <t>Gary Wiener</t>
  </si>
  <si>
    <t>Approaching the Hunger Games Trilogy</t>
  </si>
  <si>
    <t>Tom Henthorne</t>
  </si>
  <si>
    <t>Space and Place in The Hunger Games</t>
  </si>
  <si>
    <t>Deidre Anne Evans Garriott, Whitney Elaine Jones, Julie Elizabeth Tyler</t>
  </si>
  <si>
    <t>HUNGER GAMES – Vražedná pomsta</t>
  </si>
  <si>
    <t>Fragment</t>
  </si>
  <si>
    <t>cs</t>
  </si>
  <si>
    <t>HUNGER GAMES - Síla vzdoru</t>
  </si>
  <si>
    <t>Suzanne Collinsová</t>
  </si>
  <si>
    <t>Hunger Games A-Z</t>
  </si>
  <si>
    <t>Martin Howden</t>
  </si>
  <si>
    <t>The Hunger Games: An Instructional Guide for Literature</t>
  </si>
  <si>
    <t>Charles Aracich</t>
  </si>
  <si>
    <t>Teacher Created Materials</t>
  </si>
  <si>
    <t>The Politics of The Hunger Games</t>
  </si>
  <si>
    <t>Jamey Heit</t>
  </si>
  <si>
    <t>HUNGER GAMES - Aréna smrti (speciální vydání)</t>
  </si>
  <si>
    <t>Religion and the Arts in The Hunger Games</t>
  </si>
  <si>
    <t>Zhange Ni</t>
  </si>
  <si>
    <t>Sunrise on the Reaping (A Hunger Games Novel)</t>
  </si>
  <si>
    <t>Divergent Series</t>
  </si>
  <si>
    <t>Godfrey Harold Hardy</t>
  </si>
  <si>
    <t>Divergent Traditions</t>
  </si>
  <si>
    <t>Orin Brightfield, AI</t>
  </si>
  <si>
    <t>Studies on Divergent Series and Summability and The Asymptotic Developments of Functions Defined by Maclaurin Series</t>
  </si>
  <si>
    <t>Walter B. Ford</t>
  </si>
  <si>
    <t>Divergent Theory of Intimate Relationships: A Theory &amp; Remedy</t>
  </si>
  <si>
    <t>Jesse Omoregie</t>
  </si>
  <si>
    <t xml:space="preserve"> Independently published</t>
  </si>
  <si>
    <t>Explaining Divergent Levels of Longevity in High-Income Countries</t>
  </si>
  <si>
    <t>National Research Council, Division of Behavioral and Social Sciences and Education, Committee on Population, Panel on Understanding Divergent Trends in Longevity in High-Income Countries</t>
  </si>
  <si>
    <t>Chinese Émigré Composers and Divergent Modernisms</t>
  </si>
  <si>
    <t>Mia Chung</t>
  </si>
  <si>
    <t>Convergent Leadership-Divergent Exposures</t>
  </si>
  <si>
    <t>Franco Oboni, Cesar H. Oboni</t>
  </si>
  <si>
    <t>Emergent Economies, Divergent Paths</t>
  </si>
  <si>
    <t>Robert C. Feenstra, Gary G. Hamilton</t>
  </si>
  <si>
    <t>The Chronicles of Narnia Vol I: The Lion, the Witch, and the Wardrobe</t>
  </si>
  <si>
    <t>C.S.Lewis</t>
  </si>
  <si>
    <t>Enrich Spot Limited</t>
  </si>
  <si>
    <t>The Chronicles of Narnia. Prince Caspian</t>
  </si>
  <si>
    <t>Strelbytskyy Multimedia Publishing</t>
  </si>
  <si>
    <t>The Chronicles of Narnia. The Lion, the Witch and the Wardrobe</t>
  </si>
  <si>
    <t>C. S. Lewis</t>
  </si>
  <si>
    <t>The Chronicles of Narnia - Complete 7 Books in One Edition</t>
  </si>
  <si>
    <t>The Chronicles of Narnia Part Two</t>
  </si>
  <si>
    <t>ببلومانيا للنشر والتوزيع</t>
  </si>
  <si>
    <t>Milton, Spenser and The Chronicles of Narnia</t>
  </si>
  <si>
    <t>Elizabeth Baird Hardy</t>
  </si>
  <si>
    <t>The Chronicles of Narnia Vol II: Prince Caspian</t>
  </si>
  <si>
    <t>The Chronicles of Narnia Vol VII: The Last Battle</t>
  </si>
  <si>
    <t>The Chronicles of Narnia and Philosophy</t>
  </si>
  <si>
    <t>Gregory Bassham, Jerry L. Walls, William Irwin</t>
  </si>
  <si>
    <t>The Chronicles of Narnia Vol V: The Horse and his Boy</t>
  </si>
  <si>
    <t>The Chronicles of Narnia Vol IV: The Silver Chair</t>
  </si>
  <si>
    <t>The Chronicles of Narnia Vol III: The Voyage of the Dawn Treader</t>
  </si>
  <si>
    <t>The Chronicles of Narnia: Kursi Perak (The Silver Chair)</t>
  </si>
  <si>
    <t>C.S. Lewis</t>
  </si>
  <si>
    <t>The Chronicles of Narnia: Kuda dan Anak Manusia (The Horse and His Boy)</t>
  </si>
  <si>
    <t>Complete Works of C.S. Lewis - The Chronicles Of Narnia (Complete Collection), The Space Trilogy, Out of the Silent Planet, The Great Divorce, The Screwtape Letters and others</t>
  </si>
  <si>
    <t>The Chronicles of Narnia: Keponakan Penyihir (The Magician's Nephew)</t>
  </si>
  <si>
    <t>The Chronicles of Narnia: Petualangan Dawn Treader (The Voyage of Dawn Treader)</t>
  </si>
  <si>
    <t>THE CHRONICLES OF NARNIA</t>
  </si>
  <si>
    <t>A Christian Teacher’s Guide to the Chronicles of Narnia, Grades 2 - 5</t>
  </si>
  <si>
    <t>Christin Ditchfield</t>
  </si>
  <si>
    <t>The Chronicles of Narnia</t>
  </si>
  <si>
    <t>Clive Staples Lewis</t>
  </si>
  <si>
    <t>In the Hands of a Child</t>
  </si>
  <si>
    <t>The Use of Mythological Elements in "The Chronicles of Narnia" by C. S. Lewis</t>
  </si>
  <si>
    <t>Lenka Šerešová</t>
  </si>
  <si>
    <t>Christian Popular Culture from The Chronicles of Narnia to Duck Dynasty</t>
  </si>
  <si>
    <t>Eleanor Hersey Nickel</t>
  </si>
  <si>
    <t>Lewis Carroll</t>
  </si>
  <si>
    <t>Seven Books</t>
  </si>
  <si>
    <t>Alice in Wonderland in Film and Popular Culture</t>
  </si>
  <si>
    <t>Antonio Sanna</t>
  </si>
  <si>
    <t>Eva Mason, Lewis Carroll</t>
  </si>
  <si>
    <t>Alice in Wonderland: A Play for Young Audiences</t>
  </si>
  <si>
    <t>Alice Gerstenberg</t>
  </si>
  <si>
    <t>Alice in Wonderland and Philosophy</t>
  </si>
  <si>
    <t>William Irwin, Richard Brian Davis</t>
  </si>
  <si>
    <t>Lewis Carroll, Retold by Martin Powell</t>
  </si>
  <si>
    <t>Raintree</t>
  </si>
  <si>
    <t>THE COMPLETE ALICE IN WONDERLAND ADVENTURES (With Original Illustrations)</t>
  </si>
  <si>
    <t>The Real Story of Alice in Wonderland</t>
  </si>
  <si>
    <t>Kristen Doherty</t>
  </si>
  <si>
    <t>Alice in Wonderland Collection: All Four Books</t>
  </si>
  <si>
    <t>Alice in Wonderland Collection</t>
  </si>
  <si>
    <t>Alice in Wonderland : Om Illustrated Classics</t>
  </si>
  <si>
    <t>Alice in Wonderland (Ingles-Español)</t>
  </si>
  <si>
    <t>bilibook.com</t>
  </si>
  <si>
    <t>es</t>
  </si>
  <si>
    <t>Frankenstein</t>
  </si>
  <si>
    <t>Mary Shelley</t>
  </si>
  <si>
    <t>Frankenstein, Creation, and Monstrosity</t>
  </si>
  <si>
    <t>Stephen Bann</t>
  </si>
  <si>
    <t>Reaktion Books</t>
  </si>
  <si>
    <t>Mary W. Shelley</t>
  </si>
  <si>
    <t>Prestwick House Inc</t>
  </si>
  <si>
    <t>Frankenstein; Or, The Modern Prometheus</t>
  </si>
  <si>
    <t>The Story of Frankenstein</t>
  </si>
  <si>
    <t>David Higgins</t>
  </si>
  <si>
    <t>Frankenstein - Spotlight Edition</t>
  </si>
  <si>
    <t>Kris Hirschmann</t>
  </si>
  <si>
    <t>Monsters in literature</t>
  </si>
  <si>
    <t>Frankenstein (The Original 1818 'Uncensored' Edition of the Science Fiction Classic)</t>
  </si>
  <si>
    <t>e-artnow (Open Publishing)</t>
  </si>
  <si>
    <t>Creation in literature</t>
  </si>
  <si>
    <t>Frankenstein (The Original 1818 'Uncensored' Edition)</t>
  </si>
  <si>
    <t>FRANKENSTEIN (The Original 1818 Edition)</t>
  </si>
  <si>
    <t>Shelly M</t>
  </si>
  <si>
    <t>Frankenstein: or "The Modern Prometheus"</t>
  </si>
  <si>
    <t>E-Kitap Projesi &amp; Cheapest Books</t>
  </si>
  <si>
    <t>On Writing</t>
  </si>
  <si>
    <t>Deception Point</t>
  </si>
  <si>
    <t>Il codice da Vinci</t>
  </si>
  <si>
    <t>Angeli e demoni</t>
  </si>
  <si>
    <t>Il simbolo perduto</t>
  </si>
  <si>
    <t>F. Scott Fitzgerald: Trimalchio</t>
  </si>
  <si>
    <t>大亨小傳【文字．有聲版】</t>
  </si>
  <si>
    <t>東西文坊</t>
  </si>
  <si>
    <t>zh-TW</t>
  </si>
  <si>
    <t>The Murder of Roger Ackroyd</t>
  </si>
  <si>
    <t>Murder on the Orient Express</t>
  </si>
  <si>
    <t>AGATHA CHRISTIE</t>
  </si>
  <si>
    <t>The Companion</t>
  </si>
  <si>
    <t>MB Cooltura</t>
  </si>
  <si>
    <t>Poirot Investigates</t>
  </si>
  <si>
    <t>Death by Drowning</t>
  </si>
  <si>
    <t>The Mysterious Affair at Styles</t>
  </si>
  <si>
    <t>The Tuesday Night Club</t>
  </si>
  <si>
    <t>The LeMesurier Inheritance</t>
  </si>
  <si>
    <t>Marple: Twelve New Stories</t>
  </si>
  <si>
    <t>The Kidnapped Prime Minister</t>
  </si>
  <si>
    <t>The Million Dollar Bond Robbery</t>
  </si>
  <si>
    <t>The Adventure of the Cheap Flat</t>
  </si>
  <si>
    <t>How Does Your Garden Grow?</t>
  </si>
  <si>
    <t>The Mystery of the Blue Train</t>
  </si>
  <si>
    <t>The Double Clue</t>
  </si>
  <si>
    <t>The Girl in the Train</t>
  </si>
  <si>
    <t>Tragedi Tiga Babak (Three Act Tragedy)</t>
  </si>
  <si>
    <t>Mr Eastwood ́s Adventure</t>
  </si>
  <si>
    <t>Accident</t>
  </si>
  <si>
    <t>Poirot Investiga</t>
  </si>
  <si>
    <t>The Affair at the Bungalow</t>
  </si>
  <si>
    <t>It</t>
  </si>
  <si>
    <t>Carrie</t>
  </si>
  <si>
    <t>You Like It Darker</t>
  </si>
  <si>
    <t>Fairy Tale</t>
  </si>
  <si>
    <t>Misery</t>
  </si>
  <si>
    <t>Dreamcatcher</t>
  </si>
  <si>
    <t>The Long Walk</t>
  </si>
  <si>
    <t>Christine</t>
  </si>
  <si>
    <t>Firestarter</t>
  </si>
  <si>
    <t>Finders Keepers</t>
  </si>
  <si>
    <t>Holly</t>
  </si>
  <si>
    <t>Insomnia</t>
  </si>
  <si>
    <t>Different Seasons</t>
  </si>
  <si>
    <t>Elevation</t>
  </si>
  <si>
    <t>Needful Things</t>
  </si>
  <si>
    <t>Thinner</t>
  </si>
  <si>
    <t>Danse Macabre</t>
  </si>
  <si>
    <t>Cujo</t>
  </si>
  <si>
    <t>The Regulators</t>
  </si>
  <si>
    <t>Bag of Bones</t>
  </si>
  <si>
    <t>Riding the Bullet</t>
  </si>
  <si>
    <t>Origin</t>
  </si>
  <si>
    <t>Mizan Publishing</t>
  </si>
  <si>
    <t>Angels &amp; Demons Special Illustrated Edition</t>
  </si>
  <si>
    <t>The Lost Symbol</t>
  </si>
  <si>
    <t>Mizan Pustaka</t>
  </si>
  <si>
    <t>DAN BROWN</t>
  </si>
  <si>
    <t>MEHTA PUBLISHING HOUSE</t>
  </si>
  <si>
    <t>mr</t>
  </si>
  <si>
    <t>Inferno</t>
  </si>
  <si>
    <t>Inferno. Estratto gratuito</t>
  </si>
  <si>
    <t>Box Digital – Robert Langdon</t>
  </si>
  <si>
    <t>Arqueiro</t>
  </si>
  <si>
    <t>Origen (En espanol)</t>
  </si>
  <si>
    <t>VINTAGE ESPAÑOL</t>
  </si>
  <si>
    <t>Początek</t>
  </si>
  <si>
    <t>Sonia Draga Sp. z o.o.</t>
  </si>
  <si>
    <t>pl</t>
  </si>
  <si>
    <t>O Código Da Vinci</t>
  </si>
  <si>
    <t>Editora Arqueiro</t>
  </si>
  <si>
    <t>The Great Expectations School</t>
  </si>
  <si>
    <t>Arcade Publishing</t>
  </si>
  <si>
    <t>Inferno (En espanol)</t>
  </si>
  <si>
    <t>Det tapte symbol</t>
  </si>
  <si>
    <t>Bazarforlag AS</t>
  </si>
  <si>
    <t>Crypto</t>
  </si>
  <si>
    <t>ANGELS AND DEMONS</t>
  </si>
  <si>
    <t>La verità del ghiaccio</t>
  </si>
  <si>
    <t>Rizzoli</t>
  </si>
  <si>
    <t>Güzel Bir Hayat</t>
  </si>
  <si>
    <t>Doğan Yayınları</t>
  </si>
  <si>
    <t>Ickabog</t>
  </si>
  <si>
    <t>Hidup yang Sangat Baik (Very Good Lives)</t>
  </si>
  <si>
    <t>A guerra dos tronos</t>
  </si>
  <si>
    <t>George R.R. Martin</t>
  </si>
  <si>
    <t>Leya</t>
  </si>
  <si>
    <t>A morte da luz</t>
  </si>
  <si>
    <t>A fúria dos reis</t>
  </si>
  <si>
    <t>El rag del armagedón</t>
  </si>
  <si>
    <t>PLAZA JANÉS</t>
  </si>
  <si>
    <t>Il cavaliere dei Sette Regni</t>
  </si>
  <si>
    <t>L'ascesa del drago</t>
  </si>
  <si>
    <t>George R.R. Martin, Elio M. García Jr., Linda Antonsson</t>
  </si>
  <si>
    <t>Il Trono di Spade - 1. Il Trono di Spade, Il Grande Inverno</t>
  </si>
  <si>
    <t>The Hitchhiker’s Guide to AI</t>
  </si>
  <si>
    <t>Pan Macmillan South africa</t>
  </si>
  <si>
    <t>The Girl in the Eagle's Talons</t>
  </si>
  <si>
    <t>Karin Smirnoff</t>
  </si>
  <si>
    <t>Random House</t>
  </si>
  <si>
    <t>The Bookshop Detectives 2: Tea and Cake and Death</t>
  </si>
  <si>
    <t>Gareth and Louise Ward</t>
  </si>
  <si>
    <t>Penguin Random House New Zealand Limited</t>
  </si>
  <si>
    <t>The Hunger Pains</t>
  </si>
  <si>
    <t>The Harvard Lampoon</t>
  </si>
  <si>
    <t>George R. R. Martin Presents Wild Cards: House Rules</t>
  </si>
  <si>
    <t>George R. R. Martin Presents Wild Cards: Marked Cards</t>
  </si>
  <si>
    <t>George R. R. Martin Presents Wild Cards: Card Sharks</t>
  </si>
  <si>
    <t>George R. R. Martin Presents Wild Cards: Sleeper Straddle</t>
  </si>
  <si>
    <t>Christopher Rowe, Carrie Vaughn, Cherie Priest, William F. Wu, Walter Jon Williams, Stephen Leigh, Mary Anne Mohanraj, Max Gladstone</t>
  </si>
  <si>
    <t>Potterversity</t>
  </si>
  <si>
    <t>Kathryn N. McDaniel, Emily Strand</t>
  </si>
  <si>
    <t>From Here to Hogwarts</t>
  </si>
  <si>
    <t>From Hobbits to Hollywood</t>
  </si>
  <si>
    <t>Ernest Mathijs, Murray Pomerance</t>
  </si>
  <si>
    <t>The Ring and the Cross</t>
  </si>
  <si>
    <t>Paul E. Kerry</t>
  </si>
  <si>
    <t>The Frodo Franchise</t>
  </si>
  <si>
    <t>Kristin Thompson</t>
  </si>
  <si>
    <t>A Tolkien Compass</t>
  </si>
  <si>
    <t>Jared Lobdell</t>
  </si>
  <si>
    <t>Fantasy fiction, English</t>
  </si>
  <si>
    <t>Walking with Frodo</t>
  </si>
  <si>
    <t>Sarah Arthur</t>
  </si>
  <si>
    <t>Frodo's Journey</t>
  </si>
  <si>
    <t>Joseph Pearce</t>
  </si>
  <si>
    <t>TAN Books</t>
  </si>
  <si>
    <t>Year of the Ring</t>
  </si>
  <si>
    <t>Susana Polo</t>
  </si>
  <si>
    <t>The Battle for Middle-earth</t>
  </si>
  <si>
    <t>Fleming Rutledge</t>
  </si>
  <si>
    <t>Celebrating Middle-Earth</t>
  </si>
  <si>
    <t>John G. West, Jr.</t>
  </si>
  <si>
    <t>Inkling Books</t>
  </si>
  <si>
    <t>The Fellowship of the Knits</t>
  </si>
  <si>
    <t>Tanis Gray</t>
  </si>
  <si>
    <t>Bored of the Rings</t>
  </si>
  <si>
    <t>Seeking the Lord of Middle Earth</t>
  </si>
  <si>
    <t>Jeffrey L. Morrow</t>
  </si>
  <si>
    <t>Tolkien and the Invention of Myth: A Reader</t>
  </si>
  <si>
    <t>Games of Thrones A-Z: An Unofficial Guide to Accompany the Hit TV Series</t>
  </si>
  <si>
    <t>Winning Westeros</t>
  </si>
  <si>
    <t>Max Brooks, John Amble, ML Cavanaugh, Jaym Gates</t>
  </si>
  <si>
    <t>U of Nebraska Press</t>
  </si>
  <si>
    <t>Fire, Ice, and Physics</t>
  </si>
  <si>
    <t>Rebecca C. Thompson</t>
  </si>
  <si>
    <t>Vying for the Iron Throne</t>
  </si>
  <si>
    <t>Lindsey Mantoan, Sara Brady</t>
  </si>
  <si>
    <t>Queenship and the Women of Westeros</t>
  </si>
  <si>
    <t>Zita Eva Rohr, Lisa Benz</t>
  </si>
  <si>
    <t>Beyond the Wall</t>
  </si>
  <si>
    <t>James Lowder</t>
  </si>
  <si>
    <t>The Gathering Dark</t>
  </si>
  <si>
    <t>Christopher Golden</t>
  </si>
  <si>
    <t>Unveiling the Mockingbird's Shadows</t>
  </si>
  <si>
    <t>Pasquale De Marco</t>
  </si>
  <si>
    <t>Mockingbird</t>
  </si>
  <si>
    <t>Kathryn Erskine</t>
  </si>
  <si>
    <t>Reading and Interpreting the Works of Harper Lee</t>
  </si>
  <si>
    <t>Elizabeth Schmermund</t>
  </si>
  <si>
    <t>Monroeville</t>
  </si>
  <si>
    <t>Arcadia Publishing</t>
  </si>
  <si>
    <t>Monroe County Heritage Museums</t>
  </si>
  <si>
    <t>Photography</t>
  </si>
  <si>
    <t>Biography of Harper Lee</t>
  </si>
  <si>
    <t>Sam Morgan</t>
  </si>
  <si>
    <t>LibriHouse</t>
  </si>
  <si>
    <t>The Devil and Harper Lee</t>
  </si>
  <si>
    <t>Mark Seal</t>
  </si>
  <si>
    <t>Scribd, Inc.</t>
  </si>
  <si>
    <t>Mockingbird Moments</t>
  </si>
  <si>
    <t>Sharon Brown Keith</t>
  </si>
  <si>
    <t>Do I Really Have to Teach Reading?</t>
  </si>
  <si>
    <t>Cris Tovani</t>
  </si>
  <si>
    <t>Stenhouse Publishers</t>
  </si>
  <si>
    <t>Lovers and Beloveds</t>
  </si>
  <si>
    <t>Gary Richards</t>
  </si>
  <si>
    <t>LSU Press</t>
  </si>
  <si>
    <t>Harper Lee: Pulitzer Prize-Winning Author</t>
  </si>
  <si>
    <t>Alexis Burling</t>
  </si>
  <si>
    <t>Southern by the Grace of God</t>
  </si>
  <si>
    <t>Megan Hunt</t>
  </si>
  <si>
    <t>University of Georgia Press</t>
  </si>
  <si>
    <t>A Sea of Troubles</t>
  </si>
  <si>
    <t>Elizabeth James, B.H. James</t>
  </si>
  <si>
    <t>The Cambridge History of American Literature: Volume 7, Prose Writing, 1940-1990</t>
  </si>
  <si>
    <t>Sacvan Bercovitch, Cyrus R. K. Patell</t>
  </si>
  <si>
    <t>Life, Myth, and the American Family Unreeling</t>
  </si>
  <si>
    <t>Jeffry John Stein</t>
  </si>
  <si>
    <t>Universal-Publishers</t>
  </si>
  <si>
    <t>The Companion to Southern Literature</t>
  </si>
  <si>
    <t>Joseph M. Flora, Lucinda Hardwick MacKethan</t>
  </si>
  <si>
    <t>Evolving Standards of Decency</t>
  </si>
  <si>
    <t>Mary Welek Atwell</t>
  </si>
  <si>
    <t>Remembering Scottsboro</t>
  </si>
  <si>
    <t>James A. Miller</t>
  </si>
  <si>
    <t>On Harper Lee</t>
  </si>
  <si>
    <t>Alice Hall Petry</t>
  </si>
  <si>
    <t>University of Tennessee Press</t>
  </si>
  <si>
    <t>Epistemic Justice and Creative Agency</t>
  </si>
  <si>
    <t>Sarah Colvin, Stephanie Galasso</t>
  </si>
  <si>
    <t>Tableaux Vivants</t>
  </si>
  <si>
    <t>Grace Ann Hovet</t>
  </si>
  <si>
    <t>Thinking, Childhood, and Time</t>
  </si>
  <si>
    <t>Walter Omar Kohan, Barbara Weber</t>
  </si>
  <si>
    <t>Echo and Narcissus</t>
  </si>
  <si>
    <t>Amy Lawrence</t>
  </si>
  <si>
    <t>El Salvador</t>
  </si>
  <si>
    <t>David Francois</t>
  </si>
  <si>
    <t>Helion and Company</t>
  </si>
  <si>
    <t>Technology in Retrospect</t>
  </si>
  <si>
    <t>Richard A. Diem, Michael J. Berson</t>
  </si>
  <si>
    <t>General and Synthetic Methods</t>
  </si>
  <si>
    <t>G. Pattenden</t>
  </si>
  <si>
    <t>Royal Society of Chemistry</t>
  </si>
  <si>
    <t>Strong Democracy</t>
  </si>
  <si>
    <t>Benjamin R. Barber</t>
  </si>
  <si>
    <t>Handbook of Psychopharmacology</t>
  </si>
  <si>
    <t>Leslie Iversen, Solomon H. Snyder</t>
  </si>
  <si>
    <t>The Constitution of Society</t>
  </si>
  <si>
    <t>Anthony Giddens</t>
  </si>
  <si>
    <t>Little Fox Goes to the End of the World</t>
  </si>
  <si>
    <t>Ann Tompert</t>
  </si>
  <si>
    <t>Marshall Cavendish</t>
  </si>
  <si>
    <t>Home Before Dark</t>
  </si>
  <si>
    <t>Susan Cheever</t>
  </si>
  <si>
    <t>Non-linear Elastic Deformations</t>
  </si>
  <si>
    <t>R. W. Ogden</t>
  </si>
  <si>
    <t>Frost</t>
  </si>
  <si>
    <t>William H. Pritchard</t>
  </si>
  <si>
    <t>Univ of Massachusetts Press</t>
  </si>
  <si>
    <t>The Permanent Alliance</t>
  </si>
  <si>
    <t>Williams</t>
  </si>
  <si>
    <t>Psychoanalytic Criticism</t>
  </si>
  <si>
    <t>Elizabeth Wright</t>
  </si>
  <si>
    <t>Latest Achievements of Diabetes Research</t>
  </si>
  <si>
    <t>F. Belfiore, A. M. Rabuazzo</t>
  </si>
  <si>
    <t>Karger Medical and Scientific Publishers</t>
  </si>
  <si>
    <t>The Case of Peter Pan, Or the Impossibility of Children's Fiction</t>
  </si>
  <si>
    <t>Jacqueline Rose</t>
  </si>
  <si>
    <t>Digital Computer Applications to Process Control</t>
  </si>
  <si>
    <t>M. Paul</t>
  </si>
  <si>
    <t>Comprehensive Organic Functional Group Transformations</t>
  </si>
  <si>
    <t>Alan R. Katritzky, Stanley M. Roberts, Otto Meth-Cohn, Charles Wayne Rees</t>
  </si>
  <si>
    <t>Revolutions and Rebellions in Afghanistan</t>
  </si>
  <si>
    <t>M. Nazif Shahrani, Louis Dupree, David J. Katz, R. Lincoln Keiser, Thomas J. Barfield, Hugh Beattie, Jon W. Anderson, Richard Tapper, Bahram Tavakolian</t>
  </si>
  <si>
    <t>F. Scott Fitzgerald at Work</t>
  </si>
  <si>
    <t>Horst H. Kruse</t>
  </si>
  <si>
    <t>University of Alabama Press</t>
  </si>
  <si>
    <t>The Collected Works</t>
  </si>
  <si>
    <t>A Breath of Fresh Eyre</t>
  </si>
  <si>
    <t>Margarete Rubik, Elke Mettinger-Schartmann</t>
  </si>
  <si>
    <t>The Complete Novels of Brontë Sisters</t>
  </si>
  <si>
    <t>Charlotte Brontë, Emily Brontë, Anne Brontë</t>
  </si>
  <si>
    <t>A Study In Scarlet</t>
  </si>
  <si>
    <t>A. Conan Doyle</t>
  </si>
  <si>
    <t>谷月社</t>
  </si>
  <si>
    <t>Murder She Wrote</t>
  </si>
  <si>
    <t>Patricia D. Maida, Nicholas B. Spornick</t>
  </si>
  <si>
    <t>The Many Lives of It</t>
  </si>
  <si>
    <t>Ron Riekki</t>
  </si>
  <si>
    <t>Inferno Decoded</t>
  </si>
  <si>
    <t>Michael Haag</t>
  </si>
  <si>
    <t>The Solomon Key and Beyond</t>
  </si>
  <si>
    <t>W. Frederick Zimmerman</t>
  </si>
  <si>
    <t>Cari Meister</t>
  </si>
  <si>
    <t>Colleen A. Sexton</t>
  </si>
  <si>
    <t>Twenty-First Century Books</t>
  </si>
  <si>
    <t>Warner Bros. Entertainment, Inc. &amp; J. K. Rowling V. Rdr Books and 10 Does</t>
  </si>
  <si>
    <t>District Court S Us District Court Sdny</t>
  </si>
  <si>
    <t>J.K Rowling</t>
  </si>
  <si>
    <t>Bonalletra Alcompàs</t>
  </si>
  <si>
    <t>Shackleton Books</t>
  </si>
  <si>
    <t>A karácsonyi malac</t>
  </si>
  <si>
    <t>Animus</t>
  </si>
  <si>
    <t>hu</t>
  </si>
  <si>
    <t>How Harry Cast His Spell</t>
  </si>
  <si>
    <t>John Granger</t>
  </si>
  <si>
    <t>NavPress</t>
  </si>
  <si>
    <t>Priori Incantatem</t>
  </si>
  <si>
    <t>Tracy Vyas, JK Rowling</t>
  </si>
  <si>
    <t>Game Changers: A Biography of J. K. Rowling</t>
  </si>
  <si>
    <t>Dona Herweck Rice</t>
  </si>
  <si>
    <t>Joanne Mattern</t>
  </si>
  <si>
    <t>Authors, English</t>
  </si>
  <si>
    <t>Charles J. Shields</t>
  </si>
  <si>
    <t>How to Analyze the Works of J. K. Rowling</t>
  </si>
  <si>
    <t>Victoria Peterson-Hilleque</t>
  </si>
  <si>
    <t>Potter Stinks</t>
  </si>
  <si>
    <t>Keridiana Chez</t>
  </si>
  <si>
    <t>Facing Unpleasant Facts</t>
  </si>
  <si>
    <t>HMH</t>
  </si>
  <si>
    <t>Politics and the English Language</t>
  </si>
  <si>
    <t>Renard Press Ltd</t>
  </si>
  <si>
    <t>Why I Write</t>
  </si>
  <si>
    <t>Animal Farm (Unabridged edition)</t>
  </si>
  <si>
    <t>David De Angelis</t>
  </si>
  <si>
    <t>The Complete Novels</t>
  </si>
  <si>
    <t>Shooting an Elephant</t>
  </si>
  <si>
    <t>Nineteen eighty-four</t>
  </si>
  <si>
    <t>Keep the Aspidistra Flying</t>
  </si>
  <si>
    <t>Bleak House</t>
  </si>
  <si>
    <t>Hamlet</t>
  </si>
  <si>
    <t>Bilbo's Journey</t>
  </si>
  <si>
    <t>A Hobbit Journey</t>
  </si>
  <si>
    <t>Matthew Dickerson</t>
  </si>
  <si>
    <t>Mythmaker</t>
  </si>
  <si>
    <t>Anne E. Neimark</t>
  </si>
  <si>
    <t>Tom Shippey</t>
  </si>
  <si>
    <t>J.R.R. Tolkien Encyclopedia</t>
  </si>
  <si>
    <t>Michael D. C. Drout</t>
  </si>
  <si>
    <t>Tolkien's Art</t>
  </si>
  <si>
    <t>A Companion to J. R. R. Tolkien</t>
  </si>
  <si>
    <t>Stuart D. Lee</t>
  </si>
  <si>
    <t>Hegelianism Paranormal Intelligence</t>
  </si>
  <si>
    <t>Paul Dale Roberts</t>
  </si>
  <si>
    <t>Child Language</t>
  </si>
  <si>
    <t>Matthew Saxton</t>
  </si>
  <si>
    <t>The Wobbit</t>
  </si>
  <si>
    <t>Hourly History</t>
  </si>
  <si>
    <t>Jill C. Wheeler</t>
  </si>
  <si>
    <t>ABDO Publishing Company</t>
  </si>
  <si>
    <t>Stratigraphic Analyses Using GPR</t>
  </si>
  <si>
    <t>Gregory S. Baker, Harry M. Jol</t>
  </si>
  <si>
    <t>Geomorphology of Desert Environments</t>
  </si>
  <si>
    <t>Anthony J. Parsons, A. D. Abrahams</t>
  </si>
  <si>
    <t>Camping &amp; Wilderness Survival</t>
  </si>
  <si>
    <t>Paul Tawrell</t>
  </si>
  <si>
    <t>Borne of the Wind</t>
  </si>
  <si>
    <t>Dennis Albert</t>
  </si>
  <si>
    <t>Encyclopedia of Coastal Science</t>
  </si>
  <si>
    <t>M. Schwartz</t>
  </si>
  <si>
    <t>Potter &amp; Perry's Essentials of Nursing Practice, SAE, E book</t>
  </si>
  <si>
    <t>Patricia A. Potter, Anne G. Perry, Patricia A. Stockert, Amy Hall</t>
  </si>
  <si>
    <t>Web Accessibility</t>
  </si>
  <si>
    <t>Yeliz Yesilada, Simon Harper</t>
  </si>
  <si>
    <t>Saint Paul</t>
  </si>
  <si>
    <t>Alain Badiou</t>
  </si>
  <si>
    <t>Infinite Dimensional Analysis</t>
  </si>
  <si>
    <t>Charalambos D. Aliprantis, Kim C. Border</t>
  </si>
  <si>
    <t>The Hitchhikers Guide to Web 3</t>
  </si>
  <si>
    <t xml:space="preserve">Cisco Kid </t>
  </si>
  <si>
    <t>Do not Panic -Telecommunication Edition</t>
  </si>
  <si>
    <t>Artur Krukowski</t>
  </si>
  <si>
    <t>RFSAT Limited</t>
  </si>
  <si>
    <t>The Forth Dimension</t>
  </si>
  <si>
    <t>Ron Forth</t>
  </si>
  <si>
    <t>FriesenPress</t>
  </si>
  <si>
    <t>The Hitchhiker’s Guide to Genesis</t>
  </si>
  <si>
    <t>Quick Savant</t>
  </si>
  <si>
    <t>Scott Campbell</t>
  </si>
  <si>
    <t>Beacon Technologies</t>
  </si>
  <si>
    <t>Stephen Statler</t>
  </si>
  <si>
    <t>Apress</t>
  </si>
  <si>
    <t>The Global Encyclopaedia of Informality, Volume 3</t>
  </si>
  <si>
    <t>Alena Ledeneva</t>
  </si>
  <si>
    <t>UCL Press</t>
  </si>
  <si>
    <t>The 2016 Hitchhiker’s Guide to Excel Functions, Short-cuts &amp; Tips</t>
  </si>
  <si>
    <t>Marcus S. Vannini</t>
  </si>
  <si>
    <t>Marcus Stuart</t>
  </si>
  <si>
    <t>Hitchhiker</t>
  </si>
  <si>
    <t>M. J. Simpson</t>
  </si>
  <si>
    <t>Justin, Charles &amp; Co.</t>
  </si>
  <si>
    <t>Hitchhikers' Guide to Electronics in the '90s</t>
  </si>
  <si>
    <t>David Manners</t>
  </si>
  <si>
    <t>The Algebraic Galaxy of Simple Macroeconomic Models</t>
  </si>
  <si>
    <t>Mr.Evan C Tanner</t>
  </si>
  <si>
    <t>International Monetary Fund</t>
  </si>
  <si>
    <t>Hitchhiker’s Guide to Inflation in Libya</t>
  </si>
  <si>
    <t>Mr.Serhan Cevik, Ms.Katerina Teksoz</t>
  </si>
  <si>
    <t>L'amore bugiardo (VINTAGE)</t>
  </si>
  <si>
    <t>Contemporary Crime Fiction</t>
  </si>
  <si>
    <t>Antiheroines of Contemporary Media</t>
  </si>
  <si>
    <t>Melanie Haas, N. A. Pierce, Gretchen Busl</t>
  </si>
  <si>
    <t>Domestic Noir</t>
  </si>
  <si>
    <t>Laura Joyce, Henry Sutton</t>
  </si>
  <si>
    <t>A Kiss for You!</t>
  </si>
  <si>
    <t>Dianne Powell-Eddings</t>
  </si>
  <si>
    <t>Perplexing Plots</t>
  </si>
  <si>
    <t>David Bordwell</t>
  </si>
  <si>
    <t>Columbia University Press</t>
  </si>
  <si>
    <t>Family Relationships in Contemporary Crime Fiction</t>
  </si>
  <si>
    <t>Bill Phillips</t>
  </si>
  <si>
    <t>Odisea nº 15</t>
  </si>
  <si>
    <t>Susana Nicolás Román</t>
  </si>
  <si>
    <t>Universidad Almería</t>
  </si>
  <si>
    <t>Psychoanalytic Perspectives on Women and Power in Contemporary Fiction</t>
  </si>
  <si>
    <t>Rossella Valdrè</t>
  </si>
  <si>
    <t>Braver Than I Thought</t>
  </si>
  <si>
    <t>Luke Reynolds</t>
  </si>
  <si>
    <t>Luckiest Girl Alive</t>
  </si>
  <si>
    <t>Jessica Knoll</t>
  </si>
  <si>
    <t>PSYCHOLOGY OF LITERATURE</t>
  </si>
  <si>
    <t>Haniyah Jahra Yadi Putri , M. Riski Oktaberi, Zenya Alia Zahra, Rana Alfiyyah, Thirza Ishfahany Zatilaqmar, Nada Faradila, Zulfan Azra, Kusmarwanto, Riri Nadya Yuliana, Kenny Luis Manuputty, Ananda Marsya Permata, Lola Nurmala, Resa Adi Ahiria, Amanda Parmata Siregar, Lia Fatimah Azzarah, Pricilla Firly, Imas Kamaliyatuzahroh, Ahmad Rafi Mauludi, Chandra Ayu Martiza Ashadira, Bala Putra Dewa, Kamila Mutiara Sari, Fitri Dewi Aryanti, Jihan Naura Salsabila, Savina Raina Novianti, Tasya Puteri Subowo, Olivia Natalie Budhiarto, Siti Noer Ramadhani</t>
  </si>
  <si>
    <t>Ahlimedia Book</t>
  </si>
  <si>
    <t>The Neoliberal Imagination in Contemporary Literature</t>
  </si>
  <si>
    <t>Tammy Amiel Houser</t>
  </si>
  <si>
    <t>The Transformative Power of Literature and Narrative: Promoting Positive Change</t>
  </si>
  <si>
    <t>Corinna Assmann, Jan Rupp, Christine Schwanecke</t>
  </si>
  <si>
    <t>Narr Francke Attempto Verlag</t>
  </si>
  <si>
    <t>Horrible White People</t>
  </si>
  <si>
    <t>Taylor Nygaard, Jorie Lagerwey</t>
  </si>
  <si>
    <t>NYU Press</t>
  </si>
  <si>
    <t>Neoliberalism and Contemporary Literary Culture</t>
  </si>
  <si>
    <t>Mitchum Huehls, Rachel Greenwald Smith</t>
  </si>
  <si>
    <t>JHU Press</t>
  </si>
  <si>
    <t>Crime, Deviance and Popular Culture</t>
  </si>
  <si>
    <t>Dimitris Akrivos, Alexandros K. Antoniou</t>
  </si>
  <si>
    <t>Murder in a Few Words</t>
  </si>
  <si>
    <t>The Fascination with Unknown Time</t>
  </si>
  <si>
    <t>Sibylle Baumbach, Lena Henningsen, Klaus Oschema</t>
  </si>
  <si>
    <t>The Palgrave Encyclopedia of Urban Literary Studies</t>
  </si>
  <si>
    <t>Jeremy Tambling</t>
  </si>
  <si>
    <t>Clues: A Journal of Detection, Vol. 38, No. 1 (Spring 2020)</t>
  </si>
  <si>
    <t>Elizabeth Foxwell</t>
  </si>
  <si>
    <t>"How Come Boys Get to Keep Their Noses?"</t>
  </si>
  <si>
    <t>Tahneer Oksman</t>
  </si>
  <si>
    <t>Strike Me Down</t>
  </si>
  <si>
    <t>Mindy Mejia</t>
  </si>
  <si>
    <t>Atria/Emily Bestler Books</t>
  </si>
  <si>
    <t>Girl Nine: Gone (A Maya Gray FBI Suspense Thriller—Book 9)</t>
  </si>
  <si>
    <t>Seduction in Popular Culture, Psychology, and Philosophy</t>
  </si>
  <si>
    <t>Martins, Constantino, Damásio, Manuel</t>
  </si>
  <si>
    <t>The Trap</t>
  </si>
  <si>
    <t>Catherine Ryan Howard</t>
  </si>
  <si>
    <t>Blackstone Publishing</t>
  </si>
  <si>
    <t>Women, Violence and Postmillennial Romance Fiction</t>
  </si>
  <si>
    <t>Emma Roche</t>
  </si>
  <si>
    <t>Crime Fiction and Missing Persons Appeals to the Public</t>
  </si>
  <si>
    <t>Abigail Boucher, Tim Grant, Daniel Jenkin-Smith, Emily Powell</t>
  </si>
  <si>
    <t>Dark Places and Little Tramps</t>
  </si>
  <si>
    <t>Juri Nummelin</t>
  </si>
  <si>
    <t>BoD - Books on Demand</t>
  </si>
  <si>
    <t>Lost Girls</t>
  </si>
  <si>
    <t>Graham Wilson</t>
  </si>
  <si>
    <t>Planet Panic</t>
  </si>
  <si>
    <t>Pam Pastor</t>
  </si>
  <si>
    <t>Anvil Publishing, Inc.</t>
  </si>
  <si>
    <t>Under Your Skin</t>
  </si>
  <si>
    <t>Sabine Durrant</t>
  </si>
  <si>
    <t>Darkness Calls</t>
  </si>
  <si>
    <t>Sue Short</t>
  </si>
  <si>
    <t>The Girl with Dragon Tattoo</t>
  </si>
  <si>
    <t>Stieg Larsson</t>
  </si>
  <si>
    <t>Qanita</t>
  </si>
  <si>
    <t>The Girl Who Played with Fire</t>
  </si>
  <si>
    <t>Rape in Stieg Larsson's Millennium Trilogy and Beyond</t>
  </si>
  <si>
    <t>B. Åström, K. Gregersdotter, T. Horeck</t>
  </si>
  <si>
    <t>The Girl in The Spider`s Web (Indonesian Edition)</t>
  </si>
  <si>
    <t>David Lagercranz</t>
  </si>
  <si>
    <t>Mizan Qanita</t>
  </si>
  <si>
    <t>Corporate Medievalism</t>
  </si>
  <si>
    <t>Karl Fugelso</t>
  </si>
  <si>
    <t>Audiovisual Tourism Promotion</t>
  </si>
  <si>
    <t>Diego Bonelli, Alfio Leotta</t>
  </si>
  <si>
    <t>Emarketing Excellence</t>
  </si>
  <si>
    <t>Dave Chaffey, PR Smith</t>
  </si>
  <si>
    <t>Tough Gynes</t>
  </si>
  <si>
    <t>Stan Goff</t>
  </si>
  <si>
    <t>A Critical Companion to David Fincher</t>
  </si>
  <si>
    <t>Francis Mickus</t>
  </si>
  <si>
    <t>Lexington Books</t>
  </si>
  <si>
    <t>Encyclopedia of Journalists on Film</t>
  </si>
  <si>
    <t>Richard R. Ness</t>
  </si>
  <si>
    <t>The Autistic Sleuth</t>
  </si>
  <si>
    <t>Chris Chan, Patricia Meyer Chan</t>
  </si>
  <si>
    <t>Killer Instinct</t>
  </si>
  <si>
    <t>S.E. Green</t>
  </si>
  <si>
    <t>Roger Ebert's Movie Yearbook 2012</t>
  </si>
  <si>
    <t>Roger Ebert</t>
  </si>
  <si>
    <t>The Cambridge Companion to Fairy Tales</t>
  </si>
  <si>
    <t>Maria Tatar</t>
  </si>
  <si>
    <t>The Artemis Archetype in Popular Culture</t>
  </si>
  <si>
    <t>Susan Redington Bobby, Eileen M. Harney</t>
  </si>
  <si>
    <t>The Man Who Left Too Soon</t>
  </si>
  <si>
    <t>Barry Forshaw</t>
  </si>
  <si>
    <t>Feminist Views from Somewhere</t>
  </si>
  <si>
    <t>Leslie Gardner, Frances Gray</t>
  </si>
  <si>
    <t>David Fincher</t>
  </si>
  <si>
    <t>Laurence F. Knapp</t>
  </si>
  <si>
    <t>Slut Narratives in Popular Culture</t>
  </si>
  <si>
    <t>Laurie McMillan</t>
  </si>
  <si>
    <t>Rape-Revenge Films</t>
  </si>
  <si>
    <t>Alexandra Heller-Nicholas</t>
  </si>
  <si>
    <t>Origins of a Story</t>
  </si>
  <si>
    <t>Jake Grogan</t>
  </si>
  <si>
    <t>Cider Mill Press</t>
  </si>
  <si>
    <t>Bad Girls and Transgressive Women in Popular Television, Fiction, and Film</t>
  </si>
  <si>
    <t>Julie Chappell, Mallory Young</t>
  </si>
  <si>
    <t>Re-visiting Female Evil</t>
  </si>
  <si>
    <t>Melissa Dearey, Susana Nicolás, Roger Davis</t>
  </si>
  <si>
    <t>The Digital Banal</t>
  </si>
  <si>
    <t>Zara Dinnen</t>
  </si>
  <si>
    <t>Stieg Larsson's Millennium Trilogy</t>
  </si>
  <si>
    <t>S. Peacock</t>
  </si>
  <si>
    <t>Spinegrinder</t>
  </si>
  <si>
    <t>Clive Davies</t>
  </si>
  <si>
    <t>Roger Ebert's Movie Yearbook 2013</t>
  </si>
  <si>
    <t>Thinking about Movies</t>
  </si>
  <si>
    <t>Peter Lehman, William Luhr</t>
  </si>
  <si>
    <t>Mary of Magdala</t>
  </si>
  <si>
    <t>Mary R. Thompson</t>
  </si>
  <si>
    <t>A Study Guide for "The DaVinci Code"</t>
  </si>
  <si>
    <t>The Da Vinci Notebooks</t>
  </si>
  <si>
    <t>Emma Dickens</t>
  </si>
  <si>
    <t>Secrets of the Widow's Son</t>
  </si>
  <si>
    <t>David A. Shugarts</t>
  </si>
  <si>
    <t>El Codigo Da Vinci</t>
  </si>
  <si>
    <t>Josh McDowell</t>
  </si>
  <si>
    <t>Editorial Mundo Hispano</t>
  </si>
  <si>
    <t>The God Tube</t>
  </si>
  <si>
    <t>James M. Lawler</t>
  </si>
  <si>
    <t>La Decepcion de Da Vinci</t>
  </si>
  <si>
    <t>Erwin W. Lutzer, Tyndale House Publishers</t>
  </si>
  <si>
    <t>Editorial Portavoz</t>
  </si>
  <si>
    <t>Decoding The Lost Symbol</t>
  </si>
  <si>
    <t>Simon Cox</t>
  </si>
  <si>
    <t>Wordcrime</t>
  </si>
  <si>
    <t>John Olsson</t>
  </si>
  <si>
    <t>Leonardo da Vinci Level 2 Oxford Bookworms Library</t>
  </si>
  <si>
    <t>Alex Raynham</t>
  </si>
  <si>
    <t>The Da Vinci Hoax</t>
  </si>
  <si>
    <t>Carl E. Olson, Sandra Miesel</t>
  </si>
  <si>
    <t>The Jesus Presidents</t>
  </si>
  <si>
    <t>L. E. Cooper</t>
  </si>
  <si>
    <t>Expressive Techniques</t>
  </si>
  <si>
    <t>AA.VV.</t>
  </si>
  <si>
    <t>EDUCatt - Ente per il diritto allo studio universitario dell'Università Cattolica</t>
  </si>
  <si>
    <t>Literature Suppressed on Religious Grounds, Fourth Edition</t>
  </si>
  <si>
    <t>Margaret Bald</t>
  </si>
  <si>
    <t>Infobase Holdings, Inc</t>
  </si>
  <si>
    <t>The Holy Grail on Film</t>
  </si>
  <si>
    <t>Kevin J. Harty</t>
  </si>
  <si>
    <t>Jesus of Nazareth</t>
  </si>
  <si>
    <t>Maurice Casey</t>
  </si>
  <si>
    <t>Hard-Core Romance</t>
  </si>
  <si>
    <t>Eva Illouz</t>
  </si>
  <si>
    <t>Πενήντα αποχρώσεις του γκρι</t>
  </si>
  <si>
    <t>Ε. Λ. Τζέιμς</t>
  </si>
  <si>
    <t>Patakis Publishers</t>
  </si>
  <si>
    <t>el</t>
  </si>
  <si>
    <t>Πενήντα αποχρώσεις του Γκρι - Απελευθέρωση</t>
  </si>
  <si>
    <t>The Secret Life of EL James</t>
  </si>
  <si>
    <t>Marc Shapiro</t>
  </si>
  <si>
    <t>Ecopiety</t>
  </si>
  <si>
    <t>Sarah McFarland Taylor</t>
  </si>
  <si>
    <t>Feminist Theory and Pop Culture</t>
  </si>
  <si>
    <t>Adrienne Trier-Bieniek</t>
  </si>
  <si>
    <t>Artificial Intelligence: Concepts, Methodologies, Tools, and Applications</t>
  </si>
  <si>
    <t>Love, Inc.</t>
  </si>
  <si>
    <t>Laurie Essig</t>
  </si>
  <si>
    <t>University of California Press</t>
  </si>
  <si>
    <t>Intimate Relationships in Cinema, Literature and Visual Culture</t>
  </si>
  <si>
    <t>Gilad Padva, Nurit Buchweitz</t>
  </si>
  <si>
    <t>Consensual Violence</t>
  </si>
  <si>
    <t>Jill D. Weinberg</t>
  </si>
  <si>
    <t>Playing Fans</t>
  </si>
  <si>
    <t>Paul Booth</t>
  </si>
  <si>
    <t>Many Splendored Things</t>
  </si>
  <si>
    <t>Susanna Paasonen</t>
  </si>
  <si>
    <t>Reading the Fantastic Imagination</t>
  </si>
  <si>
    <t>Dana Percec</t>
  </si>
  <si>
    <t>Data Modeling for MongoDB</t>
  </si>
  <si>
    <t>Steve Hoberman</t>
  </si>
  <si>
    <t>Technics Publications</t>
  </si>
  <si>
    <t>Advertising and Violence</t>
  </si>
  <si>
    <t>Nora J. Rifon, Marla B. Royne, Les Carlson</t>
  </si>
  <si>
    <t>M.E. Sharpe</t>
  </si>
  <si>
    <t>Inside Grey’s Anatomy: The Unauthorized Biography of Jamie Dornan</t>
  </si>
  <si>
    <t>Teaching Gender and Sex in Contemporary America</t>
  </si>
  <si>
    <t>Kristin Haltinner, Ryanne Pilgeram</t>
  </si>
  <si>
    <t>Buffy to Batgirl</t>
  </si>
  <si>
    <t>Julie M. Still, Zara T. Wilkinson</t>
  </si>
  <si>
    <t>Fic</t>
  </si>
  <si>
    <t>Anne Jamison</t>
  </si>
  <si>
    <t>The Real Steele: The Unauthorized Biography of Dakota Johnson</t>
  </si>
  <si>
    <t>Under the Cover</t>
  </si>
  <si>
    <t>Clayton Childress</t>
  </si>
  <si>
    <t>Who Am I?</t>
  </si>
  <si>
    <t>Miguel Angel Gonzalez-Torres</t>
  </si>
  <si>
    <t>Karnac Books</t>
  </si>
  <si>
    <t>Young Adult Sexuality in the Digital Age</t>
  </si>
  <si>
    <t>Kalish, Rachel</t>
  </si>
  <si>
    <t>Examining Paratextual Theory and its Applications in Digital Culture</t>
  </si>
  <si>
    <t>Desrochers, Nadine</t>
  </si>
  <si>
    <t>Rethinking Gender in Popular Culture in the 21st Century</t>
  </si>
  <si>
    <t>Astrid M. Fellner, Marta Fernández-Morales, Martina Martausová</t>
  </si>
  <si>
    <t>Relations 2.1 - June 2014</t>
  </si>
  <si>
    <t>Rod Bennison, Alma Massaro, Jessica Ullrich</t>
  </si>
  <si>
    <t>LED Edizioni Universitarie</t>
  </si>
  <si>
    <t>Stephenie Meyer</t>
  </si>
  <si>
    <t>James Blasingame, Jr., Kathleen Deakin, Laura A. Walsh</t>
  </si>
  <si>
    <t>James Blasingame, Kathleen Deakin, Laura A. Walsh</t>
  </si>
  <si>
    <t>Love Bites</t>
  </si>
  <si>
    <t>Liv Spencer</t>
  </si>
  <si>
    <t>ECW Press</t>
  </si>
  <si>
    <t>Katherine Krohn</t>
  </si>
  <si>
    <t>1709</t>
  </si>
  <si>
    <t>Darryl Dee</t>
  </si>
  <si>
    <t>Bella Should Have Dumped Edward</t>
  </si>
  <si>
    <t>Michelle Pan</t>
  </si>
  <si>
    <t>Ulysses Press</t>
  </si>
  <si>
    <t>Bird On Fire</t>
  </si>
  <si>
    <t>Jane Wells</t>
  </si>
  <si>
    <t>Read the Spirit</t>
  </si>
  <si>
    <t>Jennifer Lawrence</t>
  </si>
  <si>
    <t>Lerner Publications</t>
  </si>
  <si>
    <t>Beyond District 12</t>
  </si>
  <si>
    <t>Mick O'Shea</t>
  </si>
  <si>
    <t>The Panem Companion</t>
  </si>
  <si>
    <t>V. Arrow</t>
  </si>
  <si>
    <t>Josh Hutcherson</t>
  </si>
  <si>
    <t>Jody Jensen Shaffer</t>
  </si>
  <si>
    <t>A Place Called District 12</t>
  </si>
  <si>
    <t>Thomas W. Paradis</t>
  </si>
  <si>
    <t>The Politics of Panem</t>
  </si>
  <si>
    <t>Sean P. Connors</t>
  </si>
  <si>
    <t>The Fantastic Made Visible</t>
  </si>
  <si>
    <t>Matthew Wilhelm Kapell, Ace G. Pilkington</t>
  </si>
  <si>
    <t>Shailene Woodley</t>
  </si>
  <si>
    <t>Heather E. Schwartz</t>
  </si>
  <si>
    <t>Lerner Publications ™</t>
  </si>
  <si>
    <t>Analysis of Divergence</t>
  </si>
  <si>
    <t>William Bray, Caslav Stanojevic</t>
  </si>
  <si>
    <t>The Cloud People</t>
  </si>
  <si>
    <t>Kent V. Flannery, Joyce Marcus</t>
  </si>
  <si>
    <t>Eliot Werner Publications/Percheron Press</t>
  </si>
  <si>
    <t>Divergence with Genetic Exchange</t>
  </si>
  <si>
    <t>Michael Lynn Arnold</t>
  </si>
  <si>
    <t>Encyclopedia of Creativity: A-H</t>
  </si>
  <si>
    <t>Mark A. Runco, Steven R. Pritzker</t>
  </si>
  <si>
    <t>Data-Guided Healthcare Decision Making</t>
  </si>
  <si>
    <t>Ramalingam Shanmugam</t>
  </si>
  <si>
    <t>Marketing Management</t>
  </si>
  <si>
    <t>Fred Selnes, Even J. Lanseng</t>
  </si>
  <si>
    <t>Informal Logic</t>
  </si>
  <si>
    <t>Wayne Grennan</t>
  </si>
  <si>
    <t>McGill-Queen's Press - MQUP</t>
  </si>
  <si>
    <t>Hausdorff on Ordered Sets</t>
  </si>
  <si>
    <t>Felix Hausdorff</t>
  </si>
  <si>
    <t>Elements of Real Analysis</t>
  </si>
  <si>
    <t>M.D.Raisinghania</t>
  </si>
  <si>
    <t>From Special Relativity to Feynman Diagrams</t>
  </si>
  <si>
    <t>Riccardo D'Auria, Mario Trigiante</t>
  </si>
  <si>
    <t>Strabisme</t>
  </si>
  <si>
    <t>Nicolas Gravier, Herbert Kaufmann, Heimo Steffen</t>
  </si>
  <si>
    <t>Handbook of Organizational Creativity</t>
  </si>
  <si>
    <t>Michael D. Mumford</t>
  </si>
  <si>
    <t>Academic Press</t>
  </si>
  <si>
    <t>Multilingualism and Creativity</t>
  </si>
  <si>
    <t>Anatoliy V. Kharkhurin</t>
  </si>
  <si>
    <t>Contemporary Perspectives on Research in Creativity in Early Childhood Education</t>
  </si>
  <si>
    <t>Olivia Saracho</t>
  </si>
  <si>
    <t>A Textbook on Engineering Mathematics -1(MDU,Krukshetra)</t>
  </si>
  <si>
    <t>H K Dass</t>
  </si>
  <si>
    <t>Revisiting Narnia</t>
  </si>
  <si>
    <t>Shanna Caughey</t>
  </si>
  <si>
    <t>Into the Wardrobe</t>
  </si>
  <si>
    <t>David C. Downing</t>
  </si>
  <si>
    <t>Through the Wardrobe</t>
  </si>
  <si>
    <t>Herbie Brennan</t>
  </si>
  <si>
    <t>C.S. Lewis &amp; Narnia For Dummies</t>
  </si>
  <si>
    <t>Richard Wagner</t>
  </si>
  <si>
    <t>Inside Narnia</t>
  </si>
  <si>
    <t>What I Learned in Narnia</t>
  </si>
  <si>
    <t>Douglas Wilson</t>
  </si>
  <si>
    <t>Canon Press &amp;amp; Book Service</t>
  </si>
  <si>
    <t>Narnia</t>
  </si>
  <si>
    <t>Paul A. Karkainen</t>
  </si>
  <si>
    <t>The Lion, the Witch, and the Wardrobe</t>
  </si>
  <si>
    <t>Wyatt North Publishing, LLC</t>
  </si>
  <si>
    <t>Finding Purpose in Narnia</t>
  </si>
  <si>
    <t>Gina Burkart</t>
  </si>
  <si>
    <t>The Lion's World</t>
  </si>
  <si>
    <t>Rowan Williams</t>
  </si>
  <si>
    <t>Michael Coren</t>
  </si>
  <si>
    <t>Elaine Murray Stone</t>
  </si>
  <si>
    <t>Chronicles of Wonder</t>
  </si>
  <si>
    <t>Leah Boden</t>
  </si>
  <si>
    <t>Alice's Adventures in Wonderland - Second Edition</t>
  </si>
  <si>
    <t>Alice's Adventures in Wonderland (Hardcover)</t>
  </si>
  <si>
    <t>Applesauce Press</t>
  </si>
  <si>
    <t>Alice's Adventures in Wonderland (World Classics, Unabridged)</t>
  </si>
  <si>
    <t>Vij Books India Pvt Ltd</t>
  </si>
  <si>
    <t>A Savage Moon</t>
  </si>
  <si>
    <t>Theodore Brun</t>
  </si>
  <si>
    <t>Atlantic Books</t>
  </si>
  <si>
    <t>A Clash of Kings</t>
  </si>
  <si>
    <t>George RR Martin</t>
  </si>
  <si>
    <t>Dream-songs 1 - Una retrospectiva</t>
  </si>
  <si>
    <t>George R.R Martin</t>
  </si>
  <si>
    <t>Isdraken</t>
  </si>
  <si>
    <t>Natur &amp; Kultur</t>
  </si>
  <si>
    <t>Festín de cuervos (Canción de Hielo y Fuego 4)</t>
  </si>
  <si>
    <t>PLAZA &amp; JANÉS</t>
  </si>
  <si>
    <t>Ruas Estranhas</t>
  </si>
  <si>
    <t>Conn Iggulden, Charlaine Harris, Diana Gabaldon, Patricia Briggs, S.M Stirling</t>
  </si>
  <si>
    <t>검의 폭풍</t>
  </si>
  <si>
    <t>조지 R. R. 마틴 (George R. R. Martin), 이수현 역</t>
  </si>
  <si>
    <t>은행나무</t>
  </si>
  <si>
    <t>ko</t>
  </si>
  <si>
    <t>The Psychology of Money</t>
  </si>
  <si>
    <t>Morgan Housel</t>
  </si>
  <si>
    <t>Personal Finance</t>
  </si>
  <si>
    <t>Harriman House</t>
  </si>
  <si>
    <t>Rich Dad Poor Dad</t>
  </si>
  <si>
    <t>Robert Kiyosaki</t>
  </si>
  <si>
    <t>Warner Books</t>
  </si>
  <si>
    <t>Your Money or Your Life</t>
  </si>
  <si>
    <t>Vicki Robin, Joe Dominguez</t>
  </si>
  <si>
    <t>Penguin Books</t>
  </si>
  <si>
    <t>I Will Teach You to Be Rich</t>
  </si>
  <si>
    <t>Ramit Sethi</t>
  </si>
  <si>
    <t>Workman Publishing</t>
  </si>
  <si>
    <t>The Millionaire Next Door</t>
  </si>
  <si>
    <t>Thomas J. Stanley, William D. Danko</t>
  </si>
  <si>
    <t>Taylor Trade Publishing</t>
  </si>
  <si>
    <t>The Total Money Makeover</t>
  </si>
  <si>
    <t>Dave Ramsey</t>
  </si>
  <si>
    <t>Thomas Nelson</t>
  </si>
  <si>
    <t>Think and Grow Rich</t>
  </si>
  <si>
    <t>Napoleon Hill</t>
  </si>
  <si>
    <t>The Ralston Society</t>
  </si>
  <si>
    <t>The Intelligent Investor</t>
  </si>
  <si>
    <t>Benjamin Graham</t>
  </si>
  <si>
    <t>Investing</t>
  </si>
  <si>
    <t>Harper &amp; Brothers</t>
  </si>
  <si>
    <t>Atomic Habits</t>
  </si>
  <si>
    <t>James Clear</t>
  </si>
  <si>
    <t>Avery</t>
  </si>
  <si>
    <t>The Richest Man in Babylon</t>
  </si>
  <si>
    <t>George S. Clason</t>
  </si>
  <si>
    <t>A Random Walk Down Wall Street</t>
  </si>
  <si>
    <t>Burton G. Malkiel</t>
  </si>
  <si>
    <t>W.W. Norton &amp; Company</t>
  </si>
  <si>
    <t>You Are a Badass at Making Money</t>
  </si>
  <si>
    <t>Jen Sincero</t>
  </si>
  <si>
    <t>Viking</t>
  </si>
  <si>
    <t>The Simple Path to Wealth</t>
  </si>
  <si>
    <t>JL Collins</t>
  </si>
  <si>
    <t>CreateSpace</t>
  </si>
  <si>
    <t>Get Good with Money</t>
  </si>
  <si>
    <t>Tiffany Aliche</t>
  </si>
  <si>
    <t>Rodale Books</t>
  </si>
  <si>
    <t>The 7 Habits of Highly Effective People</t>
  </si>
  <si>
    <t>Stephen R. Covey</t>
  </si>
  <si>
    <t>Free Press</t>
  </si>
  <si>
    <t>The Millionaire Fastlane</t>
  </si>
  <si>
    <t>MJ DeMarco</t>
  </si>
  <si>
    <t>Viperion Publishing</t>
  </si>
  <si>
    <t>Broke Millennial</t>
  </si>
  <si>
    <t>Erin Lowry</t>
  </si>
  <si>
    <t>TarcherPerigee</t>
  </si>
  <si>
    <t>The Barefoot Investor</t>
  </si>
  <si>
    <t>Scott Pape</t>
  </si>
  <si>
    <t>Wiley</t>
  </si>
  <si>
    <t>The Energy of Money</t>
  </si>
  <si>
    <t>Maria Nemeth</t>
  </si>
  <si>
    <t>Wellspring/Ballantine</t>
  </si>
  <si>
    <t>Fooled by Randomness</t>
  </si>
  <si>
    <t>Nassim Nicholas Taleb</t>
  </si>
  <si>
    <t>Finance for the People</t>
  </si>
  <si>
    <t>Paco de Leon</t>
  </si>
  <si>
    <t>The Power of Zero</t>
  </si>
  <si>
    <t>David McKnight</t>
  </si>
  <si>
    <t>Currency</t>
  </si>
  <si>
    <t>Rich AF</t>
  </si>
  <si>
    <t>Vivian Tu</t>
  </si>
  <si>
    <t>Portfolio</t>
  </si>
  <si>
    <t>Financially Lit!</t>
  </si>
  <si>
    <t>Jannese Torres</t>
  </si>
  <si>
    <t>Grand Central Publishing</t>
  </si>
  <si>
    <t>The Bogleheads’ Guide to Investing</t>
  </si>
  <si>
    <t>Taylor Larimore, Mel Lindauer, Michael LeBoeuf</t>
  </si>
  <si>
    <t>The One-Page Financial Plan</t>
  </si>
  <si>
    <t>Carl Richards</t>
  </si>
  <si>
    <t>The Millionaire Real Estate Investor</t>
  </si>
  <si>
    <t>Gary Keller, Dave Jenks, Jay Papasan</t>
  </si>
  <si>
    <t>McGraw-Hill Education</t>
  </si>
  <si>
    <t>Let’s Talk Money</t>
  </si>
  <si>
    <t>Monika Halan</t>
  </si>
  <si>
    <t>Harper Business</t>
  </si>
  <si>
    <t>Money Master the Game</t>
  </si>
  <si>
    <t>Tony Robbins</t>
  </si>
  <si>
    <t>Simon &amp; Schuster</t>
  </si>
  <si>
    <t>The Automatic Millionaire</t>
  </si>
  <si>
    <t>David Bach</t>
  </si>
  <si>
    <t>Broadway Books</t>
  </si>
  <si>
    <t>The Little Book of Common Sense Investing</t>
  </si>
  <si>
    <t>John C. Bogle</t>
  </si>
  <si>
    <t>Mindset: The New Psychology of Success</t>
  </si>
  <si>
    <t>Carol S. Dweck</t>
  </si>
  <si>
    <t>The Financial Diet</t>
  </si>
  <si>
    <t>Chelsea Fagan, Lauren Ver Hage</t>
  </si>
  <si>
    <t>Holt Paperbacks</t>
  </si>
  <si>
    <t>The Wealthy Barber</t>
  </si>
  <si>
    <t>David Chilton</t>
  </si>
  <si>
    <t>Stoddart Publishing</t>
  </si>
  <si>
    <t>The Science of Getting Rich</t>
  </si>
  <si>
    <t>Wallace D. Wattles</t>
  </si>
  <si>
    <t>Elizabeth Towne</t>
  </si>
  <si>
    <t>The Money Book for the Young, Fabulous &amp; Broke</t>
  </si>
  <si>
    <t>Suze Orman</t>
  </si>
  <si>
    <t>Riverhead Books</t>
  </si>
  <si>
    <t>The Compound Effect</t>
  </si>
  <si>
    <t>Darren Hardy</t>
  </si>
  <si>
    <t>Vanguard Press</t>
  </si>
  <si>
    <t>The 4-Hour Workweek</t>
  </si>
  <si>
    <t>Timothy Ferriss</t>
  </si>
  <si>
    <t>Crown Publishing</t>
  </si>
  <si>
    <t>Smart Women Finish Rich</t>
  </si>
  <si>
    <t>The Millionaire Mind</t>
  </si>
  <si>
    <t>Thomas J. Stanley</t>
  </si>
  <si>
    <t>The Wealth Choice</t>
  </si>
  <si>
    <t>Dennis Kimbro</t>
  </si>
  <si>
    <t>Palgrave Macmillan</t>
  </si>
  <si>
    <t>The Behavior Gap</t>
  </si>
  <si>
    <t>The Million Dollar Club</t>
  </si>
  <si>
    <t>Kimberly Seals-Allers</t>
  </si>
  <si>
    <t>Amistad</t>
  </si>
  <si>
    <t>The Art of Money</t>
  </si>
  <si>
    <t>Bari Tessler</t>
  </si>
  <si>
    <t>Parallax Press</t>
  </si>
  <si>
    <t>The Index Card</t>
  </si>
  <si>
    <t>Helaine Olen, Harold Pollack</t>
  </si>
  <si>
    <t>The Road to Wealth</t>
  </si>
  <si>
    <t>The Success Principles</t>
  </si>
  <si>
    <t>Jack Canfield</t>
  </si>
  <si>
    <t>HarperCollins</t>
  </si>
  <si>
    <t>The Courage to Be Rich</t>
  </si>
  <si>
    <t>The Money Manual</t>
  </si>
  <si>
    <t>Tonya Rapley</t>
  </si>
  <si>
    <t>TITLE</t>
  </si>
  <si>
    <t>AUTHOR</t>
  </si>
  <si>
    <t>PAGES</t>
  </si>
  <si>
    <t>GENRE</t>
  </si>
  <si>
    <t>PUBLISHED DATE</t>
  </si>
  <si>
    <t>PUBLISHER</t>
  </si>
  <si>
    <t>LANGUAGE</t>
  </si>
  <si>
    <t>AVERAGE RATING</t>
  </si>
  <si>
    <t>RATINGS COUNT</t>
  </si>
  <si>
    <t>YEAR</t>
  </si>
  <si>
    <t>01-01-1996</t>
  </si>
  <si>
    <t>01-09-2010</t>
  </si>
  <si>
    <t>01-01-2004</t>
  </si>
  <si>
    <t>01-01-2007</t>
  </si>
  <si>
    <t>01-01-1985</t>
  </si>
  <si>
    <t>30-03-2017</t>
  </si>
  <si>
    <t>01-01-1990</t>
  </si>
  <si>
    <t>01-12-2008</t>
  </si>
  <si>
    <t>01-01-1902</t>
  </si>
  <si>
    <t>03-05-2002</t>
  </si>
  <si>
    <t>03-07-2018</t>
  </si>
  <si>
    <t>08-04-2014</t>
  </si>
  <si>
    <t>01-01-2017</t>
  </si>
  <si>
    <t>20-04-2012</t>
  </si>
  <si>
    <t>01-01-2003</t>
  </si>
  <si>
    <t>01-01-1988</t>
  </si>
  <si>
    <t>01-01-1971</t>
  </si>
  <si>
    <t>01-01-1907</t>
  </si>
  <si>
    <t>13-12-2017</t>
  </si>
  <si>
    <t>01-01-1911</t>
  </si>
  <si>
    <t>01-01-1992</t>
  </si>
  <si>
    <t>01-09-2007</t>
  </si>
  <si>
    <t>01-01-1993</t>
  </si>
  <si>
    <t>01-09-2000</t>
  </si>
  <si>
    <t>01-12-2009</t>
  </si>
  <si>
    <t>01-01-1999</t>
  </si>
  <si>
    <t>28-06-2021</t>
  </si>
  <si>
    <t>01-02-2012</t>
  </si>
  <si>
    <t>01-01-2022</t>
  </si>
  <si>
    <t>23-08-2021</t>
  </si>
  <si>
    <t>02-06-2022</t>
  </si>
  <si>
    <t>02-09-2015</t>
  </si>
  <si>
    <t>11-08-2022</t>
  </si>
  <si>
    <t>16-10-2015</t>
  </si>
  <si>
    <t>28-08-2024</t>
  </si>
  <si>
    <t>23-09-2020</t>
  </si>
  <si>
    <t>26-12-2016</t>
  </si>
  <si>
    <t>01-01-1888</t>
  </si>
  <si>
    <t>01-01-1910</t>
  </si>
  <si>
    <t>17-11-2019</t>
  </si>
  <si>
    <t>01-01-1900</t>
  </si>
  <si>
    <t>15-11-2017</t>
  </si>
  <si>
    <t>04-01-2007</t>
  </si>
  <si>
    <t>07-08-2017</t>
  </si>
  <si>
    <t>22-07-2020</t>
  </si>
  <si>
    <t>05-04-2012</t>
  </si>
  <si>
    <t>01-01-2005</t>
  </si>
  <si>
    <t>04-02-2016</t>
  </si>
  <si>
    <t>01-01-2000</t>
  </si>
  <si>
    <t>08-11-2017</t>
  </si>
  <si>
    <t>28-11-2018</t>
  </si>
  <si>
    <t>14-01-2020</t>
  </si>
  <si>
    <t>27-12-2017</t>
  </si>
  <si>
    <t>05-05-2017</t>
  </si>
  <si>
    <t>20-10-2022</t>
  </si>
  <si>
    <t>23-06-2006</t>
  </si>
  <si>
    <t>19-03-2018</t>
  </si>
  <si>
    <t>05-06-2024</t>
  </si>
  <si>
    <t>21-10-2005</t>
  </si>
  <si>
    <t>01-01-1887</t>
  </si>
  <si>
    <t>23-08-2023</t>
  </si>
  <si>
    <t>16-12-2019</t>
  </si>
  <si>
    <t>14-07-2014</t>
  </si>
  <si>
    <t>01-01-2002</t>
  </si>
  <si>
    <t>01-08-2022</t>
  </si>
  <si>
    <t>08-03-2010</t>
  </si>
  <si>
    <t>01-06-2022</t>
  </si>
  <si>
    <t>01-08-2008</t>
  </si>
  <si>
    <t>28-12-2022</t>
  </si>
  <si>
    <t>01-01-2018</t>
  </si>
  <si>
    <t>20-07-2014</t>
  </si>
  <si>
    <t>01-01-2011</t>
  </si>
  <si>
    <t>06-03-2006</t>
  </si>
  <si>
    <t>17-12-2013</t>
  </si>
  <si>
    <t>11-12-2018</t>
  </si>
  <si>
    <t>20-11-2019</t>
  </si>
  <si>
    <t>16-04-2019</t>
  </si>
  <si>
    <t>01-03-2009</t>
  </si>
  <si>
    <t>02-10-2018</t>
  </si>
  <si>
    <t>06-11-2019</t>
  </si>
  <si>
    <t>26-02-2018</t>
  </si>
  <si>
    <t>09-12-2005</t>
  </si>
  <si>
    <t>01-01-1994</t>
  </si>
  <si>
    <t>06-08-2013</t>
  </si>
  <si>
    <t>27-06-2023</t>
  </si>
  <si>
    <t>03-11-2023</t>
  </si>
  <si>
    <t>22-01-2021</t>
  </si>
  <si>
    <t>01-04-2012</t>
  </si>
  <si>
    <t>30-09-2021</t>
  </si>
  <si>
    <t>27-08-2015</t>
  </si>
  <si>
    <t>07-12-2010</t>
  </si>
  <si>
    <t>01-01-2008</t>
  </si>
  <si>
    <t>28-07-2023</t>
  </si>
  <si>
    <t>05-01-2007</t>
  </si>
  <si>
    <t>29-04-2010</t>
  </si>
  <si>
    <t>05-03-2010</t>
  </si>
  <si>
    <t>01-01-2009</t>
  </si>
  <si>
    <t>01-05-2003</t>
  </si>
  <si>
    <t>21-11-1994</t>
  </si>
  <si>
    <t>17-02-2016</t>
  </si>
  <si>
    <t>01-01-2001</t>
  </si>
  <si>
    <t>14-07-2023</t>
  </si>
  <si>
    <t>01-01-2006</t>
  </si>
  <si>
    <t>01-01-2021</t>
  </si>
  <si>
    <t>01-02-2014</t>
  </si>
  <si>
    <t>15-11-2015</t>
  </si>
  <si>
    <t>29-11-2010</t>
  </si>
  <si>
    <t>11-06-2018</t>
  </si>
  <si>
    <t>09-06-2018</t>
  </si>
  <si>
    <t>24-10-2023</t>
  </si>
  <si>
    <t>30-12-2024</t>
  </si>
  <si>
    <t>04-04-2023</t>
  </si>
  <si>
    <t>28-06-2006</t>
  </si>
  <si>
    <t>23-09-2016</t>
  </si>
  <si>
    <t>25-08-2020</t>
  </si>
  <si>
    <t>18-08-2010</t>
  </si>
  <si>
    <t>28-11-2011</t>
  </si>
  <si>
    <t>29-01-2016</t>
  </si>
  <si>
    <t>24-07-2013</t>
  </si>
  <si>
    <t>11-09-2009</t>
  </si>
  <si>
    <t>23-03-2007</t>
  </si>
  <si>
    <t>18-12-2018</t>
  </si>
  <si>
    <t>24-10-2013</t>
  </si>
  <si>
    <t>11-08-2015</t>
  </si>
  <si>
    <t>30-07-2008</t>
  </si>
  <si>
    <t>20-08-2024</t>
  </si>
  <si>
    <t>01-01-2013</t>
  </si>
  <si>
    <t>15-10-2024</t>
  </si>
  <si>
    <t>26-01-2012</t>
  </si>
  <si>
    <t>12-06-2023</t>
  </si>
  <si>
    <t>11-05-2020</t>
  </si>
  <si>
    <t>03-06-2016</t>
  </si>
  <si>
    <t>13-08-2024</t>
  </si>
  <si>
    <t>19-02-2025</t>
  </si>
  <si>
    <t>14-03-2025</t>
  </si>
  <si>
    <t>07-09-2023</t>
  </si>
  <si>
    <t>10-03-2025</t>
  </si>
  <si>
    <t>30-04-2008</t>
  </si>
  <si>
    <t>01-01-1972</t>
  </si>
  <si>
    <t>01-09-2009</t>
  </si>
  <si>
    <t>29-04-2015</t>
  </si>
  <si>
    <t>28-11-2006</t>
  </si>
  <si>
    <t>29-08-2023</t>
  </si>
  <si>
    <t>24-10-2019</t>
  </si>
  <si>
    <t>07-04-2025</t>
  </si>
  <si>
    <t>18-09-2015</t>
  </si>
  <si>
    <t>30-06-2025</t>
  </si>
  <si>
    <t>17-10-2018</t>
  </si>
  <si>
    <t>09-01-2024</t>
  </si>
  <si>
    <t>02-05-2023</t>
  </si>
  <si>
    <t>28-10-2013</t>
  </si>
  <si>
    <t>28-02-2025</t>
  </si>
  <si>
    <t>29-02-2024</t>
  </si>
  <si>
    <t>28-04-2015</t>
  </si>
  <si>
    <t>All India Radio (AIR), New Delhi</t>
  </si>
  <si>
    <t>10-12-1967</t>
  </si>
  <si>
    <t>01-01-1983</t>
  </si>
  <si>
    <t>14-10-2008</t>
  </si>
  <si>
    <t>25-04-2012</t>
  </si>
  <si>
    <t>13-08-2012</t>
  </si>
  <si>
    <t>03-09-2024</t>
  </si>
  <si>
    <t>13-08-2017</t>
  </si>
  <si>
    <t>12-09-2023</t>
  </si>
  <si>
    <t>29-04-2016</t>
  </si>
  <si>
    <t>01-07-2016</t>
  </si>
  <si>
    <t>13-05-2024</t>
  </si>
  <si>
    <t>06-01-2017</t>
  </si>
  <si>
    <t>04-01-2017</t>
  </si>
  <si>
    <t>07-05-2008</t>
  </si>
  <si>
    <t>01-11-2002</t>
  </si>
  <si>
    <t>01-10-2018</t>
  </si>
  <si>
    <t>22-10-2010</t>
  </si>
  <si>
    <t>05-08-2016</t>
  </si>
  <si>
    <t>01-10-2010</t>
  </si>
  <si>
    <t>31-10-2017</t>
  </si>
  <si>
    <t>01-01-2014</t>
  </si>
  <si>
    <t>29-04-1983</t>
  </si>
  <si>
    <t>15-12-2012</t>
  </si>
  <si>
    <t>31-05-2023</t>
  </si>
  <si>
    <t>18-09-2024</t>
  </si>
  <si>
    <t>01-03-2002</t>
  </si>
  <si>
    <t>05-07-2011</t>
  </si>
  <si>
    <t>28-05-2008</t>
  </si>
  <si>
    <t>01-01-1987</t>
  </si>
  <si>
    <t>03-11-2022</t>
  </si>
  <si>
    <t>26-06-2008</t>
  </si>
  <si>
    <t>01-01-1978</t>
  </si>
  <si>
    <t>19-03-2024</t>
  </si>
  <si>
    <t>29-06-2013</t>
  </si>
  <si>
    <t>28-10-2010</t>
  </si>
  <si>
    <t>24-04-2003</t>
  </si>
  <si>
    <t>22-03-2012</t>
  </si>
  <si>
    <t>07-01-2020</t>
  </si>
  <si>
    <t>10-07-2014</t>
  </si>
  <si>
    <t>01-01-1980</t>
  </si>
  <si>
    <t>23-12-2024</t>
  </si>
  <si>
    <t>03-04-2024</t>
  </si>
  <si>
    <t>05-11-2024</t>
  </si>
  <si>
    <t>15-11-2023</t>
  </si>
  <si>
    <t>15-04-2012</t>
  </si>
  <si>
    <t>05-10-2020</t>
  </si>
  <si>
    <t>06-04-2010</t>
  </si>
  <si>
    <t>31-12-2008</t>
  </si>
  <si>
    <t>29-03-2024</t>
  </si>
  <si>
    <t>31-10-1997</t>
  </si>
  <si>
    <t>03-04-2017</t>
  </si>
  <si>
    <t>09-11-2016</t>
  </si>
  <si>
    <t>01-01-1982</t>
  </si>
  <si>
    <t>28-06-2020</t>
  </si>
  <si>
    <t>31-07-2023</t>
  </si>
  <si>
    <t>01-01-1995</t>
  </si>
  <si>
    <t>01-09-2013</t>
  </si>
  <si>
    <t>29-05-2014</t>
  </si>
  <si>
    <t>08-02-2016</t>
  </si>
  <si>
    <t>01-05-2006</t>
  </si>
  <si>
    <t>01-05-2007</t>
  </si>
  <si>
    <t>01-11-2008</t>
  </si>
  <si>
    <t>01-01-1991</t>
  </si>
  <si>
    <t>09-11-2018</t>
  </si>
  <si>
    <t>01-06-2007</t>
  </si>
  <si>
    <t>30-08-2023</t>
  </si>
  <si>
    <t>30-10-2024</t>
  </si>
  <si>
    <t>15-10-2013</t>
  </si>
  <si>
    <t>28-07-2003</t>
  </si>
  <si>
    <t>01-04-2013</t>
  </si>
  <si>
    <t>01-12-2014</t>
  </si>
  <si>
    <t>04-12-2017</t>
  </si>
  <si>
    <t>01-01-1949</t>
  </si>
  <si>
    <t>04-10-2016</t>
  </si>
  <si>
    <t>16-04-2008</t>
  </si>
  <si>
    <t>20-02-2025</t>
  </si>
  <si>
    <t>01-01-1997</t>
  </si>
  <si>
    <t>06-02-2024</t>
  </si>
  <si>
    <t>13-09-2021</t>
  </si>
  <si>
    <t>01-01-2010</t>
  </si>
  <si>
    <t>19-07-2023</t>
  </si>
  <si>
    <t>20-12-2001</t>
  </si>
  <si>
    <t>01-01-1970</t>
  </si>
  <si>
    <t>22-03-2023</t>
  </si>
  <si>
    <t>31-12-2012</t>
  </si>
  <si>
    <t>16-09-2021</t>
  </si>
  <si>
    <t>09-05-2024</t>
  </si>
  <si>
    <t>01-01-1989</t>
  </si>
  <si>
    <t>04-06-2018</t>
  </si>
  <si>
    <t>01-02-2007</t>
  </si>
  <si>
    <t>07-11-1996</t>
  </si>
  <si>
    <t>14-09-2006</t>
  </si>
  <si>
    <t>27-12-2024</t>
  </si>
  <si>
    <t>01-01-2023</t>
  </si>
  <si>
    <t>02-07-2013</t>
  </si>
  <si>
    <t>01-04-2006</t>
  </si>
  <si>
    <t>01-01-1973</t>
  </si>
  <si>
    <t>11-10-2019</t>
  </si>
  <si>
    <t>12-04-2004</t>
  </si>
  <si>
    <t>05-01-2012</t>
  </si>
  <si>
    <t>14-03-2013</t>
  </si>
  <si>
    <t>24-06-2010</t>
  </si>
  <si>
    <t>30-09-2019</t>
  </si>
  <si>
    <t>01-01-2019</t>
  </si>
  <si>
    <t>05-07-2024</t>
  </si>
  <si>
    <t>14-06-2023</t>
  </si>
  <si>
    <t>12-03-2010</t>
  </si>
  <si>
    <t>04-03-2013</t>
  </si>
  <si>
    <t>23-10-2012</t>
  </si>
  <si>
    <t>30-06-1983</t>
  </si>
  <si>
    <t>01-01-2016</t>
  </si>
  <si>
    <t>25-07-2014</t>
  </si>
  <si>
    <t>12-02-2019</t>
  </si>
  <si>
    <t>30-04-2013</t>
  </si>
  <si>
    <t>01-01-2012</t>
  </si>
  <si>
    <t>30-12-1997</t>
  </si>
  <si>
    <t>06-05-2024</t>
  </si>
  <si>
    <t>06-09-2022</t>
  </si>
  <si>
    <t>24-04-2012</t>
  </si>
  <si>
    <t>24-03-2025</t>
  </si>
  <si>
    <t>07-11-2020</t>
  </si>
  <si>
    <t>19-12-2022</t>
  </si>
  <si>
    <t>21-10-2015</t>
  </si>
  <si>
    <t>31-07-2019</t>
  </si>
  <si>
    <t>30-03-2025</t>
  </si>
  <si>
    <t>29-08-2022</t>
  </si>
  <si>
    <t>19-05-2016</t>
  </si>
  <si>
    <t>10-04-2019</t>
  </si>
  <si>
    <t>25-01-2011</t>
  </si>
  <si>
    <t>21-05-2004</t>
  </si>
  <si>
    <t>18-07-2018</t>
  </si>
  <si>
    <t>12-11-2012</t>
  </si>
  <si>
    <t>01-09-2023</t>
  </si>
  <si>
    <t>07-05-2009</t>
  </si>
  <si>
    <t>11-09-2002</t>
  </si>
  <si>
    <t>15-01-2011</t>
  </si>
  <si>
    <t>01-08-2013</t>
  </si>
  <si>
    <t>11-04-2024</t>
  </si>
  <si>
    <t>Dr. Shauli Mukherjee, Dr. Prarthita Biswas, Mr. Pranay Pandey &amp; Mr. MAM Sameem</t>
  </si>
  <si>
    <t>16-03-2022</t>
  </si>
  <si>
    <t>15-10-2014</t>
  </si>
  <si>
    <t>21-04-2010</t>
  </si>
  <si>
    <t>05-09-2017</t>
  </si>
  <si>
    <t>18-12-2017</t>
  </si>
  <si>
    <t>31-01-2015</t>
  </si>
  <si>
    <t>05-08-2014</t>
  </si>
  <si>
    <t>28-02-2019</t>
  </si>
  <si>
    <t>17-08-2016</t>
  </si>
  <si>
    <t>18-10-2021</t>
  </si>
  <si>
    <t>01-01-1986</t>
  </si>
  <si>
    <t>01-06-2024</t>
  </si>
  <si>
    <t>15-02-2020</t>
  </si>
  <si>
    <t>08-04-2020</t>
  </si>
  <si>
    <t>05-06-2023</t>
  </si>
  <si>
    <t>17-05-2024</t>
  </si>
  <si>
    <t>12-08-2019</t>
  </si>
  <si>
    <t>01-06-2023</t>
  </si>
  <si>
    <t>22-03-2021</t>
  </si>
  <si>
    <t>23-05-2022</t>
  </si>
  <si>
    <t>19-12-2013</t>
  </si>
  <si>
    <t>05-06-2013</t>
  </si>
  <si>
    <t>11-09-2013</t>
  </si>
  <si>
    <t>13-07-2000</t>
  </si>
  <si>
    <t>27-02-1987</t>
  </si>
  <si>
    <t>26-07-2012</t>
  </si>
  <si>
    <t>01-01-1998</t>
  </si>
  <si>
    <t>Herry Nur Hidayat , Pramono, Eka Meigalia, Kundharu Saddhono, Khairil Anwar</t>
  </si>
  <si>
    <t>28-08-2019</t>
  </si>
  <si>
    <t>22-12-2023</t>
  </si>
  <si>
    <t>12-01-2010</t>
  </si>
  <si>
    <t>28-04-2004</t>
  </si>
  <si>
    <t>09-08-2018</t>
  </si>
  <si>
    <t>23-12-2003</t>
  </si>
  <si>
    <t>11-04-2023</t>
  </si>
  <si>
    <t>25-11-2023</t>
  </si>
  <si>
    <t>26-06-2017</t>
  </si>
  <si>
    <t>05-01-2015</t>
  </si>
  <si>
    <t>18-09-2006</t>
  </si>
  <si>
    <t>17-04-2018</t>
  </si>
  <si>
    <t>25-09-2023</t>
  </si>
  <si>
    <t>04-05-2024</t>
  </si>
  <si>
    <t>01-03-2004</t>
  </si>
  <si>
    <t>01-11-2021</t>
  </si>
  <si>
    <t>05-05-2010</t>
  </si>
  <si>
    <t>19-08-2024</t>
  </si>
  <si>
    <t>22-11-2019</t>
  </si>
  <si>
    <t>11-04-2020</t>
  </si>
  <si>
    <t>20-02-2024</t>
  </si>
  <si>
    <t>19-10-2023</t>
  </si>
  <si>
    <t>29-11-2024</t>
  </si>
  <si>
    <t>28-10-2024</t>
  </si>
  <si>
    <t>01-11-2007</t>
  </si>
  <si>
    <t>01-01-1926</t>
  </si>
  <si>
    <t>01-01-2015</t>
  </si>
  <si>
    <t>27-10-2010</t>
  </si>
  <si>
    <t>02-11-2017</t>
  </si>
  <si>
    <t>19-09-2012</t>
  </si>
  <si>
    <t>15-08-2012</t>
  </si>
  <si>
    <t>23-11-2005</t>
  </si>
  <si>
    <t>17-03-2016</t>
  </si>
  <si>
    <t>20-06-2006</t>
  </si>
  <si>
    <t>01-01-2020</t>
  </si>
  <si>
    <t>13-01-2014</t>
  </si>
  <si>
    <t>09-04-2024</t>
  </si>
  <si>
    <t>05-05-2014</t>
  </si>
  <si>
    <t>19-09-2014</t>
  </si>
  <si>
    <t>01-02-2017</t>
  </si>
  <si>
    <t>06-07-2009</t>
  </si>
  <si>
    <t>15-04-2008</t>
  </si>
  <si>
    <t>22-12-2005</t>
  </si>
  <si>
    <t>25-07-2005</t>
  </si>
  <si>
    <t>24-08-2007</t>
  </si>
  <si>
    <t>18-03-2025</t>
  </si>
  <si>
    <t>16-11-2012</t>
  </si>
  <si>
    <t>16-07-2015</t>
  </si>
  <si>
    <t>29-07-2022</t>
  </si>
  <si>
    <t>24-01-2023</t>
  </si>
  <si>
    <t>11-05-2023</t>
  </si>
  <si>
    <t>18-09-2018</t>
  </si>
  <si>
    <t>01-08-2021</t>
  </si>
  <si>
    <t>15-01-2015</t>
  </si>
  <si>
    <t>08-12-2015</t>
  </si>
  <si>
    <t>23-07-2018</t>
  </si>
  <si>
    <t>13-05-2016</t>
  </si>
  <si>
    <t>25-03-2024</t>
  </si>
  <si>
    <t>13-06-2020</t>
  </si>
  <si>
    <t>31-12-2024</t>
  </si>
  <si>
    <t>14-10-2022</t>
  </si>
  <si>
    <t>08-07-2005</t>
  </si>
  <si>
    <t>08-10-2013</t>
  </si>
  <si>
    <t>27-12-2012</t>
  </si>
  <si>
    <t>22-05-2014</t>
  </si>
  <si>
    <t>02-08-2024</t>
  </si>
  <si>
    <t>02-08-2017</t>
  </si>
  <si>
    <t>23-03-2011</t>
  </si>
  <si>
    <t>28-06-2023</t>
  </si>
  <si>
    <t>31-08-2022</t>
  </si>
  <si>
    <t>10-08-2021</t>
  </si>
  <si>
    <t>15-07-2021</t>
  </si>
  <si>
    <t>01-09-2016</t>
  </si>
  <si>
    <t>12-01-2017</t>
  </si>
  <si>
    <t>25-05-2018</t>
  </si>
  <si>
    <t>14-02-2013</t>
  </si>
  <si>
    <t>23-09-2007</t>
  </si>
  <si>
    <t>01-09-2012</t>
  </si>
  <si>
    <t>01-11-2012</t>
  </si>
  <si>
    <t>30-05-2018</t>
  </si>
  <si>
    <t>05-03-2014</t>
  </si>
  <si>
    <t>01-10-2003</t>
  </si>
  <si>
    <t>01-12-2006</t>
  </si>
  <si>
    <t>08-04-2016</t>
  </si>
  <si>
    <t>11-12-2011</t>
  </si>
  <si>
    <t>17-07-2009</t>
  </si>
  <si>
    <t>25-03-2022</t>
  </si>
  <si>
    <t>18-04-2023</t>
  </si>
  <si>
    <t>26-10-2012</t>
  </si>
  <si>
    <t>21-03-2017</t>
  </si>
  <si>
    <t>20-03-2023</t>
  </si>
  <si>
    <t>30-09-1992</t>
  </si>
  <si>
    <t>06-01-2023</t>
  </si>
  <si>
    <t>19-05-2010</t>
  </si>
  <si>
    <t>15-06-2008</t>
  </si>
  <si>
    <t>01-10-2008</t>
  </si>
  <si>
    <t>15-01-2008</t>
  </si>
  <si>
    <t>22-05-2007</t>
  </si>
  <si>
    <t>26-07-1995</t>
  </si>
  <si>
    <t>01-01-1894</t>
  </si>
  <si>
    <t>25-05-2000</t>
  </si>
  <si>
    <t>02-05-2008</t>
  </si>
  <si>
    <t>25-09-2024</t>
  </si>
  <si>
    <t>24-07-2023</t>
  </si>
  <si>
    <t>19-01-2024</t>
  </si>
  <si>
    <t>29-01-2020</t>
  </si>
  <si>
    <t>21-04-2006</t>
  </si>
  <si>
    <t>06-11-2006</t>
  </si>
  <si>
    <t>18-12-2012</t>
  </si>
  <si>
    <t>10-03-2010</t>
  </si>
  <si>
    <t>17-12-2019</t>
  </si>
  <si>
    <t>06-12-2012</t>
  </si>
  <si>
    <t>17-10-2014</t>
  </si>
  <si>
    <t>06-07-2010</t>
  </si>
  <si>
    <t>20-01-2020</t>
  </si>
  <si>
    <t>13-05-2013</t>
  </si>
  <si>
    <t>01-10-2012</t>
  </si>
  <si>
    <t>15-02-2010</t>
  </si>
  <si>
    <t>26-10-2010</t>
  </si>
  <si>
    <t>03-09-2009</t>
  </si>
  <si>
    <t>16-01-2014</t>
  </si>
  <si>
    <t>15-10-2023</t>
  </si>
  <si>
    <t>16-12-2013</t>
  </si>
  <si>
    <t>25-03-2013</t>
  </si>
  <si>
    <t>05-02-2015</t>
  </si>
  <si>
    <t>01-06-2016</t>
  </si>
  <si>
    <t>24-01-2017</t>
  </si>
  <si>
    <t>23-01-2018</t>
  </si>
  <si>
    <t>11-05-2021</t>
  </si>
  <si>
    <t>04-11-2014</t>
  </si>
  <si>
    <t>30-06-2020</t>
  </si>
  <si>
    <t>22-02-2024</t>
  </si>
  <si>
    <t>20-11-2013</t>
  </si>
  <si>
    <t>10-12-2023</t>
  </si>
  <si>
    <t>02-08-2018</t>
  </si>
  <si>
    <t>12-01-2022</t>
  </si>
  <si>
    <t>16-04-2012</t>
  </si>
  <si>
    <t>13-08-2010</t>
  </si>
  <si>
    <t>07-02-2012</t>
  </si>
  <si>
    <t>10-04-2007</t>
  </si>
  <si>
    <t>16-10-2012</t>
  </si>
  <si>
    <t>06-07-2017</t>
  </si>
  <si>
    <t>11-07-2015</t>
  </si>
  <si>
    <t>04-11-2023</t>
  </si>
  <si>
    <t>08-03-2021</t>
  </si>
  <si>
    <t>01-12-2007</t>
  </si>
  <si>
    <t>26-02-2024</t>
  </si>
  <si>
    <t>29-09-2020</t>
  </si>
  <si>
    <t>18-11-2019</t>
  </si>
  <si>
    <t>01-09-2008</t>
  </si>
  <si>
    <t>02-07-2024</t>
  </si>
  <si>
    <t>11-10-2022</t>
  </si>
  <si>
    <t>01-08-2016</t>
  </si>
  <si>
    <t>31-10-2023</t>
  </si>
  <si>
    <t>04-08-2020</t>
  </si>
  <si>
    <t>08-10-2024</t>
  </si>
  <si>
    <t>24-09-2024</t>
  </si>
  <si>
    <t>27-06-2022</t>
  </si>
  <si>
    <t>09-02-2018</t>
  </si>
  <si>
    <t>01-03-2006</t>
  </si>
  <si>
    <t>13-11-2013</t>
  </si>
  <si>
    <t>06-04-2020</t>
  </si>
  <si>
    <t>04-09-2017</t>
  </si>
  <si>
    <t>23-07-2021</t>
  </si>
  <si>
    <t>22-11-2023</t>
  </si>
  <si>
    <t>07-03-2005</t>
  </si>
  <si>
    <t>01-10-2015</t>
  </si>
  <si>
    <t>11-10-2012</t>
  </si>
  <si>
    <t>15-08-2023</t>
  </si>
  <si>
    <t>12-09-2010</t>
  </si>
  <si>
    <t>05-11-2019</t>
  </si>
  <si>
    <t>11-12-2019</t>
  </si>
  <si>
    <t>26-09-2012</t>
  </si>
  <si>
    <t>22-02-2017</t>
  </si>
  <si>
    <t>23-02-2012</t>
  </si>
  <si>
    <t>24-01-2015</t>
  </si>
  <si>
    <t>01-03-2015</t>
  </si>
  <si>
    <t>03-12-2024</t>
  </si>
  <si>
    <t>25-06-2024</t>
  </si>
  <si>
    <t>28-05-2019</t>
  </si>
  <si>
    <t>31-01-2023</t>
  </si>
  <si>
    <t>08-10-2019</t>
  </si>
  <si>
    <t>17-04-2017</t>
  </si>
  <si>
    <t>13-10-2017</t>
  </si>
  <si>
    <t>01-08-2023</t>
  </si>
  <si>
    <t>29-11-2022</t>
  </si>
  <si>
    <t>01-07-2022</t>
  </si>
  <si>
    <t>01-05-2017</t>
  </si>
  <si>
    <t>13-10-2021</t>
  </si>
  <si>
    <t>27-01-2023</t>
  </si>
  <si>
    <t>01-04-2011</t>
  </si>
  <si>
    <t>11-11-2014</t>
  </si>
  <si>
    <t>11-10-2023</t>
  </si>
  <si>
    <t>17-04-2013</t>
  </si>
  <si>
    <t>03-02-2022</t>
  </si>
  <si>
    <t>16-09-2015</t>
  </si>
  <si>
    <t>28-10-2012</t>
  </si>
  <si>
    <t>01-03-2011</t>
  </si>
  <si>
    <t>15-11-2024</t>
  </si>
  <si>
    <t>07-06-2012</t>
  </si>
  <si>
    <t>23-03-2020</t>
  </si>
  <si>
    <t>16-05-2024</t>
  </si>
  <si>
    <t>07-12-2021</t>
  </si>
  <si>
    <t>01-09-2011</t>
  </si>
  <si>
    <t>01-10-2011</t>
  </si>
  <si>
    <t>01-05-2013</t>
  </si>
  <si>
    <t>04-04-2016</t>
  </si>
  <si>
    <t>21-12-2002</t>
  </si>
  <si>
    <t>28-10-2004</t>
  </si>
  <si>
    <t>13-11-2023</t>
  </si>
  <si>
    <t>01-03-2012</t>
  </si>
  <si>
    <t>10-02-2012</t>
  </si>
  <si>
    <t>09-06-2022</t>
  </si>
  <si>
    <t>22-02-2010</t>
  </si>
  <si>
    <t>01-04-2014</t>
  </si>
  <si>
    <t>04-05-2012</t>
  </si>
  <si>
    <t>18-11-2015</t>
  </si>
  <si>
    <t>23-12-2015</t>
  </si>
  <si>
    <t>11-09-2017</t>
  </si>
  <si>
    <t>22-09-2010</t>
  </si>
  <si>
    <t>08-09-2015</t>
  </si>
  <si>
    <t>30-12-2016</t>
  </si>
  <si>
    <t>17-08-2023</t>
  </si>
  <si>
    <t>08-05-2015</t>
  </si>
  <si>
    <t>14-10-2004</t>
  </si>
  <si>
    <t>05-09-2024</t>
  </si>
  <si>
    <t>01-08-2018</t>
  </si>
  <si>
    <t>01-11-2010</t>
  </si>
  <si>
    <t>05-12-2023</t>
  </si>
  <si>
    <t>02-06-2015</t>
  </si>
  <si>
    <t>17-05-2021</t>
  </si>
  <si>
    <t>28-09-2012</t>
  </si>
  <si>
    <t>15-07-2017</t>
  </si>
  <si>
    <t>22-09-2014</t>
  </si>
  <si>
    <t>15-03-2016</t>
  </si>
  <si>
    <t>25-08-2022</t>
  </si>
  <si>
    <t>05-09-2023</t>
  </si>
  <si>
    <t>28-09-2023</t>
  </si>
  <si>
    <t>10-10-2006</t>
  </si>
  <si>
    <t>12-01-2016</t>
  </si>
  <si>
    <t>06-10-2020</t>
  </si>
  <si>
    <t>03-05-2005</t>
  </si>
  <si>
    <t>04-04-2011</t>
  </si>
  <si>
    <t>08-01-2022</t>
  </si>
  <si>
    <t>15-02-2025</t>
  </si>
  <si>
    <t>13-03-2015</t>
  </si>
  <si>
    <t>01-02-2011</t>
  </si>
  <si>
    <t>26-09-2001</t>
  </si>
  <si>
    <t>10-01-2014</t>
  </si>
  <si>
    <t>18-02-2022</t>
  </si>
  <si>
    <t>10-05-2018</t>
  </si>
  <si>
    <t>01-05-2012</t>
  </si>
  <si>
    <t>05-05-2020</t>
  </si>
  <si>
    <t>14-06-2017</t>
  </si>
  <si>
    <t>21-06-2007</t>
  </si>
  <si>
    <t>01-12-2002</t>
  </si>
  <si>
    <t>07-07-2024</t>
  </si>
  <si>
    <t>14-09-2021</t>
  </si>
  <si>
    <t>15-07-2019</t>
  </si>
  <si>
    <t>31-12-2001</t>
  </si>
  <si>
    <t>01-11-2024</t>
  </si>
  <si>
    <t>06-09-2018</t>
  </si>
  <si>
    <t>08-08-2016</t>
  </si>
  <si>
    <t>29-12-2021</t>
  </si>
  <si>
    <t>20-06-2017</t>
  </si>
  <si>
    <t>05-06-2022</t>
  </si>
  <si>
    <t>23-06-2021</t>
  </si>
  <si>
    <t>24-02-2016</t>
  </si>
  <si>
    <t>23-11-2004</t>
  </si>
  <si>
    <t>16-11-2023</t>
  </si>
  <si>
    <t>29-10-1998</t>
  </si>
  <si>
    <t>13-11-2022</t>
  </si>
  <si>
    <t>25-03-2010</t>
  </si>
  <si>
    <t>28-07-1988</t>
  </si>
  <si>
    <t>28-04-2011</t>
  </si>
  <si>
    <t>25-11-2004</t>
  </si>
  <si>
    <t>28-04-2013</t>
  </si>
  <si>
    <t>01-06-1996</t>
  </si>
  <si>
    <t>12-10-1989</t>
  </si>
  <si>
    <t>06-11-2012</t>
  </si>
  <si>
    <t>27-10-2014</t>
  </si>
  <si>
    <t>27-10-2017</t>
  </si>
  <si>
    <t>19-09-2022</t>
  </si>
  <si>
    <t>18-09-2012</t>
  </si>
  <si>
    <t>20-08-2007</t>
  </si>
  <si>
    <t>12-08-2014</t>
  </si>
  <si>
    <t>11-12-2007</t>
  </si>
  <si>
    <t>03-04-2013</t>
  </si>
  <si>
    <t>14-09-2007</t>
  </si>
  <si>
    <t>08-06-2012</t>
  </si>
  <si>
    <t>22-04-2014</t>
  </si>
  <si>
    <t>01-10-2009</t>
  </si>
  <si>
    <t>18-04-2017</t>
  </si>
  <si>
    <t>16-12-2021</t>
  </si>
  <si>
    <t>23-03-2023</t>
  </si>
  <si>
    <t>25-01-2025</t>
  </si>
  <si>
    <t>05-03-2009</t>
  </si>
  <si>
    <t>12-02-2025</t>
  </si>
  <si>
    <t>10-03-2023</t>
  </si>
  <si>
    <t>20-05-2020</t>
  </si>
  <si>
    <t>03-06-2004</t>
  </si>
  <si>
    <t>30-09-1997</t>
  </si>
  <si>
    <t>30-01-2013</t>
  </si>
  <si>
    <t>15-12-2023</t>
  </si>
  <si>
    <t>26-11-2013</t>
  </si>
  <si>
    <t>03-03-2009</t>
  </si>
  <si>
    <t>30-12-2010</t>
  </si>
  <si>
    <t>23-05-2023</t>
  </si>
  <si>
    <t>28-02-2003</t>
  </si>
  <si>
    <t>20-07-2010</t>
  </si>
  <si>
    <t>17-03-2020</t>
  </si>
  <si>
    <t>31-07-2008</t>
  </si>
  <si>
    <t>22-07-1999</t>
  </si>
  <si>
    <t>22-10-2013</t>
  </si>
  <si>
    <t>01-03-2016</t>
  </si>
  <si>
    <t>16-01-1991</t>
  </si>
  <si>
    <t>12-07-2016</t>
  </si>
  <si>
    <t>30-08-2016</t>
  </si>
  <si>
    <t>30-09-2023</t>
  </si>
  <si>
    <t>09-03-2011</t>
  </si>
  <si>
    <t>24-01-2019</t>
  </si>
  <si>
    <t>15-11-2016</t>
  </si>
  <si>
    <t>25-07-2007</t>
  </si>
  <si>
    <t>29-06-2010</t>
  </si>
  <si>
    <t>31-03-2019</t>
  </si>
  <si>
    <t>21-11-2007</t>
  </si>
  <si>
    <t>10-05-2012</t>
  </si>
  <si>
    <t>26-07-2023</t>
  </si>
  <si>
    <t>11-02-2023</t>
  </si>
  <si>
    <t>18-09-2014</t>
  </si>
  <si>
    <t>26-07-2017</t>
  </si>
  <si>
    <t>13-11-2012</t>
  </si>
  <si>
    <t>20-09-2011</t>
  </si>
  <si>
    <t>06-12-2011</t>
  </si>
  <si>
    <t>02-04-2008</t>
  </si>
  <si>
    <t>18-03-2010</t>
  </si>
  <si>
    <t>19-04-2004</t>
  </si>
  <si>
    <t>01-12-2005</t>
  </si>
  <si>
    <t>04-06-2015</t>
  </si>
  <si>
    <t>01-07-2002</t>
  </si>
  <si>
    <t>08-04-2025</t>
  </si>
  <si>
    <t>28-05-2013</t>
  </si>
  <si>
    <t>15-06-2010</t>
  </si>
  <si>
    <t>09-02-2021</t>
  </si>
  <si>
    <t>12-02-2013</t>
  </si>
  <si>
    <t>13-03-2013</t>
  </si>
  <si>
    <t>06-06-2011</t>
  </si>
  <si>
    <t>15-10-2011</t>
  </si>
  <si>
    <t>01-05-2009</t>
  </si>
  <si>
    <t>21-04-2022</t>
  </si>
  <si>
    <t>04-10-2011</t>
  </si>
  <si>
    <t>11-12-2013</t>
  </si>
  <si>
    <t>03-01-2019</t>
  </si>
  <si>
    <t>03-10-2013</t>
  </si>
  <si>
    <t>24-07-2012</t>
  </si>
  <si>
    <t>29-06-2015</t>
  </si>
  <si>
    <t>10-12-2015</t>
  </si>
  <si>
    <t>13-05-2014</t>
  </si>
  <si>
    <t>28-11-2023</t>
  </si>
  <si>
    <t>24-03-2012</t>
  </si>
  <si>
    <t>21-08-2014</t>
  </si>
  <si>
    <t>12-07-2012</t>
  </si>
  <si>
    <t>13-03-2014</t>
  </si>
  <si>
    <t>02-07-2012</t>
  </si>
  <si>
    <t>08-06-2015</t>
  </si>
  <si>
    <t>15-12-2020</t>
  </si>
  <si>
    <t>30-01-1960</t>
  </si>
  <si>
    <t>01-05-2023</t>
  </si>
  <si>
    <t>27-06-2011</t>
  </si>
  <si>
    <t>30-05-2024</t>
  </si>
  <si>
    <t>14-06-2021</t>
  </si>
  <si>
    <t>27-03-2006</t>
  </si>
  <si>
    <t>12-08-2016</t>
  </si>
  <si>
    <t>08-12-2023</t>
  </si>
  <si>
    <t>12-03-2024</t>
  </si>
  <si>
    <t>21-11-2014</t>
  </si>
  <si>
    <t>24-06-2022</t>
  </si>
  <si>
    <t>01-02-2021</t>
  </si>
  <si>
    <t>21-11-2023</t>
  </si>
  <si>
    <t>28-08-2008</t>
  </si>
  <si>
    <t>13-05-2021</t>
  </si>
  <si>
    <t>19-10-2022</t>
  </si>
  <si>
    <t>21-12-2023</t>
  </si>
  <si>
    <t>13-02-2024</t>
  </si>
  <si>
    <t>19-06-2017</t>
  </si>
  <si>
    <t>07-04-2016</t>
  </si>
  <si>
    <t>03-12-2013</t>
  </si>
  <si>
    <t>15-09-2022</t>
  </si>
  <si>
    <t>30-04-2012</t>
  </si>
  <si>
    <t>21-04-2008</t>
  </si>
  <si>
    <t>01-08-2011</t>
  </si>
  <si>
    <t>03-02-2016</t>
  </si>
  <si>
    <t>06-09-1994</t>
  </si>
  <si>
    <t>19-12-2023</t>
  </si>
  <si>
    <t>01-12-2018</t>
  </si>
  <si>
    <t>13-12-2023</t>
  </si>
  <si>
    <t>25-06-2002</t>
  </si>
  <si>
    <t>28-03-2006</t>
  </si>
  <si>
    <t>07-10-2010</t>
  </si>
  <si>
    <t>25-04-2002</t>
  </si>
  <si>
    <t>13-03-2021</t>
  </si>
  <si>
    <t>01-03-2023</t>
  </si>
  <si>
    <t>26-07-2024</t>
  </si>
  <si>
    <t>23-11-2023</t>
  </si>
  <si>
    <t>24-11-2023</t>
  </si>
  <si>
    <t>28-01-2023</t>
  </si>
  <si>
    <t>20-12-2020</t>
  </si>
  <si>
    <t>02-10-2020</t>
  </si>
  <si>
    <t>24-03-2023</t>
  </si>
  <si>
    <t>05-03-2025</t>
  </si>
  <si>
    <t>08-10-2023</t>
  </si>
  <si>
    <t>30-05-2023</t>
  </si>
  <si>
    <t>06-08-2018</t>
  </si>
  <si>
    <t>15-09-2023</t>
  </si>
  <si>
    <t>25-11-2024</t>
  </si>
  <si>
    <t>06-04-2024</t>
  </si>
  <si>
    <t>30-07-2019</t>
  </si>
  <si>
    <t>21-05-2024</t>
  </si>
  <si>
    <t>28-02-2017</t>
  </si>
  <si>
    <t>19-04-2016</t>
  </si>
  <si>
    <t>23-02-2016</t>
  </si>
  <si>
    <t>10-05-2022</t>
  </si>
  <si>
    <t>05-01-2016</t>
  </si>
  <si>
    <t>16-02-2016</t>
  </si>
  <si>
    <t>28-03-2017</t>
  </si>
  <si>
    <t>12-11-2019</t>
  </si>
  <si>
    <t>03-05-2016</t>
  </si>
  <si>
    <t>21-01-2025</t>
  </si>
  <si>
    <t>01-06-1999</t>
  </si>
  <si>
    <t>14-03-2000</t>
  </si>
  <si>
    <t>31-05-2019</t>
  </si>
  <si>
    <t>04-01-2010</t>
  </si>
  <si>
    <t>14-05-2013</t>
  </si>
  <si>
    <t>18-03-2013</t>
  </si>
  <si>
    <t>16-10-2020</t>
  </si>
  <si>
    <t>03-10-2017</t>
  </si>
  <si>
    <t>09-11-2017</t>
  </si>
  <si>
    <t>11-09-2012</t>
  </si>
  <si>
    <t>08-05-2013</t>
  </si>
  <si>
    <t>01-07-2011</t>
  </si>
  <si>
    <t>29-04-2025</t>
  </si>
  <si>
    <t>31-05-2024</t>
  </si>
  <si>
    <t>28-09-2021</t>
  </si>
  <si>
    <t>01-12-2011</t>
  </si>
  <si>
    <t>20-06-2022</t>
  </si>
  <si>
    <t>08-11-2022</t>
  </si>
  <si>
    <t>31-10-2013</t>
  </si>
  <si>
    <t>01-12-2023</t>
  </si>
  <si>
    <t>01-04-2025</t>
  </si>
  <si>
    <t>25-02-2025</t>
  </si>
  <si>
    <t>07-11-2023</t>
  </si>
  <si>
    <t>27-11-2015</t>
  </si>
  <si>
    <t>27-08-2007</t>
  </si>
  <si>
    <t>17-08-2015</t>
  </si>
  <si>
    <t>19-11-2024</t>
  </si>
  <si>
    <t>04-11-2004</t>
  </si>
  <si>
    <t>26-09-2023</t>
  </si>
  <si>
    <t>30-10-2012</t>
  </si>
  <si>
    <t>07-06-2017</t>
  </si>
  <si>
    <t>05-11-2012</t>
  </si>
  <si>
    <t>01-09-2019</t>
  </si>
  <si>
    <t>10-11-2020</t>
  </si>
  <si>
    <t>05-11-2018</t>
  </si>
  <si>
    <t>07-11-2019</t>
  </si>
  <si>
    <t>19-06-2012</t>
  </si>
  <si>
    <t>03-02-2011</t>
  </si>
  <si>
    <t>20-05-2025</t>
  </si>
  <si>
    <t>15-07-2016</t>
  </si>
  <si>
    <t>15-09-1999</t>
  </si>
  <si>
    <t>04-12-2024</t>
  </si>
  <si>
    <t>29-04-2019</t>
  </si>
  <si>
    <t>12-05-2017</t>
  </si>
  <si>
    <t>01-08-2015</t>
  </si>
  <si>
    <t>19-04-2021</t>
  </si>
  <si>
    <t>01-11-2001</t>
  </si>
  <si>
    <t>12-09-2022</t>
  </si>
  <si>
    <t>26-06-2009</t>
  </si>
  <si>
    <t>23-07-1991</t>
  </si>
  <si>
    <t>30-06-2023</t>
  </si>
  <si>
    <t>01-06-2010</t>
  </si>
  <si>
    <t>11-11-2013</t>
  </si>
  <si>
    <t>28-06-2013</t>
  </si>
  <si>
    <t>01-08-1977</t>
  </si>
  <si>
    <t>21-08-2013</t>
  </si>
  <si>
    <t>21-08-1986</t>
  </si>
  <si>
    <t>04-11-2016</t>
  </si>
  <si>
    <t>01-11-2022</t>
  </si>
  <si>
    <t>30-08-2014</t>
  </si>
  <si>
    <t>21-06-2017</t>
  </si>
  <si>
    <t>03-10-2015</t>
  </si>
  <si>
    <t>23-04-2020</t>
  </si>
  <si>
    <t>01-02-2005</t>
  </si>
  <si>
    <t>01-10-2007</t>
  </si>
  <si>
    <t>01-08-2010</t>
  </si>
  <si>
    <t>21-09-2021</t>
  </si>
  <si>
    <t>31-12-2009</t>
  </si>
  <si>
    <t>05-12-2013</t>
  </si>
  <si>
    <t>25-01-2018</t>
  </si>
  <si>
    <t>29-03-2018</t>
  </si>
  <si>
    <t>01-11-2013</t>
  </si>
  <si>
    <t>19-05-2025</t>
  </si>
  <si>
    <t>14-10-2009</t>
  </si>
  <si>
    <t>18-08-2024</t>
  </si>
  <si>
    <t>26-01-2022</t>
  </si>
  <si>
    <t>22-11-2022</t>
  </si>
  <si>
    <t>19-03-1969</t>
  </si>
  <si>
    <t>31-10-2012</t>
  </si>
  <si>
    <t>21-02-2014</t>
  </si>
  <si>
    <t>26-10-2001</t>
  </si>
  <si>
    <t>25-11-2014</t>
  </si>
  <si>
    <t>09-12-2019</t>
  </si>
  <si>
    <t>15-08-2008</t>
  </si>
  <si>
    <t>20-03-2009</t>
  </si>
  <si>
    <t>10-04-2006</t>
  </si>
  <si>
    <t>08-11-2006</t>
  </si>
  <si>
    <t>16-06-2021</t>
  </si>
  <si>
    <t>03-06-2019</t>
  </si>
  <si>
    <t>Cisco Kid</t>
  </si>
  <si>
    <t>13-04-2023</t>
  </si>
  <si>
    <t>05-02-2025</t>
  </si>
  <si>
    <t>02-05-2024</t>
  </si>
  <si>
    <t>16-06-2016</t>
  </si>
  <si>
    <t>04-01-2016</t>
  </si>
  <si>
    <t>29-04-2005</t>
  </si>
  <si>
    <t>24-05-2017</t>
  </si>
  <si>
    <t>27-03-2013</t>
  </si>
  <si>
    <t>09-06-2016</t>
  </si>
  <si>
    <t>01-03-2021</t>
  </si>
  <si>
    <t>02-12-2020</t>
  </si>
  <si>
    <t>23-04-2018</t>
  </si>
  <si>
    <t>04-03-2014</t>
  </si>
  <si>
    <t>17-01-2023</t>
  </si>
  <si>
    <t>23-04-2019</t>
  </si>
  <si>
    <t>14-07-2017</t>
  </si>
  <si>
    <t>13-09-2022</t>
  </si>
  <si>
    <t>19-10-2021</t>
  </si>
  <si>
    <t>06-08-2024</t>
  </si>
  <si>
    <t>16-01-2023</t>
  </si>
  <si>
    <t>24-11-2020</t>
  </si>
  <si>
    <t>19-09-2017</t>
  </si>
  <si>
    <t>28-01-2019</t>
  </si>
  <si>
    <t>22-02-2022</t>
  </si>
  <si>
    <t>01-11-2017</t>
  </si>
  <si>
    <t>29-10-2022</t>
  </si>
  <si>
    <t>19-01-2021</t>
  </si>
  <si>
    <t>15-08-2016</t>
  </si>
  <si>
    <t>21-04-2023</t>
  </si>
  <si>
    <t>07-02-2025</t>
  </si>
  <si>
    <t>15-05-2025</t>
  </si>
  <si>
    <t>01-04-2015</t>
  </si>
  <si>
    <t>04-02-2014</t>
  </si>
  <si>
    <t>14-09-2019</t>
  </si>
  <si>
    <t>18-08-2009</t>
  </si>
  <si>
    <t>03-06-2014</t>
  </si>
  <si>
    <t>14-01-2019</t>
  </si>
  <si>
    <t>03-01-2022</t>
  </si>
  <si>
    <t>05-03-2013</t>
  </si>
  <si>
    <t>29-03-2019</t>
  </si>
  <si>
    <t>15-01-2020</t>
  </si>
  <si>
    <t>24-06-2024</t>
  </si>
  <si>
    <t>06-05-2014</t>
  </si>
  <si>
    <t>02-03-2016</t>
  </si>
  <si>
    <t>08-12-2016</t>
  </si>
  <si>
    <t>09-09-2014</t>
  </si>
  <si>
    <t>12-04-2021</t>
  </si>
  <si>
    <t>17-10-2017</t>
  </si>
  <si>
    <t>03-07-2017</t>
  </si>
  <si>
    <t>28-08-2017</t>
  </si>
  <si>
    <t>02-01-2018</t>
  </si>
  <si>
    <t>06-03-2015</t>
  </si>
  <si>
    <t>04-12-2012</t>
  </si>
  <si>
    <t>30-10-2018</t>
  </si>
  <si>
    <t>25-05-2011</t>
  </si>
  <si>
    <t>01-11-2009</t>
  </si>
  <si>
    <t>01-03-2005</t>
  </si>
  <si>
    <t>03-11-2009</t>
  </si>
  <si>
    <t>01-07-2013</t>
  </si>
  <si>
    <t>04-02-2015</t>
  </si>
  <si>
    <t>01-08-2019</t>
  </si>
  <si>
    <t>13-12-2012</t>
  </si>
  <si>
    <t>17-12-2012</t>
  </si>
  <si>
    <t>09-03-2020</t>
  </si>
  <si>
    <t>12-12-2016</t>
  </si>
  <si>
    <t>05-02-2019</t>
  </si>
  <si>
    <t>04-10-2017</t>
  </si>
  <si>
    <t>31-05-2016</t>
  </si>
  <si>
    <t>15-03-2015</t>
  </si>
  <si>
    <t>27-11-2018</t>
  </si>
  <si>
    <t>26-06-2014</t>
  </si>
  <si>
    <t>01-06-2014</t>
  </si>
  <si>
    <t>31-07-2014</t>
  </si>
  <si>
    <t>09-02-2015</t>
  </si>
  <si>
    <t>28-04-2016</t>
  </si>
  <si>
    <t>19-09-2019</t>
  </si>
  <si>
    <t>19-03-2019</t>
  </si>
  <si>
    <t>17-10-2024</t>
  </si>
  <si>
    <t>22-05-2020</t>
  </si>
  <si>
    <t>30-04-2014</t>
  </si>
  <si>
    <t>06-11-2017</t>
  </si>
  <si>
    <t>17-06-2014</t>
  </si>
  <si>
    <t>08-12-2013</t>
  </si>
  <si>
    <t>02-02-2022</t>
  </si>
  <si>
    <t>24-09-2014</t>
  </si>
  <si>
    <t>14-10-2015</t>
  </si>
  <si>
    <t>01-11-1998</t>
  </si>
  <si>
    <t>01-06-2003</t>
  </si>
  <si>
    <t>22-06-2023</t>
  </si>
  <si>
    <t>20-11-2024</t>
  </si>
  <si>
    <t>06-10-2015</t>
  </si>
  <si>
    <t>07-10-2011</t>
  </si>
  <si>
    <t>03-09-2012</t>
  </si>
  <si>
    <t>22-06-2009</t>
  </si>
  <si>
    <t>02-11-2010</t>
  </si>
  <si>
    <t>04-05-2011</t>
  </si>
  <si>
    <t>01-09-2005</t>
  </si>
  <si>
    <t>23-11-2010</t>
  </si>
  <si>
    <t>08-02-2013</t>
  </si>
  <si>
    <t>04-02-2025</t>
  </si>
  <si>
    <t>26-09-2017</t>
  </si>
  <si>
    <t>05-10-2023</t>
  </si>
  <si>
    <t>05-11-2015</t>
  </si>
  <si>
    <t>09-08-2023</t>
  </si>
  <si>
    <t>28-07-2018</t>
  </si>
  <si>
    <t>08-09-2020</t>
  </si>
  <si>
    <t>01-04-1997</t>
  </si>
  <si>
    <t>23-03-2009</t>
  </si>
  <si>
    <t>01-10-1996</t>
  </si>
  <si>
    <t>17-09-2003</t>
  </si>
  <si>
    <t>21-08-1937</t>
  </si>
  <si>
    <t>16-10-2018</t>
  </si>
  <si>
    <t>18-06-2016</t>
  </si>
  <si>
    <t>30-03-2021</t>
  </si>
  <si>
    <t>15-08-1989</t>
  </si>
  <si>
    <t>04-01-2011</t>
  </si>
  <si>
    <t>02-05-2017</t>
  </si>
  <si>
    <t>21-11-2016</t>
  </si>
  <si>
    <t>06-04-1999</t>
  </si>
  <si>
    <t>23-08-2001</t>
  </si>
  <si>
    <t>01-02-2022</t>
  </si>
  <si>
    <t>07-08-2018</t>
  </si>
  <si>
    <t>26-12-2023</t>
  </si>
  <si>
    <t>30-04-2024</t>
  </si>
  <si>
    <t>18-08-2006</t>
  </si>
  <si>
    <t>31-03-2015</t>
  </si>
  <si>
    <t>07-04-2005</t>
  </si>
  <si>
    <t>10-07-2018</t>
  </si>
  <si>
    <t>18-11-2014</t>
  </si>
  <si>
    <t>05-03-2007</t>
  </si>
  <si>
    <t>28-02-2006</t>
  </si>
  <si>
    <t>24-04-2007</t>
  </si>
  <si>
    <t>01-02-2000</t>
  </si>
  <si>
    <t>19-02-2013</t>
  </si>
  <si>
    <t>03-01-2012</t>
  </si>
  <si>
    <t>05-03-2024</t>
  </si>
  <si>
    <t>14-06-2016</t>
  </si>
  <si>
    <t>01-04-2001</t>
  </si>
  <si>
    <t>28-12-2004</t>
  </si>
  <si>
    <t>01-03-1999</t>
  </si>
  <si>
    <t>16-05-2023</t>
  </si>
  <si>
    <t>RATING TIER</t>
  </si>
  <si>
    <t>POPULARITY</t>
  </si>
  <si>
    <t>ENGAGEMENT SCORE</t>
  </si>
  <si>
    <t>BOOK INSIGHT EXPLORER: Analyzing Reader Trends and Genre Preferences</t>
  </si>
  <si>
    <t>CLEANED DATA FOR ANALYSIS</t>
  </si>
  <si>
    <t>BOOK COUNT BY GENRE</t>
  </si>
  <si>
    <t>Row Labels</t>
  </si>
  <si>
    <t>Grand Total</t>
  </si>
  <si>
    <t>Count of TITLE</t>
  </si>
  <si>
    <t>Average of AVERAGE RATING</t>
  </si>
  <si>
    <t>PUBLICATION TRENDS</t>
  </si>
  <si>
    <t>AVERAGE RATINGS PER GENER</t>
  </si>
  <si>
    <t>TOP 10 AUTHORS BY BOOK COUNT</t>
  </si>
  <si>
    <t>LANGUAGE BREAKDOWN</t>
  </si>
  <si>
    <t>READER ENGAGEMENT</t>
  </si>
  <si>
    <t>Sum of ENGAGEMENT SCORE</t>
  </si>
  <si>
    <t>BOOK INSIGHT EXPLORER: ANALYZING READER TRENDS AND GENRE PREFERENCES</t>
  </si>
  <si>
    <t>Total Number of Books</t>
  </si>
  <si>
    <t>Total Unique Authors</t>
  </si>
  <si>
    <t>Average Rating</t>
  </si>
  <si>
    <t>Highest Rated Book</t>
  </si>
  <si>
    <t>Most Common Language</t>
  </si>
  <si>
    <t>Total Reader Engagement Score</t>
  </si>
  <si>
    <t>Most Popular Genre</t>
  </si>
  <si>
    <t xml:space="preserve"> </t>
  </si>
  <si>
    <t>KPI BOOK COUNT</t>
  </si>
  <si>
    <t xml:space="preserve"> KPI UNIQUE AUTHORS</t>
  </si>
  <si>
    <t>KPI AVERAGE RATING</t>
  </si>
  <si>
    <t>KPI HIGHEST RATED BOOK</t>
  </si>
  <si>
    <t>KPI MOST COMMON LANGUAGE</t>
  </si>
  <si>
    <t>KPI ENGAGEMENT SCORE</t>
  </si>
  <si>
    <t>KPI MOST POPULAR GENRE</t>
  </si>
  <si>
    <t xml:space="preserve">FROM THE ORIGINAL DATA CANNOT BE DYNAMIC </t>
  </si>
  <si>
    <t xml:space="preserve">FROM THE PIVOT TABLE THAT IS  DYNAMICALLY CHANGE THE VALUE THROUGH SLICERS </t>
  </si>
  <si>
    <t>📚</t>
  </si>
  <si>
    <t>👤</t>
  </si>
  <si>
    <t>⭐</t>
  </si>
  <si>
    <t>🏆</t>
  </si>
  <si>
    <t>🎭</t>
  </si>
  <si>
    <t>🔥</t>
  </si>
  <si>
    <t>🌏</t>
  </si>
  <si>
    <t>📈</t>
  </si>
  <si>
    <t>🎯</t>
  </si>
  <si>
    <t>🌐</t>
  </si>
  <si>
    <t>✍🏻</t>
  </si>
  <si>
    <t xml:space="preserve">THE SUMMARY FORMULA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</si>
</sst>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ptos Narrow"/>
      <family val="2"/>
      <scheme val="minor"/>
    </font>
    <font>
      <b/>
      <sz val="11"/>
      <color theme="1"/>
      <name val="Aptos Narrow"/>
      <family val="2"/>
      <scheme val="minor"/>
    </font>
    <font>
      <sz val="18"/>
      <color theme="1"/>
      <name val="Aptos Narrow"/>
      <family val="2"/>
      <scheme val="minor"/>
    </font>
    <font>
      <b/>
      <sz val="24"/>
      <color theme="1"/>
      <name val="Aptos Narrow"/>
      <family val="2"/>
      <scheme val="minor"/>
    </font>
    <font>
      <b/>
      <sz val="28"/>
      <color theme="0"/>
      <name val="Aptos Narrow"/>
      <family val="2"/>
      <scheme val="minor"/>
    </font>
    <font>
      <b/>
      <sz val="14"/>
      <color theme="5" tint="-0.249977111117893"/>
      <name val="Aptos Narrow"/>
      <family val="2"/>
      <scheme val="minor"/>
    </font>
    <font>
      <b/>
      <sz val="16"/>
      <color theme="5" tint="-0.249977111117893"/>
      <name val="Aptos Narrow"/>
      <family val="2"/>
      <scheme val="minor"/>
    </font>
    <font>
      <sz val="11"/>
      <color theme="0" tint="-0.499984740745262"/>
      <name val="Aptos Narrow"/>
      <family val="2"/>
      <scheme val="minor"/>
    </font>
    <font>
      <sz val="11"/>
      <color theme="0"/>
      <name val="Aptos Narrow"/>
      <family val="2"/>
      <scheme val="minor"/>
    </font>
    <font>
      <sz val="14"/>
      <color theme="1"/>
      <name val="Aptos Narrow"/>
      <family val="2"/>
      <scheme val="minor"/>
    </font>
    <font>
      <sz val="16"/>
      <color theme="1"/>
      <name val="Aptos Narrow"/>
      <family val="2"/>
      <scheme val="minor"/>
    </font>
    <font>
      <sz val="20"/>
      <color theme="1"/>
      <name val="Aptos Narrow"/>
      <family val="2"/>
      <scheme val="minor"/>
    </font>
    <font>
      <sz val="22"/>
      <color theme="1"/>
      <name val="Aptos Narrow"/>
      <family val="2"/>
      <scheme val="minor"/>
    </font>
    <font>
      <sz val="26"/>
      <color theme="1"/>
      <name val="Aptos Narrow"/>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horizontal="center"/>
    </xf>
    <xf numFmtId="0" fontId="1" fillId="0" borderId="0" xfId="0" applyFont="1" applyAlignment="1">
      <alignment horizontal="center"/>
    </xf>
    <xf numFmtId="0" fontId="2" fillId="3" borderId="0" xfId="0" applyFont="1" applyFill="1" applyAlignment="1">
      <alignment horizontal="left"/>
    </xf>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0" fillId="4" borderId="0" xfId="0" applyFill="1"/>
    <xf numFmtId="0" fontId="5" fillId="0" borderId="0" xfId="0" applyFont="1"/>
    <xf numFmtId="1" fontId="0" fillId="0" borderId="0" xfId="0" applyNumberFormat="1"/>
    <xf numFmtId="0" fontId="9" fillId="0" borderId="0" xfId="0" applyFont="1"/>
    <xf numFmtId="0" fontId="10" fillId="0" borderId="0" xfId="0" applyFont="1"/>
    <xf numFmtId="0" fontId="2" fillId="0" borderId="0" xfId="0" applyFont="1"/>
    <xf numFmtId="0" fontId="11" fillId="0" borderId="0" xfId="0" applyFont="1"/>
    <xf numFmtId="0" fontId="12" fillId="0" borderId="0" xfId="0" applyFont="1"/>
    <xf numFmtId="0" fontId="13" fillId="0" borderId="0" xfId="0" applyFont="1"/>
    <xf numFmtId="0" fontId="0" fillId="3" borderId="0" xfId="0" applyFill="1"/>
    <xf numFmtId="0" fontId="3" fillId="2" borderId="0" xfId="0" applyFont="1" applyFill="1" applyAlignment="1">
      <alignment horizontal="left"/>
    </xf>
    <xf numFmtId="0" fontId="1" fillId="0" borderId="0" xfId="0" applyFont="1" applyAlignment="1">
      <alignment horizontal="center"/>
    </xf>
    <xf numFmtId="0" fontId="0" fillId="5" borderId="0" xfId="0" applyFill="1" applyAlignment="1">
      <alignment horizontal="center"/>
    </xf>
    <xf numFmtId="0" fontId="6" fillId="0" borderId="0" xfId="0" applyFont="1" applyAlignment="1">
      <alignment horizontal="center"/>
    </xf>
    <xf numFmtId="0" fontId="0" fillId="5" borderId="0" xfId="0" applyFill="1" applyAlignment="1">
      <alignment horizontal="center" vertical="center"/>
    </xf>
    <xf numFmtId="0" fontId="5" fillId="0" borderId="0" xfId="0" applyFont="1" applyAlignment="1">
      <alignment horizontal="center"/>
    </xf>
    <xf numFmtId="0" fontId="1" fillId="5" borderId="0" xfId="0" applyFont="1" applyFill="1" applyAlignment="1">
      <alignment horizontal="center"/>
    </xf>
    <xf numFmtId="164" fontId="6" fillId="0" borderId="0" xfId="0" applyNumberFormat="1" applyFont="1" applyAlignment="1">
      <alignment horizontal="center"/>
    </xf>
    <xf numFmtId="0" fontId="7" fillId="0" borderId="0" xfId="0" applyFont="1" applyAlignment="1">
      <alignment horizontal="center" vertical="center"/>
    </xf>
    <xf numFmtId="0" fontId="7" fillId="0" borderId="0" xfId="0" applyFont="1" applyAlignment="1">
      <alignment horizontal="center" vertical="center" wrapText="1"/>
    </xf>
    <xf numFmtId="1" fontId="6" fillId="0" borderId="0" xfId="0" applyNumberFormat="1" applyFont="1" applyAlignment="1">
      <alignment horizontal="center"/>
    </xf>
    <xf numFmtId="0" fontId="8" fillId="6" borderId="0" xfId="0" applyFont="1" applyFill="1" applyAlignment="1">
      <alignment horizontal="center"/>
    </xf>
    <xf numFmtId="0" fontId="4" fillId="6" borderId="0" xfId="0" applyFont="1" applyFill="1" applyAlignment="1">
      <alignment horizontal="center" vertical="center"/>
    </xf>
  </cellXfs>
  <cellStyles count="1">
    <cellStyle name="Normal" xfId="0" builtinId="0"/>
  </cellStyles>
  <dxfs count="11">
    <dxf>
      <fill>
        <patternFill>
          <bgColor theme="9"/>
        </patternFill>
      </fill>
    </dxf>
    <dxf>
      <fill>
        <patternFill>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Rec Project .xlsx]Pivot Tables!ptPubTrend</c:name>
    <c:fmtId val="2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 PUBLICATION TRENDS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Tables'!$G$4</c:f>
              <c:strCache>
                <c:ptCount val="1"/>
                <c:pt idx="0">
                  <c:v>Total</c:v>
                </c:pt>
              </c:strCache>
            </c:strRef>
          </c:tx>
          <c:spPr>
            <a:ln w="25400" cap="rnd">
              <a:solidFill>
                <a:schemeClr val="bg1"/>
              </a:solidFill>
              <a:round/>
            </a:ln>
            <a:effectLst/>
          </c:spPr>
          <c:marker>
            <c:symbol val="none"/>
          </c:marker>
          <c:cat>
            <c:strRef>
              <c:f>'Pivot Tables'!$F$5:$F$69</c:f>
              <c:strCache>
                <c:ptCount val="64"/>
                <c:pt idx="0">
                  <c:v>1887</c:v>
                </c:pt>
                <c:pt idx="1">
                  <c:v>1888</c:v>
                </c:pt>
                <c:pt idx="2">
                  <c:v>1894</c:v>
                </c:pt>
                <c:pt idx="3">
                  <c:v>1900</c:v>
                </c:pt>
                <c:pt idx="4">
                  <c:v>1902</c:v>
                </c:pt>
                <c:pt idx="5">
                  <c:v>1907</c:v>
                </c:pt>
                <c:pt idx="6">
                  <c:v>1910</c:v>
                </c:pt>
                <c:pt idx="7">
                  <c:v>1911</c:v>
                </c:pt>
                <c:pt idx="8">
                  <c:v>1926</c:v>
                </c:pt>
                <c:pt idx="9">
                  <c:v>1937</c:v>
                </c:pt>
                <c:pt idx="10">
                  <c:v>1949</c:v>
                </c:pt>
                <c:pt idx="11">
                  <c:v>1960</c:v>
                </c:pt>
                <c:pt idx="12">
                  <c:v>1967</c:v>
                </c:pt>
                <c:pt idx="13">
                  <c:v>1969</c:v>
                </c:pt>
                <c:pt idx="14">
                  <c:v>1970</c:v>
                </c:pt>
                <c:pt idx="15">
                  <c:v>1971</c:v>
                </c:pt>
                <c:pt idx="16">
                  <c:v>1972</c:v>
                </c:pt>
                <c:pt idx="17">
                  <c:v>1973</c:v>
                </c:pt>
                <c:pt idx="18">
                  <c:v>1977</c:v>
                </c:pt>
                <c:pt idx="19">
                  <c:v>1978</c:v>
                </c:pt>
                <c:pt idx="20">
                  <c:v>1980</c:v>
                </c:pt>
                <c:pt idx="21">
                  <c:v>1982</c:v>
                </c:pt>
                <c:pt idx="22">
                  <c:v>1983</c:v>
                </c:pt>
                <c:pt idx="23">
                  <c:v>1985</c:v>
                </c:pt>
                <c:pt idx="24">
                  <c:v>1986</c:v>
                </c:pt>
                <c:pt idx="25">
                  <c:v>1987</c:v>
                </c:pt>
                <c:pt idx="26">
                  <c:v>1988</c:v>
                </c:pt>
                <c:pt idx="27">
                  <c:v>1989</c:v>
                </c:pt>
                <c:pt idx="28">
                  <c:v>1990</c:v>
                </c:pt>
                <c:pt idx="29">
                  <c:v>1991</c:v>
                </c:pt>
                <c:pt idx="30">
                  <c:v>1992</c:v>
                </c:pt>
                <c:pt idx="31">
                  <c:v>1993</c:v>
                </c:pt>
                <c:pt idx="32">
                  <c:v>1994</c:v>
                </c:pt>
                <c:pt idx="33">
                  <c:v>1995</c:v>
                </c:pt>
                <c:pt idx="34">
                  <c:v>1996</c:v>
                </c:pt>
                <c:pt idx="35">
                  <c:v>1997</c:v>
                </c:pt>
                <c:pt idx="36">
                  <c:v>1998</c:v>
                </c:pt>
                <c:pt idx="37">
                  <c:v>1999</c:v>
                </c:pt>
                <c:pt idx="38">
                  <c:v>2000</c:v>
                </c:pt>
                <c:pt idx="39">
                  <c:v>2001</c:v>
                </c:pt>
                <c:pt idx="40">
                  <c:v>2002</c:v>
                </c:pt>
                <c:pt idx="41">
                  <c:v>2003</c:v>
                </c:pt>
                <c:pt idx="42">
                  <c:v>2004</c:v>
                </c:pt>
                <c:pt idx="43">
                  <c:v>2005</c:v>
                </c:pt>
                <c:pt idx="44">
                  <c:v>2006</c:v>
                </c:pt>
                <c:pt idx="45">
                  <c:v>2007</c:v>
                </c:pt>
                <c:pt idx="46">
                  <c:v>2008</c:v>
                </c:pt>
                <c:pt idx="47">
                  <c:v>2009</c:v>
                </c:pt>
                <c:pt idx="48">
                  <c:v>2010</c:v>
                </c:pt>
                <c:pt idx="49">
                  <c:v>2011</c:v>
                </c:pt>
                <c:pt idx="50">
                  <c:v>2012</c:v>
                </c:pt>
                <c:pt idx="51">
                  <c:v>2013</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strCache>
            </c:strRef>
          </c:cat>
          <c:val>
            <c:numRef>
              <c:f>'Pivot Tables'!$G$5:$G$69</c:f>
              <c:numCache>
                <c:formatCode>General</c:formatCode>
                <c:ptCount val="64"/>
                <c:pt idx="0">
                  <c:v>1</c:v>
                </c:pt>
                <c:pt idx="1">
                  <c:v>1</c:v>
                </c:pt>
                <c:pt idx="2">
                  <c:v>1</c:v>
                </c:pt>
                <c:pt idx="3">
                  <c:v>1</c:v>
                </c:pt>
                <c:pt idx="4">
                  <c:v>1</c:v>
                </c:pt>
                <c:pt idx="5">
                  <c:v>1</c:v>
                </c:pt>
                <c:pt idx="6">
                  <c:v>2</c:v>
                </c:pt>
                <c:pt idx="7">
                  <c:v>1</c:v>
                </c:pt>
                <c:pt idx="8">
                  <c:v>1</c:v>
                </c:pt>
                <c:pt idx="9">
                  <c:v>1</c:v>
                </c:pt>
                <c:pt idx="10">
                  <c:v>1</c:v>
                </c:pt>
                <c:pt idx="11">
                  <c:v>1</c:v>
                </c:pt>
                <c:pt idx="12">
                  <c:v>1</c:v>
                </c:pt>
                <c:pt idx="13">
                  <c:v>1</c:v>
                </c:pt>
                <c:pt idx="14">
                  <c:v>1</c:v>
                </c:pt>
                <c:pt idx="15">
                  <c:v>3</c:v>
                </c:pt>
                <c:pt idx="16">
                  <c:v>2</c:v>
                </c:pt>
                <c:pt idx="17">
                  <c:v>1</c:v>
                </c:pt>
                <c:pt idx="18">
                  <c:v>1</c:v>
                </c:pt>
                <c:pt idx="19">
                  <c:v>1</c:v>
                </c:pt>
                <c:pt idx="20">
                  <c:v>1</c:v>
                </c:pt>
                <c:pt idx="21">
                  <c:v>3</c:v>
                </c:pt>
                <c:pt idx="22">
                  <c:v>3</c:v>
                </c:pt>
                <c:pt idx="23">
                  <c:v>3</c:v>
                </c:pt>
                <c:pt idx="24">
                  <c:v>3</c:v>
                </c:pt>
                <c:pt idx="25">
                  <c:v>3</c:v>
                </c:pt>
                <c:pt idx="26">
                  <c:v>4</c:v>
                </c:pt>
                <c:pt idx="27">
                  <c:v>8</c:v>
                </c:pt>
                <c:pt idx="28">
                  <c:v>2</c:v>
                </c:pt>
                <c:pt idx="29">
                  <c:v>3</c:v>
                </c:pt>
                <c:pt idx="30">
                  <c:v>3</c:v>
                </c:pt>
                <c:pt idx="31">
                  <c:v>7</c:v>
                </c:pt>
                <c:pt idx="32">
                  <c:v>13</c:v>
                </c:pt>
                <c:pt idx="33">
                  <c:v>2</c:v>
                </c:pt>
                <c:pt idx="34">
                  <c:v>4</c:v>
                </c:pt>
                <c:pt idx="35">
                  <c:v>11</c:v>
                </c:pt>
                <c:pt idx="36">
                  <c:v>7</c:v>
                </c:pt>
                <c:pt idx="37">
                  <c:v>12</c:v>
                </c:pt>
                <c:pt idx="38">
                  <c:v>14</c:v>
                </c:pt>
                <c:pt idx="39">
                  <c:v>15</c:v>
                </c:pt>
                <c:pt idx="40">
                  <c:v>17</c:v>
                </c:pt>
                <c:pt idx="41">
                  <c:v>20</c:v>
                </c:pt>
                <c:pt idx="42">
                  <c:v>32</c:v>
                </c:pt>
                <c:pt idx="43">
                  <c:v>33</c:v>
                </c:pt>
                <c:pt idx="44">
                  <c:v>41</c:v>
                </c:pt>
                <c:pt idx="45">
                  <c:v>37</c:v>
                </c:pt>
                <c:pt idx="46">
                  <c:v>36</c:v>
                </c:pt>
                <c:pt idx="47">
                  <c:v>44</c:v>
                </c:pt>
                <c:pt idx="48">
                  <c:v>67</c:v>
                </c:pt>
                <c:pt idx="49">
                  <c:v>43</c:v>
                </c:pt>
                <c:pt idx="50">
                  <c:v>88</c:v>
                </c:pt>
                <c:pt idx="51">
                  <c:v>66</c:v>
                </c:pt>
                <c:pt idx="52">
                  <c:v>55</c:v>
                </c:pt>
                <c:pt idx="53">
                  <c:v>55</c:v>
                </c:pt>
                <c:pt idx="54">
                  <c:v>69</c:v>
                </c:pt>
                <c:pt idx="55">
                  <c:v>64</c:v>
                </c:pt>
                <c:pt idx="56">
                  <c:v>51</c:v>
                </c:pt>
                <c:pt idx="57">
                  <c:v>49</c:v>
                </c:pt>
                <c:pt idx="58">
                  <c:v>42</c:v>
                </c:pt>
                <c:pt idx="59">
                  <c:v>44</c:v>
                </c:pt>
                <c:pt idx="60">
                  <c:v>60</c:v>
                </c:pt>
                <c:pt idx="61">
                  <c:v>108</c:v>
                </c:pt>
                <c:pt idx="62">
                  <c:v>85</c:v>
                </c:pt>
                <c:pt idx="63">
                  <c:v>32</c:v>
                </c:pt>
              </c:numCache>
            </c:numRef>
          </c:val>
          <c:smooth val="0"/>
          <c:extLst>
            <c:ext xmlns:c16="http://schemas.microsoft.com/office/drawing/2014/chart" uri="{C3380CC4-5D6E-409C-BE32-E72D297353CC}">
              <c16:uniqueId val="{00000000-C209-43AF-87AE-FEAAEAF02526}"/>
            </c:ext>
          </c:extLst>
        </c:ser>
        <c:dLbls>
          <c:showLegendKey val="0"/>
          <c:showVal val="0"/>
          <c:showCatName val="0"/>
          <c:showSerName val="0"/>
          <c:showPercent val="0"/>
          <c:showBubbleSize val="0"/>
        </c:dLbls>
        <c:smooth val="0"/>
        <c:axId val="1969708527"/>
        <c:axId val="1969734927"/>
      </c:lineChart>
      <c:catAx>
        <c:axId val="1969708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969734927"/>
        <c:crosses val="autoZero"/>
        <c:auto val="1"/>
        <c:lblAlgn val="ctr"/>
        <c:lblOffset val="100"/>
        <c:noMultiLvlLbl val="0"/>
      </c:catAx>
      <c:valAx>
        <c:axId val="1969734927"/>
        <c:scaling>
          <c:orientation val="minMax"/>
        </c:scaling>
        <c:delete val="0"/>
        <c:axPos val="l"/>
        <c:numFmt formatCode="General" sourceLinked="1"/>
        <c:majorTickMark val="out"/>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969708527"/>
        <c:crosses val="autoZero"/>
        <c:crossBetween val="between"/>
      </c:valAx>
      <c:spPr>
        <a:gradFill flip="none" rotWithShape="1">
          <a:gsLst>
            <a:gs pos="0">
              <a:schemeClr val="accent1">
                <a:lumMod val="75000"/>
              </a:schemeClr>
            </a:gs>
            <a:gs pos="100000">
              <a:schemeClr val="accent1">
                <a:lumMod val="30000"/>
                <a:lumOff val="70000"/>
              </a:schemeClr>
            </a:gs>
          </a:gsLst>
          <a:lin ang="10800000" scaled="1"/>
          <a:tileRect/>
        </a:grad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Rec Project .xlsx]Pivot Tables!ptAvgRatingByGenre</c:name>
    <c:fmtId val="12"/>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US" b="1">
                <a:solidFill>
                  <a:schemeClr val="bg1"/>
                </a:solidFill>
              </a:rPr>
              <a:t>🎯 AVG RATING PER GENRE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Tables'!$K$4</c:f>
              <c:strCache>
                <c:ptCount val="1"/>
                <c:pt idx="0">
                  <c:v>Total</c:v>
                </c:pt>
              </c:strCache>
            </c:strRef>
          </c:tx>
          <c:spPr>
            <a:solidFill>
              <a:schemeClr val="bg1"/>
            </a:solidFill>
            <a:ln>
              <a:noFill/>
            </a:ln>
            <a:effectLst/>
          </c:spPr>
          <c:invertIfNegative val="0"/>
          <c:cat>
            <c:strRef>
              <c:f>'Pivot Tables'!$J$5:$J$79</c:f>
              <c:strCache>
                <c:ptCount val="74"/>
                <c:pt idx="0">
                  <c:v>Activity programs in education</c:v>
                </c:pt>
                <c:pt idx="1">
                  <c:v>Africans in literature</c:v>
                </c:pt>
                <c:pt idx="2">
                  <c:v>American literature</c:v>
                </c:pt>
                <c:pt idx="3">
                  <c:v>Antiques &amp; Collectibles</c:v>
                </c:pt>
                <c:pt idx="4">
                  <c:v>Architecture</c:v>
                </c:pt>
                <c:pt idx="5">
                  <c:v>Art</c:v>
                </c:pt>
                <c:pt idx="6">
                  <c:v>Authors, English</c:v>
                </c:pt>
                <c:pt idx="7">
                  <c:v>Bananas</c:v>
                </c:pt>
                <c:pt idx="8">
                  <c:v>Biography &amp; Autobiography</c:v>
                </c:pt>
                <c:pt idx="9">
                  <c:v>Body, Mind &amp; Spirit</c:v>
                </c:pt>
                <c:pt idx="10">
                  <c:v>Business &amp; Economics</c:v>
                </c:pt>
                <c:pt idx="11">
                  <c:v>Canadian fiction</c:v>
                </c:pt>
                <c:pt idx="12">
                  <c:v>Cape Town (South Africa)</c:v>
                </c:pt>
                <c:pt idx="13">
                  <c:v>Cell phones</c:v>
                </c:pt>
                <c:pt idx="14">
                  <c:v>Children</c:v>
                </c:pt>
                <c:pt idx="15">
                  <c:v>Children with visual disabilities</c:v>
                </c:pt>
                <c:pt idx="16">
                  <c:v>Children's stories</c:v>
                </c:pt>
                <c:pt idx="17">
                  <c:v>Children's stories, English</c:v>
                </c:pt>
                <c:pt idx="18">
                  <c:v>Comics &amp; Graphic Novels</c:v>
                </c:pt>
                <c:pt idx="19">
                  <c:v>Computers</c:v>
                </c:pt>
                <c:pt idx="20">
                  <c:v>Cooking</c:v>
                </c:pt>
                <c:pt idx="21">
                  <c:v>Cooking, Indic</c:v>
                </c:pt>
                <c:pt idx="22">
                  <c:v>Crafts &amp; Hobbies</c:v>
                </c:pt>
                <c:pt idx="23">
                  <c:v>Creation in literature</c:v>
                </c:pt>
                <c:pt idx="24">
                  <c:v>Criticism</c:v>
                </c:pt>
                <c:pt idx="25">
                  <c:v>Dance</c:v>
                </c:pt>
                <c:pt idx="26">
                  <c:v>Drama</c:v>
                </c:pt>
                <c:pt idx="27">
                  <c:v>Dystopias in literature</c:v>
                </c:pt>
                <c:pt idx="28">
                  <c:v>Education</c:v>
                </c:pt>
                <c:pt idx="29">
                  <c:v>Electronic data processing</c:v>
                </c:pt>
                <c:pt idx="30">
                  <c:v>English literature</c:v>
                </c:pt>
                <c:pt idx="31">
                  <c:v>Ethics</c:v>
                </c:pt>
                <c:pt idx="32">
                  <c:v>Family &amp; Relationships</c:v>
                </c:pt>
                <c:pt idx="33">
                  <c:v>Fantasy fiction, English</c:v>
                </c:pt>
                <c:pt idx="34">
                  <c:v>Fiction</c:v>
                </c:pt>
                <c:pt idx="35">
                  <c:v>Foreign Language Study</c:v>
                </c:pt>
                <c:pt idx="36">
                  <c:v>Games &amp; Activities</c:v>
                </c:pt>
                <c:pt idx="37">
                  <c:v>Groton (Mass. : Town)</c:v>
                </c:pt>
                <c:pt idx="38">
                  <c:v>Health &amp; Fitness</c:v>
                </c:pt>
                <c:pt idx="39">
                  <c:v>History</c:v>
                </c:pt>
                <c:pt idx="40">
                  <c:v>Hospitality industry</c:v>
                </c:pt>
                <c:pt idx="41">
                  <c:v>Humanism in literature</c:v>
                </c:pt>
                <c:pt idx="42">
                  <c:v>Humor</c:v>
                </c:pt>
                <c:pt idx="43">
                  <c:v>Investing</c:v>
                </c:pt>
                <c:pt idx="44">
                  <c:v>Juvenile Fiction</c:v>
                </c:pt>
                <c:pt idx="45">
                  <c:v>Juvenile Nonfiction</c:v>
                </c:pt>
                <c:pt idx="46">
                  <c:v>Language Arts &amp; Disciplines</c:v>
                </c:pt>
                <c:pt idx="47">
                  <c:v>Law</c:v>
                </c:pt>
                <c:pt idx="48">
                  <c:v>Literary Collections</c:v>
                </c:pt>
                <c:pt idx="49">
                  <c:v>Literary Criticism</c:v>
                </c:pt>
                <c:pt idx="50">
                  <c:v>Mathematics</c:v>
                </c:pt>
                <c:pt idx="51">
                  <c:v>Medical</c:v>
                </c:pt>
                <c:pt idx="52">
                  <c:v>Monsters in literature</c:v>
                </c:pt>
                <c:pt idx="53">
                  <c:v>Music</c:v>
                </c:pt>
                <c:pt idx="54">
                  <c:v>Nature</c:v>
                </c:pt>
                <c:pt idx="55">
                  <c:v>Performing Arts</c:v>
                </c:pt>
                <c:pt idx="56">
                  <c:v>Personal Finance</c:v>
                </c:pt>
                <c:pt idx="57">
                  <c:v>Philosophy</c:v>
                </c:pt>
                <c:pt idx="58">
                  <c:v>Photography</c:v>
                </c:pt>
                <c:pt idx="59">
                  <c:v>Poetry</c:v>
                </c:pt>
                <c:pt idx="60">
                  <c:v>Political Science</c:v>
                </c:pt>
                <c:pt idx="61">
                  <c:v>Psychology</c:v>
                </c:pt>
                <c:pt idx="62">
                  <c:v>Reference</c:v>
                </c:pt>
                <c:pt idx="63">
                  <c:v>Religion</c:v>
                </c:pt>
                <c:pt idx="64">
                  <c:v>Science</c:v>
                </c:pt>
                <c:pt idx="65">
                  <c:v>Self-Help</c:v>
                </c:pt>
                <c:pt idx="66">
                  <c:v>Social Science</c:v>
                </c:pt>
                <c:pt idx="67">
                  <c:v>Sonnets, English</c:v>
                </c:pt>
                <c:pt idx="68">
                  <c:v>Sports &amp; Recreation</c:v>
                </c:pt>
                <c:pt idx="69">
                  <c:v>Study Aids</c:v>
                </c:pt>
                <c:pt idx="70">
                  <c:v>Technology &amp; Engineering</c:v>
                </c:pt>
                <c:pt idx="71">
                  <c:v>Travel</c:v>
                </c:pt>
                <c:pt idx="72">
                  <c:v>Young Adult Fiction</c:v>
                </c:pt>
                <c:pt idx="73">
                  <c:v>Young Adult Nonfiction</c:v>
                </c:pt>
              </c:strCache>
            </c:strRef>
          </c:cat>
          <c:val>
            <c:numRef>
              <c:f>'Pivot Tables'!$K$5:$K$79</c:f>
              <c:numCache>
                <c:formatCode>0.0</c:formatCode>
                <c:ptCount val="74"/>
                <c:pt idx="0">
                  <c:v>0</c:v>
                </c:pt>
                <c:pt idx="1">
                  <c:v>0</c:v>
                </c:pt>
                <c:pt idx="2">
                  <c:v>4</c:v>
                </c:pt>
                <c:pt idx="3">
                  <c:v>0</c:v>
                </c:pt>
                <c:pt idx="4">
                  <c:v>0</c:v>
                </c:pt>
                <c:pt idx="5">
                  <c:v>0.22580645161290322</c:v>
                </c:pt>
                <c:pt idx="6">
                  <c:v>0</c:v>
                </c:pt>
                <c:pt idx="7">
                  <c:v>0</c:v>
                </c:pt>
                <c:pt idx="8">
                  <c:v>0.41818181818181815</c:v>
                </c:pt>
                <c:pt idx="9">
                  <c:v>0</c:v>
                </c:pt>
                <c:pt idx="10">
                  <c:v>0.58139534883720934</c:v>
                </c:pt>
                <c:pt idx="11">
                  <c:v>0</c:v>
                </c:pt>
                <c:pt idx="12">
                  <c:v>0</c:v>
                </c:pt>
                <c:pt idx="13">
                  <c:v>4</c:v>
                </c:pt>
                <c:pt idx="14">
                  <c:v>3</c:v>
                </c:pt>
                <c:pt idx="15">
                  <c:v>0</c:v>
                </c:pt>
                <c:pt idx="16">
                  <c:v>4.5</c:v>
                </c:pt>
                <c:pt idx="17">
                  <c:v>5</c:v>
                </c:pt>
                <c:pt idx="18">
                  <c:v>0</c:v>
                </c:pt>
                <c:pt idx="19">
                  <c:v>0.84090909090909094</c:v>
                </c:pt>
                <c:pt idx="20">
                  <c:v>0</c:v>
                </c:pt>
                <c:pt idx="21">
                  <c:v>5</c:v>
                </c:pt>
                <c:pt idx="22">
                  <c:v>0</c:v>
                </c:pt>
                <c:pt idx="23">
                  <c:v>0</c:v>
                </c:pt>
                <c:pt idx="24">
                  <c:v>0</c:v>
                </c:pt>
                <c:pt idx="25">
                  <c:v>0</c:v>
                </c:pt>
                <c:pt idx="26">
                  <c:v>0.78947368421052633</c:v>
                </c:pt>
                <c:pt idx="27">
                  <c:v>2</c:v>
                </c:pt>
                <c:pt idx="28">
                  <c:v>0.26470588235294118</c:v>
                </c:pt>
                <c:pt idx="29">
                  <c:v>0</c:v>
                </c:pt>
                <c:pt idx="30">
                  <c:v>0</c:v>
                </c:pt>
                <c:pt idx="31">
                  <c:v>0</c:v>
                </c:pt>
                <c:pt idx="32">
                  <c:v>1.2</c:v>
                </c:pt>
                <c:pt idx="33">
                  <c:v>4</c:v>
                </c:pt>
                <c:pt idx="34">
                  <c:v>0.73318385650224216</c:v>
                </c:pt>
                <c:pt idx="35">
                  <c:v>0</c:v>
                </c:pt>
                <c:pt idx="36">
                  <c:v>1.25</c:v>
                </c:pt>
                <c:pt idx="37">
                  <c:v>0</c:v>
                </c:pt>
                <c:pt idx="38">
                  <c:v>0.125</c:v>
                </c:pt>
                <c:pt idx="39">
                  <c:v>0.12820512820512819</c:v>
                </c:pt>
                <c:pt idx="40">
                  <c:v>5</c:v>
                </c:pt>
                <c:pt idx="41">
                  <c:v>0</c:v>
                </c:pt>
                <c:pt idx="42">
                  <c:v>1.7</c:v>
                </c:pt>
                <c:pt idx="43">
                  <c:v>4.2166666666666659</c:v>
                </c:pt>
                <c:pt idx="44">
                  <c:v>0.68888888888888888</c:v>
                </c:pt>
                <c:pt idx="45">
                  <c:v>0.32926829268292684</c:v>
                </c:pt>
                <c:pt idx="46">
                  <c:v>0.39393939393939392</c:v>
                </c:pt>
                <c:pt idx="47">
                  <c:v>0.33333333333333331</c:v>
                </c:pt>
                <c:pt idx="48">
                  <c:v>0.5</c:v>
                </c:pt>
                <c:pt idx="49">
                  <c:v>0.54678362573099415</c:v>
                </c:pt>
                <c:pt idx="50">
                  <c:v>0.5</c:v>
                </c:pt>
                <c:pt idx="51">
                  <c:v>0.65625</c:v>
                </c:pt>
                <c:pt idx="52">
                  <c:v>0</c:v>
                </c:pt>
                <c:pt idx="53">
                  <c:v>0</c:v>
                </c:pt>
                <c:pt idx="54">
                  <c:v>0.5714285714285714</c:v>
                </c:pt>
                <c:pt idx="55">
                  <c:v>2.3255813953488372E-2</c:v>
                </c:pt>
                <c:pt idx="56">
                  <c:v>4.1454545454545446</c:v>
                </c:pt>
                <c:pt idx="57">
                  <c:v>0.77142857142857146</c:v>
                </c:pt>
                <c:pt idx="58">
                  <c:v>0</c:v>
                </c:pt>
                <c:pt idx="59">
                  <c:v>0.5714285714285714</c:v>
                </c:pt>
                <c:pt idx="60">
                  <c:v>0.66666666666666663</c:v>
                </c:pt>
                <c:pt idx="61">
                  <c:v>0.2558139534883721</c:v>
                </c:pt>
                <c:pt idx="62">
                  <c:v>0.35714285714285715</c:v>
                </c:pt>
                <c:pt idx="63">
                  <c:v>0.23684210526315788</c:v>
                </c:pt>
                <c:pt idx="64">
                  <c:v>0.63235294117647056</c:v>
                </c:pt>
                <c:pt idx="65">
                  <c:v>2.6437499999999998</c:v>
                </c:pt>
                <c:pt idx="66">
                  <c:v>0.15833333333333333</c:v>
                </c:pt>
                <c:pt idx="67">
                  <c:v>5</c:v>
                </c:pt>
                <c:pt idx="68">
                  <c:v>1.125</c:v>
                </c:pt>
                <c:pt idx="69">
                  <c:v>0</c:v>
                </c:pt>
                <c:pt idx="70">
                  <c:v>0.40322580645161288</c:v>
                </c:pt>
                <c:pt idx="71">
                  <c:v>0</c:v>
                </c:pt>
                <c:pt idx="72">
                  <c:v>0.63888888888888884</c:v>
                </c:pt>
                <c:pt idx="73">
                  <c:v>0.75</c:v>
                </c:pt>
              </c:numCache>
            </c:numRef>
          </c:val>
          <c:extLst>
            <c:ext xmlns:c16="http://schemas.microsoft.com/office/drawing/2014/chart" uri="{C3380CC4-5D6E-409C-BE32-E72D297353CC}">
              <c16:uniqueId val="{00000000-0CF3-448A-939D-5C363109F9F5}"/>
            </c:ext>
          </c:extLst>
        </c:ser>
        <c:dLbls>
          <c:showLegendKey val="0"/>
          <c:showVal val="0"/>
          <c:showCatName val="0"/>
          <c:showSerName val="0"/>
          <c:showPercent val="0"/>
          <c:showBubbleSize val="0"/>
        </c:dLbls>
        <c:gapWidth val="30"/>
        <c:overlap val="5"/>
        <c:axId val="1969692687"/>
        <c:axId val="1969693167"/>
      </c:barChart>
      <c:catAx>
        <c:axId val="19696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969693167"/>
        <c:crosses val="autoZero"/>
        <c:auto val="1"/>
        <c:lblAlgn val="ctr"/>
        <c:lblOffset val="100"/>
        <c:noMultiLvlLbl val="0"/>
      </c:catAx>
      <c:valAx>
        <c:axId val="1969693167"/>
        <c:scaling>
          <c:orientation val="minMax"/>
          <c:max val="5"/>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969692687"/>
        <c:crosses val="autoZero"/>
        <c:crossBetween val="between"/>
        <c:majorUnit val="1"/>
      </c:valAx>
      <c:spPr>
        <a:gradFill>
          <a:gsLst>
            <a:gs pos="0">
              <a:schemeClr val="accent1">
                <a:lumMod val="75000"/>
              </a:schemeClr>
            </a:gs>
            <a:gs pos="100000">
              <a:schemeClr val="accent1">
                <a:lumMod val="30000"/>
                <a:lumOff val="70000"/>
              </a:schemeClr>
            </a:gs>
          </a:gsLst>
          <a:lin ang="10800000" scaled="1"/>
        </a:grad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Rec Project .xlsx]Pivot Tables!ptTopAuthors</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 TOP 10 AUTHORS BY BOOK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Tables'!$N$4</c:f>
              <c:strCache>
                <c:ptCount val="1"/>
                <c:pt idx="0">
                  <c:v>Total</c:v>
                </c:pt>
              </c:strCache>
            </c:strRef>
          </c:tx>
          <c:spPr>
            <a:solidFill>
              <a:schemeClr val="bg1"/>
            </a:solidFill>
            <a:ln>
              <a:noFill/>
            </a:ln>
            <a:effectLst/>
          </c:spPr>
          <c:invertIfNegative val="0"/>
          <c:cat>
            <c:strRef>
              <c:f>'Pivot Tables'!$M$5:$M$16</c:f>
              <c:strCache>
                <c:ptCount val="11"/>
                <c:pt idx="0">
                  <c:v>Stephen King</c:v>
                </c:pt>
                <c:pt idx="1">
                  <c:v>Agatha Christie</c:v>
                </c:pt>
                <c:pt idx="2">
                  <c:v>Dan Brown</c:v>
                </c:pt>
                <c:pt idx="3">
                  <c:v>Sir Arthur Conan Doyle</c:v>
                </c:pt>
                <c:pt idx="4">
                  <c:v>Arthur Conan Doyle</c:v>
                </c:pt>
                <c:pt idx="5">
                  <c:v>George Orwell</c:v>
                </c:pt>
                <c:pt idx="6">
                  <c:v>Harold Bloom</c:v>
                </c:pt>
                <c:pt idx="7">
                  <c:v>Lewis Carroll</c:v>
                </c:pt>
                <c:pt idx="8">
                  <c:v>Suzanne Collins</c:v>
                </c:pt>
                <c:pt idx="9">
                  <c:v>Carole Marsh</c:v>
                </c:pt>
                <c:pt idx="10">
                  <c:v>Blake Pierce</c:v>
                </c:pt>
              </c:strCache>
            </c:strRef>
          </c:cat>
          <c:val>
            <c:numRef>
              <c:f>'Pivot Tables'!$N$5:$N$16</c:f>
              <c:numCache>
                <c:formatCode>General</c:formatCode>
                <c:ptCount val="11"/>
                <c:pt idx="0">
                  <c:v>22</c:v>
                </c:pt>
                <c:pt idx="1">
                  <c:v>22</c:v>
                </c:pt>
                <c:pt idx="2">
                  <c:v>21</c:v>
                </c:pt>
                <c:pt idx="3">
                  <c:v>11</c:v>
                </c:pt>
                <c:pt idx="4">
                  <c:v>11</c:v>
                </c:pt>
                <c:pt idx="5">
                  <c:v>11</c:v>
                </c:pt>
                <c:pt idx="6">
                  <c:v>9</c:v>
                </c:pt>
                <c:pt idx="7">
                  <c:v>9</c:v>
                </c:pt>
                <c:pt idx="8">
                  <c:v>8</c:v>
                </c:pt>
                <c:pt idx="9">
                  <c:v>7</c:v>
                </c:pt>
                <c:pt idx="10">
                  <c:v>7</c:v>
                </c:pt>
              </c:numCache>
            </c:numRef>
          </c:val>
          <c:extLst>
            <c:ext xmlns:c16="http://schemas.microsoft.com/office/drawing/2014/chart" uri="{C3380CC4-5D6E-409C-BE32-E72D297353CC}">
              <c16:uniqueId val="{00000000-652A-4BE0-8861-EAD40D193F5B}"/>
            </c:ext>
          </c:extLst>
        </c:ser>
        <c:dLbls>
          <c:showLegendKey val="0"/>
          <c:showVal val="0"/>
          <c:showCatName val="0"/>
          <c:showSerName val="0"/>
          <c:showPercent val="0"/>
          <c:showBubbleSize val="0"/>
        </c:dLbls>
        <c:gapWidth val="219"/>
        <c:overlap val="-27"/>
        <c:axId val="463533680"/>
        <c:axId val="463519280"/>
      </c:barChart>
      <c:catAx>
        <c:axId val="46353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63519280"/>
        <c:crosses val="autoZero"/>
        <c:auto val="1"/>
        <c:lblAlgn val="ctr"/>
        <c:lblOffset val="100"/>
        <c:noMultiLvlLbl val="0"/>
      </c:catAx>
      <c:valAx>
        <c:axId val="46351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63533680"/>
        <c:crosses val="autoZero"/>
        <c:crossBetween val="between"/>
      </c:valAx>
      <c:spPr>
        <a:gradFill>
          <a:gsLst>
            <a:gs pos="0">
              <a:schemeClr val="accent1">
                <a:lumMod val="75000"/>
              </a:schemeClr>
            </a:gs>
            <a:gs pos="100000">
              <a:schemeClr val="accent1">
                <a:lumMod val="30000"/>
                <a:lumOff val="70000"/>
              </a:schemeClr>
            </a:gs>
          </a:gsLst>
          <a:lin ang="10800000" scaled="1"/>
        </a:gradFill>
        <a:ln>
          <a:solidFill>
            <a:schemeClr val="bg1">
              <a:lumMod val="9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Rec Project .xlsx]Pivot Tables!ptLanguageBreakdown</c:name>
    <c:fmtId val="5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 LANGUAGE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Tables'!$R$4</c:f>
              <c:strCache>
                <c:ptCount val="1"/>
                <c:pt idx="0">
                  <c:v>Total</c:v>
                </c:pt>
              </c:strCache>
            </c:strRef>
          </c:tx>
          <c:spPr>
            <a:solidFill>
              <a:schemeClr val="bg1"/>
            </a:solidFill>
            <a:ln>
              <a:noFill/>
            </a:ln>
            <a:effectLst/>
          </c:spPr>
          <c:invertIfNegative val="0"/>
          <c:cat>
            <c:strRef>
              <c:f>'Pivot Tables'!$Q$5:$Q$24</c:f>
              <c:strCache>
                <c:ptCount val="19"/>
                <c:pt idx="0">
                  <c:v>cs</c:v>
                </c:pt>
                <c:pt idx="1">
                  <c:v>el</c:v>
                </c:pt>
                <c:pt idx="2">
                  <c:v>en</c:v>
                </c:pt>
                <c:pt idx="3">
                  <c:v>es</c:v>
                </c:pt>
                <c:pt idx="4">
                  <c:v>fr</c:v>
                </c:pt>
                <c:pt idx="5">
                  <c:v>hi</c:v>
                </c:pt>
                <c:pt idx="6">
                  <c:v>hu</c:v>
                </c:pt>
                <c:pt idx="7">
                  <c:v>id</c:v>
                </c:pt>
                <c:pt idx="8">
                  <c:v>it</c:v>
                </c:pt>
                <c:pt idx="9">
                  <c:v>ko</c:v>
                </c:pt>
                <c:pt idx="10">
                  <c:v>mr</c:v>
                </c:pt>
                <c:pt idx="11">
                  <c:v>ms</c:v>
                </c:pt>
                <c:pt idx="12">
                  <c:v>ne</c:v>
                </c:pt>
                <c:pt idx="13">
                  <c:v>no</c:v>
                </c:pt>
                <c:pt idx="14">
                  <c:v>pl</c:v>
                </c:pt>
                <c:pt idx="15">
                  <c:v>pt</c:v>
                </c:pt>
                <c:pt idx="16">
                  <c:v>sv</c:v>
                </c:pt>
                <c:pt idx="17">
                  <c:v>tr</c:v>
                </c:pt>
                <c:pt idx="18">
                  <c:v>zh-TW</c:v>
                </c:pt>
              </c:strCache>
            </c:strRef>
          </c:cat>
          <c:val>
            <c:numRef>
              <c:f>'Pivot Tables'!$R$5:$R$24</c:f>
              <c:numCache>
                <c:formatCode>General</c:formatCode>
                <c:ptCount val="19"/>
                <c:pt idx="0">
                  <c:v>3</c:v>
                </c:pt>
                <c:pt idx="1">
                  <c:v>2</c:v>
                </c:pt>
                <c:pt idx="2">
                  <c:v>1311</c:v>
                </c:pt>
                <c:pt idx="3">
                  <c:v>10</c:v>
                </c:pt>
                <c:pt idx="4">
                  <c:v>2</c:v>
                </c:pt>
                <c:pt idx="5">
                  <c:v>1</c:v>
                </c:pt>
                <c:pt idx="6">
                  <c:v>1</c:v>
                </c:pt>
                <c:pt idx="7">
                  <c:v>19</c:v>
                </c:pt>
                <c:pt idx="8">
                  <c:v>13</c:v>
                </c:pt>
                <c:pt idx="9">
                  <c:v>1</c:v>
                </c:pt>
                <c:pt idx="10">
                  <c:v>1</c:v>
                </c:pt>
                <c:pt idx="11">
                  <c:v>2</c:v>
                </c:pt>
                <c:pt idx="12">
                  <c:v>1</c:v>
                </c:pt>
                <c:pt idx="13">
                  <c:v>2</c:v>
                </c:pt>
                <c:pt idx="14">
                  <c:v>1</c:v>
                </c:pt>
                <c:pt idx="15">
                  <c:v>7</c:v>
                </c:pt>
                <c:pt idx="16">
                  <c:v>1</c:v>
                </c:pt>
                <c:pt idx="17">
                  <c:v>4</c:v>
                </c:pt>
                <c:pt idx="18">
                  <c:v>1</c:v>
                </c:pt>
              </c:numCache>
            </c:numRef>
          </c:val>
          <c:extLst>
            <c:ext xmlns:c16="http://schemas.microsoft.com/office/drawing/2014/chart" uri="{C3380CC4-5D6E-409C-BE32-E72D297353CC}">
              <c16:uniqueId val="{00000000-C104-4A79-A737-70772FD8822E}"/>
            </c:ext>
          </c:extLst>
        </c:ser>
        <c:dLbls>
          <c:showLegendKey val="0"/>
          <c:showVal val="0"/>
          <c:showCatName val="0"/>
          <c:showSerName val="0"/>
          <c:showPercent val="0"/>
          <c:showBubbleSize val="0"/>
        </c:dLbls>
        <c:gapWidth val="70"/>
        <c:axId val="968210896"/>
        <c:axId val="968211856"/>
      </c:barChart>
      <c:catAx>
        <c:axId val="96821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68211856"/>
        <c:crosses val="autoZero"/>
        <c:auto val="1"/>
        <c:lblAlgn val="ctr"/>
        <c:lblOffset val="100"/>
        <c:noMultiLvlLbl val="0"/>
      </c:catAx>
      <c:valAx>
        <c:axId val="968211856"/>
        <c:scaling>
          <c:logBase val="10"/>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68210896"/>
        <c:crosses val="autoZero"/>
        <c:crossBetween val="between"/>
      </c:valAx>
      <c:spPr>
        <a:gradFill>
          <a:gsLst>
            <a:gs pos="0">
              <a:schemeClr val="accent1">
                <a:lumMod val="75000"/>
              </a:schemeClr>
            </a:gs>
            <a:gs pos="100000">
              <a:schemeClr val="accent1">
                <a:lumMod val="30000"/>
                <a:lumOff val="70000"/>
              </a:schemeClr>
            </a:gs>
          </a:gsLst>
          <a:lin ang="10800000" scaled="1"/>
        </a:grad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Rec Project .xlsx]Pivot Tables!ptEngagement</c:name>
    <c:fmtId val="5"/>
  </c:pivotSource>
  <c:chart>
    <c:title>
      <c:tx>
        <c:rich>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r>
              <a:rPr lang="en-US" sz="1400" b="1">
                <a:solidFill>
                  <a:schemeClr val="bg1"/>
                </a:solidFill>
              </a:rPr>
              <a:t>🔥 ENGAGEMENT SCORE</a:t>
            </a:r>
          </a:p>
        </c:rich>
      </c:tx>
      <c:layout>
        <c:manualLayout>
          <c:xMode val="edge"/>
          <c:yMode val="edge"/>
          <c:x val="0.38739299569748253"/>
          <c:y val="2.198518559552402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Tables'!$V$4</c:f>
              <c:strCache>
                <c:ptCount val="1"/>
                <c:pt idx="0">
                  <c:v>Total</c:v>
                </c:pt>
              </c:strCache>
            </c:strRef>
          </c:tx>
          <c:spPr>
            <a:solidFill>
              <a:schemeClr val="bg1"/>
            </a:solidFill>
            <a:ln>
              <a:noFill/>
            </a:ln>
            <a:effectLst/>
          </c:spPr>
          <c:invertIfNegative val="0"/>
          <c:cat>
            <c:strRef>
              <c:f>'Pivot Tables'!$U$5:$U$15</c:f>
              <c:strCache>
                <c:ptCount val="10"/>
                <c:pt idx="0">
                  <c:v>Rich Dad Poor Dad</c:v>
                </c:pt>
                <c:pt idx="1">
                  <c:v>Atomic Habits</c:v>
                </c:pt>
                <c:pt idx="2">
                  <c:v>The 7 Habits of Highly Effective People</c:v>
                </c:pt>
                <c:pt idx="3">
                  <c:v>Think and Grow Rich</c:v>
                </c:pt>
                <c:pt idx="4">
                  <c:v>The Richest Man in Babylon</c:v>
                </c:pt>
                <c:pt idx="5">
                  <c:v>The Total Money Makeover</c:v>
                </c:pt>
                <c:pt idx="6">
                  <c:v>The 4-Hour Workweek</c:v>
                </c:pt>
                <c:pt idx="7">
                  <c:v>Mindset: The New Psychology of Success</c:v>
                </c:pt>
                <c:pt idx="8">
                  <c:v>The Millionaire Next Door</c:v>
                </c:pt>
                <c:pt idx="9">
                  <c:v>The Psychology of Money</c:v>
                </c:pt>
              </c:strCache>
            </c:strRef>
          </c:cat>
          <c:val>
            <c:numRef>
              <c:f>'Pivot Tables'!$V$5:$V$15</c:f>
              <c:numCache>
                <c:formatCode>General</c:formatCode>
                <c:ptCount val="10"/>
                <c:pt idx="0">
                  <c:v>4099999.9999999995</c:v>
                </c:pt>
                <c:pt idx="1">
                  <c:v>3080000.0000000005</c:v>
                </c:pt>
                <c:pt idx="2">
                  <c:v>2940000</c:v>
                </c:pt>
                <c:pt idx="3">
                  <c:v>2580000</c:v>
                </c:pt>
                <c:pt idx="4">
                  <c:v>1720000</c:v>
                </c:pt>
                <c:pt idx="5">
                  <c:v>1680000</c:v>
                </c:pt>
                <c:pt idx="6">
                  <c:v>1639999.9999999998</c:v>
                </c:pt>
                <c:pt idx="7">
                  <c:v>1260000</c:v>
                </c:pt>
                <c:pt idx="8">
                  <c:v>1230000</c:v>
                </c:pt>
                <c:pt idx="9">
                  <c:v>1075000</c:v>
                </c:pt>
              </c:numCache>
            </c:numRef>
          </c:val>
          <c:extLst>
            <c:ext xmlns:c16="http://schemas.microsoft.com/office/drawing/2014/chart" uri="{C3380CC4-5D6E-409C-BE32-E72D297353CC}">
              <c16:uniqueId val="{00000000-F7A5-4DAC-B0EB-F3767F429397}"/>
            </c:ext>
          </c:extLst>
        </c:ser>
        <c:dLbls>
          <c:showLegendKey val="0"/>
          <c:showVal val="0"/>
          <c:showCatName val="0"/>
          <c:showSerName val="0"/>
          <c:showPercent val="0"/>
          <c:showBubbleSize val="0"/>
        </c:dLbls>
        <c:gapWidth val="102"/>
        <c:axId val="1861667456"/>
        <c:axId val="1861680896"/>
      </c:barChart>
      <c:catAx>
        <c:axId val="186166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861680896"/>
        <c:crosses val="autoZero"/>
        <c:auto val="1"/>
        <c:lblAlgn val="ctr"/>
        <c:lblOffset val="100"/>
        <c:noMultiLvlLbl val="0"/>
      </c:catAx>
      <c:valAx>
        <c:axId val="1861680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861667456"/>
        <c:crosses val="autoZero"/>
        <c:crossBetween val="between"/>
      </c:valAx>
      <c:spPr>
        <a:gradFill>
          <a:gsLst>
            <a:gs pos="0">
              <a:schemeClr val="accent1">
                <a:lumMod val="75000"/>
              </a:schemeClr>
            </a:gs>
            <a:gs pos="100000">
              <a:schemeClr val="accent1">
                <a:lumMod val="30000"/>
                <a:lumOff val="70000"/>
              </a:schemeClr>
            </a:gs>
          </a:gsLst>
          <a:lin ang="10800000" scaled="1"/>
        </a:gradFill>
        <a:ln>
          <a:solidFill>
            <a:schemeClr val="bg1">
              <a:lumMod val="9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428625</xdr:colOff>
      <xdr:row>22</xdr:row>
      <xdr:rowOff>9525</xdr:rowOff>
    </xdr:from>
    <xdr:to>
      <xdr:col>4</xdr:col>
      <xdr:colOff>238125</xdr:colOff>
      <xdr:row>25</xdr:row>
      <xdr:rowOff>85725</xdr:rowOff>
    </xdr:to>
    <xdr:sp macro="" textlink="">
      <xdr:nvSpPr>
        <xdr:cNvPr id="2" name="Arrow: Up 1">
          <a:extLst>
            <a:ext uri="{FF2B5EF4-FFF2-40B4-BE49-F238E27FC236}">
              <a16:creationId xmlns:a16="http://schemas.microsoft.com/office/drawing/2014/main" id="{0D617EE8-DF03-B66C-D243-EA58CA55DE1F}"/>
            </a:ext>
          </a:extLst>
        </xdr:cNvPr>
        <xdr:cNvSpPr/>
      </xdr:nvSpPr>
      <xdr:spPr>
        <a:xfrm>
          <a:off x="2257425" y="4752975"/>
          <a:ext cx="476250" cy="647700"/>
        </a:xfrm>
        <a:prstGeom prst="up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914400</xdr:colOff>
      <xdr:row>22</xdr:row>
      <xdr:rowOff>28575</xdr:rowOff>
    </xdr:from>
    <xdr:to>
      <xdr:col>13</xdr:col>
      <xdr:colOff>257175</xdr:colOff>
      <xdr:row>25</xdr:row>
      <xdr:rowOff>104775</xdr:rowOff>
    </xdr:to>
    <xdr:sp macro="" textlink="">
      <xdr:nvSpPr>
        <xdr:cNvPr id="3" name="Arrow: Up 2">
          <a:extLst>
            <a:ext uri="{FF2B5EF4-FFF2-40B4-BE49-F238E27FC236}">
              <a16:creationId xmlns:a16="http://schemas.microsoft.com/office/drawing/2014/main" id="{9A8068F6-9BB1-4FDD-B132-DC09230A84D6}"/>
            </a:ext>
          </a:extLst>
        </xdr:cNvPr>
        <xdr:cNvSpPr/>
      </xdr:nvSpPr>
      <xdr:spPr>
        <a:xfrm>
          <a:off x="8391525" y="4772025"/>
          <a:ext cx="476250" cy="647700"/>
        </a:xfrm>
        <a:prstGeom prst="up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13</xdr:row>
      <xdr:rowOff>104775</xdr:rowOff>
    </xdr:from>
    <xdr:to>
      <xdr:col>3</xdr:col>
      <xdr:colOff>9525</xdr:colOff>
      <xdr:row>15</xdr:row>
      <xdr:rowOff>28575</xdr:rowOff>
    </xdr:to>
    <xdr:sp macro="" textlink="">
      <xdr:nvSpPr>
        <xdr:cNvPr id="2" name="Arrow: Right 1">
          <a:extLst>
            <a:ext uri="{FF2B5EF4-FFF2-40B4-BE49-F238E27FC236}">
              <a16:creationId xmlns:a16="http://schemas.microsoft.com/office/drawing/2014/main" id="{DB5AAA37-4431-9374-8A5D-92E8628E4E4E}"/>
            </a:ext>
          </a:extLst>
        </xdr:cNvPr>
        <xdr:cNvSpPr/>
      </xdr:nvSpPr>
      <xdr:spPr>
        <a:xfrm>
          <a:off x="1333500" y="2905125"/>
          <a:ext cx="504825" cy="304800"/>
        </a:xfrm>
        <a:prstGeom prst="right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1866279</xdr:colOff>
      <xdr:row>36</xdr:row>
      <xdr:rowOff>166958</xdr:rowOff>
    </xdr:from>
    <xdr:ext cx="1820890" cy="2770517"/>
    <mc:AlternateContent xmlns:mc="http://schemas.openxmlformats.org/markup-compatibility/2006" xmlns:a14="http://schemas.microsoft.com/office/drawing/2010/main">
      <mc:Choice Requires="a14">
        <xdr:graphicFrame macro="">
          <xdr:nvGraphicFramePr>
            <xdr:cNvPr id="4" name="GENRE">
              <a:extLst>
                <a:ext uri="{FF2B5EF4-FFF2-40B4-BE49-F238E27FC236}">
                  <a16:creationId xmlns:a16="http://schemas.microsoft.com/office/drawing/2014/main" id="{36C6721D-5DBF-41B8-9BB8-B11E41239E9B}"/>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1037493" y="7024958"/>
              <a:ext cx="1820890" cy="2770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7</xdr:col>
      <xdr:colOff>202223</xdr:colOff>
      <xdr:row>37</xdr:row>
      <xdr:rowOff>6829</xdr:rowOff>
    </xdr:from>
    <xdr:ext cx="1840547" cy="2745096"/>
    <mc:AlternateContent xmlns:mc="http://schemas.openxmlformats.org/markup-compatibility/2006" xmlns:a14="http://schemas.microsoft.com/office/drawing/2010/main">
      <mc:Choice Requires="a14">
        <xdr:graphicFrame macro="">
          <xdr:nvGraphicFramePr>
            <xdr:cNvPr id="36" name="YEAR">
              <a:extLst>
                <a:ext uri="{FF2B5EF4-FFF2-40B4-BE49-F238E27FC236}">
                  <a16:creationId xmlns:a16="http://schemas.microsoft.com/office/drawing/2014/main" id="{77E08DF1-1EA6-431A-98EE-76647DADA08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855866" y="7055329"/>
              <a:ext cx="1840547" cy="2745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21</xdr:col>
      <xdr:colOff>39708</xdr:colOff>
      <xdr:row>37</xdr:row>
      <xdr:rowOff>40867</xdr:rowOff>
    </xdr:from>
    <xdr:ext cx="1826751" cy="2770516"/>
    <mc:AlternateContent xmlns:mc="http://schemas.openxmlformats.org/markup-compatibility/2006" xmlns:a14="http://schemas.microsoft.com/office/drawing/2010/main">
      <mc:Choice Requires="a14">
        <xdr:graphicFrame macro="">
          <xdr:nvGraphicFramePr>
            <xdr:cNvPr id="37" name="RATING TIER">
              <a:extLst>
                <a:ext uri="{FF2B5EF4-FFF2-40B4-BE49-F238E27FC236}">
                  <a16:creationId xmlns:a16="http://schemas.microsoft.com/office/drawing/2014/main" id="{BFE76B76-80F2-48CB-A562-9D596B71DD55}"/>
                </a:ext>
              </a:extLst>
            </xdr:cNvPr>
            <xdr:cNvGraphicFramePr/>
          </xdr:nvGraphicFramePr>
          <xdr:xfrm>
            <a:off x="0" y="0"/>
            <a:ext cx="0" cy="0"/>
          </xdr:xfrm>
          <a:graphic>
            <a:graphicData uri="http://schemas.microsoft.com/office/drawing/2010/slicer">
              <sle:slicer xmlns:sle="http://schemas.microsoft.com/office/drawing/2010/slicer" name="RATING TIER"/>
            </a:graphicData>
          </a:graphic>
        </xdr:graphicFrame>
      </mc:Choice>
      <mc:Fallback xmlns="">
        <xdr:sp macro="" textlink="">
          <xdr:nvSpPr>
            <xdr:cNvPr id="0" name=""/>
            <xdr:cNvSpPr>
              <a:spLocks noTextEdit="1"/>
            </xdr:cNvSpPr>
          </xdr:nvSpPr>
          <xdr:spPr>
            <a:xfrm>
              <a:off x="16830922" y="7089367"/>
              <a:ext cx="1826751" cy="2770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30</xdr:col>
      <xdr:colOff>524539</xdr:colOff>
      <xdr:row>37</xdr:row>
      <xdr:rowOff>5746</xdr:rowOff>
    </xdr:from>
    <xdr:ext cx="1826751" cy="2764846"/>
    <mc:AlternateContent xmlns:mc="http://schemas.openxmlformats.org/markup-compatibility/2006" xmlns:a14="http://schemas.microsoft.com/office/drawing/2010/main">
      <mc:Choice Requires="a14">
        <xdr:graphicFrame macro="">
          <xdr:nvGraphicFramePr>
            <xdr:cNvPr id="35" name="LANGUAGE">
              <a:extLst>
                <a:ext uri="{FF2B5EF4-FFF2-40B4-BE49-F238E27FC236}">
                  <a16:creationId xmlns:a16="http://schemas.microsoft.com/office/drawing/2014/main" id="{12A510BF-C60E-4D76-BD9E-E6A24CA6E1A2}"/>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22704182" y="7054246"/>
              <a:ext cx="1826751" cy="2764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90714</xdr:colOff>
      <xdr:row>17</xdr:row>
      <xdr:rowOff>179821</xdr:rowOff>
    </xdr:from>
    <xdr:to>
      <xdr:col>9</xdr:col>
      <xdr:colOff>1707311</xdr:colOff>
      <xdr:row>35</xdr:row>
      <xdr:rowOff>143772</xdr:rowOff>
    </xdr:to>
    <xdr:graphicFrame macro="">
      <xdr:nvGraphicFramePr>
        <xdr:cNvPr id="2" name="Chart 1">
          <a:extLst>
            <a:ext uri="{FF2B5EF4-FFF2-40B4-BE49-F238E27FC236}">
              <a16:creationId xmlns:a16="http://schemas.microsoft.com/office/drawing/2014/main" id="{B70D5435-5933-4ED1-9DDE-722A90964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76905</xdr:colOff>
      <xdr:row>17</xdr:row>
      <xdr:rowOff>136692</xdr:rowOff>
    </xdr:from>
    <xdr:to>
      <xdr:col>22</xdr:col>
      <xdr:colOff>521180</xdr:colOff>
      <xdr:row>35</xdr:row>
      <xdr:rowOff>143773</xdr:rowOff>
    </xdr:to>
    <xdr:graphicFrame macro="">
      <xdr:nvGraphicFramePr>
        <xdr:cNvPr id="3" name="Chart 2">
          <a:extLst>
            <a:ext uri="{FF2B5EF4-FFF2-40B4-BE49-F238E27FC236}">
              <a16:creationId xmlns:a16="http://schemas.microsoft.com/office/drawing/2014/main" id="{0C493172-3829-477A-83AE-300304211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552274</xdr:colOff>
      <xdr:row>51</xdr:row>
      <xdr:rowOff>461617</xdr:rowOff>
    </xdr:from>
    <xdr:to>
      <xdr:col>33</xdr:col>
      <xdr:colOff>511937</xdr:colOff>
      <xdr:row>72</xdr:row>
      <xdr:rowOff>98589</xdr:rowOff>
    </xdr:to>
    <xdr:graphicFrame macro="">
      <xdr:nvGraphicFramePr>
        <xdr:cNvPr id="5" name="Chart 4">
          <a:extLst>
            <a:ext uri="{FF2B5EF4-FFF2-40B4-BE49-F238E27FC236}">
              <a16:creationId xmlns:a16="http://schemas.microsoft.com/office/drawing/2014/main" id="{C45E91F3-25E0-40A3-902B-906B1F744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179717</xdr:colOff>
      <xdr:row>17</xdr:row>
      <xdr:rowOff>120856</xdr:rowOff>
    </xdr:from>
    <xdr:to>
      <xdr:col>38</xdr:col>
      <xdr:colOff>46368</xdr:colOff>
      <xdr:row>35</xdr:row>
      <xdr:rowOff>107830</xdr:rowOff>
    </xdr:to>
    <xdr:graphicFrame macro="">
      <xdr:nvGraphicFramePr>
        <xdr:cNvPr id="6" name="Chart 5">
          <a:extLst>
            <a:ext uri="{FF2B5EF4-FFF2-40B4-BE49-F238E27FC236}">
              <a16:creationId xmlns:a16="http://schemas.microsoft.com/office/drawing/2014/main" id="{5C79745C-813D-47BD-A554-316D13611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76200</xdr:colOff>
      <xdr:row>5</xdr:row>
      <xdr:rowOff>28575</xdr:rowOff>
    </xdr:from>
    <xdr:to>
      <xdr:col>6</xdr:col>
      <xdr:colOff>361950</xdr:colOff>
      <xdr:row>12</xdr:row>
      <xdr:rowOff>85724</xdr:rowOff>
    </xdr:to>
    <xdr:sp macro="" textlink="">
      <xdr:nvSpPr>
        <xdr:cNvPr id="7" name="Rectangle: Rounded Corners 6">
          <a:extLst>
            <a:ext uri="{FF2B5EF4-FFF2-40B4-BE49-F238E27FC236}">
              <a16:creationId xmlns:a16="http://schemas.microsoft.com/office/drawing/2014/main" id="{157F1FBC-1516-8C23-0F4E-5B94F7451646}"/>
            </a:ext>
          </a:extLst>
        </xdr:cNvPr>
        <xdr:cNvSpPr/>
      </xdr:nvSpPr>
      <xdr:spPr>
        <a:xfrm>
          <a:off x="685800" y="981075"/>
          <a:ext cx="2114550" cy="1390649"/>
        </a:xfrm>
        <a:prstGeom prst="roundRect">
          <a:avLst/>
        </a:prstGeom>
        <a:gradFill flip="none" rotWithShape="1">
          <a:gsLst>
            <a:gs pos="0">
              <a:schemeClr val="accent1">
                <a:lumMod val="5000"/>
                <a:lumOff val="95000"/>
              </a:schemeClr>
            </a:gs>
            <a:gs pos="74000">
              <a:schemeClr val="tx2">
                <a:lumMod val="75000"/>
                <a:lumOff val="25000"/>
              </a:schemeClr>
            </a:gs>
            <a:gs pos="83000">
              <a:schemeClr val="accent1">
                <a:lumMod val="75000"/>
              </a:schemeClr>
            </a:gs>
            <a:gs pos="100000">
              <a:schemeClr val="accent1">
                <a:lumMod val="50000"/>
              </a:schemeClr>
            </a:gs>
          </a:gsLst>
          <a:lin ang="13500000" scaled="1"/>
          <a:tileRect/>
        </a:gradFill>
        <a:effectLst>
          <a:glow rad="127000">
            <a:schemeClr val="accent1">
              <a:alpha val="12000"/>
            </a:schemeClr>
          </a:glow>
          <a:outerShdw blurRad="101600" dist="50800" dir="6300000" sx="99000" sy="99000" algn="ctr" rotWithShape="0">
            <a:srgbClr val="000000">
              <a:alpha val="86000"/>
            </a:srgbClr>
          </a:outerShdw>
          <a:reflection stA="0" endPos="65000" dist="50800" dir="5400000" sy="-100000" algn="bl" rotWithShape="0"/>
          <a:softEdge rad="0"/>
        </a:effectLst>
        <a:scene3d>
          <a:camera prst="perspectiveAbove"/>
          <a:lightRig rig="threePt" dir="t"/>
        </a:scene3d>
        <a:sp3d z="25400"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180474</xdr:colOff>
      <xdr:row>6</xdr:row>
      <xdr:rowOff>19050</xdr:rowOff>
    </xdr:from>
    <xdr:to>
      <xdr:col>6</xdr:col>
      <xdr:colOff>85726</xdr:colOff>
      <xdr:row>8</xdr:row>
      <xdr:rowOff>9525</xdr:rowOff>
    </xdr:to>
    <xdr:sp macro="" textlink="">
      <xdr:nvSpPr>
        <xdr:cNvPr id="8" name="TextBox 7">
          <a:extLst>
            <a:ext uri="{FF2B5EF4-FFF2-40B4-BE49-F238E27FC236}">
              <a16:creationId xmlns:a16="http://schemas.microsoft.com/office/drawing/2014/main" id="{CB0A56DB-6060-170E-F9CB-00F3681538FE}"/>
            </a:ext>
          </a:extLst>
        </xdr:cNvPr>
        <xdr:cNvSpPr txBox="1"/>
      </xdr:nvSpPr>
      <xdr:spPr>
        <a:xfrm>
          <a:off x="2015290" y="1162050"/>
          <a:ext cx="1740068" cy="371475"/>
        </a:xfrm>
        <a:prstGeom prst="rect">
          <a:avLst/>
        </a:prstGeom>
        <a:no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rgbClr val="000000"/>
              </a:solidFill>
              <a:effectLst/>
              <a:latin typeface="Aptos Narrow" panose="020B0004020202020204" pitchFamily="34" charset="0"/>
            </a:rPr>
            <a:t>📚</a:t>
          </a:r>
          <a:r>
            <a:rPr lang="en-IN" sz="1600"/>
            <a:t> </a:t>
          </a:r>
          <a:r>
            <a:rPr lang="en-IN" sz="1600" b="1"/>
            <a:t>TOTAL BOOKS</a:t>
          </a:r>
        </a:p>
      </xdr:txBody>
    </xdr:sp>
    <xdr:clientData/>
  </xdr:twoCellAnchor>
  <xdr:twoCellAnchor>
    <xdr:from>
      <xdr:col>4</xdr:col>
      <xdr:colOff>19050</xdr:colOff>
      <xdr:row>8</xdr:row>
      <xdr:rowOff>85725</xdr:rowOff>
    </xdr:from>
    <xdr:to>
      <xdr:col>5</xdr:col>
      <xdr:colOff>323850</xdr:colOff>
      <xdr:row>10</xdr:row>
      <xdr:rowOff>76200</xdr:rowOff>
    </xdr:to>
    <xdr:sp macro="" textlink="'KPI CREATION'!F2">
      <xdr:nvSpPr>
        <xdr:cNvPr id="9" name="Rectangle: Rounded Corners 8">
          <a:extLst>
            <a:ext uri="{FF2B5EF4-FFF2-40B4-BE49-F238E27FC236}">
              <a16:creationId xmlns:a16="http://schemas.microsoft.com/office/drawing/2014/main" id="{62E99FED-622C-41F1-DA6D-BF7039B52470}"/>
            </a:ext>
          </a:extLst>
        </xdr:cNvPr>
        <xdr:cNvSpPr/>
      </xdr:nvSpPr>
      <xdr:spPr>
        <a:xfrm>
          <a:off x="1238250" y="1609725"/>
          <a:ext cx="914400" cy="371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B907115-FF71-4F00-9E61-A8BEAF678B70}" type="TxLink">
            <a:rPr lang="en-US" sz="2000" b="1" i="0" u="none" strike="noStrike">
              <a:ln>
                <a:noFill/>
              </a:ln>
              <a:solidFill>
                <a:schemeClr val="bg1"/>
              </a:solidFill>
              <a:latin typeface="Aptos Narrow"/>
              <a:ea typeface="+mn-ea"/>
              <a:cs typeface="+mn-cs"/>
            </a:rPr>
            <a:pPr marL="0" indent="0" algn="ctr"/>
            <a:t>1383</a:t>
          </a:fld>
          <a:endParaRPr lang="en-IN" sz="2000" b="1" i="0" u="none" strike="noStrike">
            <a:ln>
              <a:noFill/>
            </a:ln>
            <a:solidFill>
              <a:schemeClr val="bg1"/>
            </a:solidFill>
            <a:latin typeface="Aptos Narrow"/>
            <a:ea typeface="+mn-ea"/>
            <a:cs typeface="+mn-cs"/>
          </a:endParaRPr>
        </a:p>
      </xdr:txBody>
    </xdr:sp>
    <xdr:clientData/>
  </xdr:twoCellAnchor>
  <xdr:twoCellAnchor>
    <xdr:from>
      <xdr:col>4</xdr:col>
      <xdr:colOff>142875</xdr:colOff>
      <xdr:row>10</xdr:row>
      <xdr:rowOff>133351</xdr:rowOff>
    </xdr:from>
    <xdr:to>
      <xdr:col>5</xdr:col>
      <xdr:colOff>200025</xdr:colOff>
      <xdr:row>11</xdr:row>
      <xdr:rowOff>152400</xdr:rowOff>
    </xdr:to>
    <xdr:sp macro="" textlink="'KPI CREATION'!M3:N3">
      <xdr:nvSpPr>
        <xdr:cNvPr id="10" name="Rectangle: Rounded Corners 9">
          <a:extLst>
            <a:ext uri="{FF2B5EF4-FFF2-40B4-BE49-F238E27FC236}">
              <a16:creationId xmlns:a16="http://schemas.microsoft.com/office/drawing/2014/main" id="{CA071D76-BB79-2560-B385-301DF15861CD}"/>
            </a:ext>
          </a:extLst>
        </xdr:cNvPr>
        <xdr:cNvSpPr/>
      </xdr:nvSpPr>
      <xdr:spPr>
        <a:xfrm>
          <a:off x="1362075" y="2038351"/>
          <a:ext cx="666750" cy="2095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B19D79-FAEA-4D2F-9F0C-EF856E392153}" type="TxLink">
            <a:rPr lang="en-US" sz="1400" b="1" i="0" u="none" strike="noStrike">
              <a:ln>
                <a:noFill/>
              </a:ln>
              <a:solidFill>
                <a:schemeClr val="bg1">
                  <a:lumMod val="95000"/>
                </a:schemeClr>
              </a:solidFill>
              <a:latin typeface="Aptos Narrow"/>
            </a:rPr>
            <a:pPr algn="ctr"/>
            <a:t>1383</a:t>
          </a:fld>
          <a:endParaRPr lang="en-US">
            <a:ln>
              <a:noFill/>
            </a:ln>
            <a:solidFill>
              <a:schemeClr val="bg1">
                <a:lumMod val="95000"/>
              </a:schemeClr>
            </a:solidFill>
          </a:endParaRPr>
        </a:p>
      </xdr:txBody>
    </xdr:sp>
    <xdr:clientData/>
  </xdr:twoCellAnchor>
  <xdr:twoCellAnchor>
    <xdr:from>
      <xdr:col>6</xdr:col>
      <xdr:colOff>861968</xdr:colOff>
      <xdr:row>4</xdr:row>
      <xdr:rowOff>185452</xdr:rowOff>
    </xdr:from>
    <xdr:to>
      <xdr:col>9</xdr:col>
      <xdr:colOff>450737</xdr:colOff>
      <xdr:row>12</xdr:row>
      <xdr:rowOff>74554</xdr:rowOff>
    </xdr:to>
    <xdr:sp macro="" textlink="">
      <xdr:nvSpPr>
        <xdr:cNvPr id="11" name="Rectangle: Rounded Corners 10">
          <a:extLst>
            <a:ext uri="{FF2B5EF4-FFF2-40B4-BE49-F238E27FC236}">
              <a16:creationId xmlns:a16="http://schemas.microsoft.com/office/drawing/2014/main" id="{70AE31D6-6041-46D5-A7EE-40B5B0120491}"/>
            </a:ext>
          </a:extLst>
        </xdr:cNvPr>
        <xdr:cNvSpPr/>
      </xdr:nvSpPr>
      <xdr:spPr>
        <a:xfrm>
          <a:off x="4535897" y="933845"/>
          <a:ext cx="2233657" cy="1385888"/>
        </a:xfrm>
        <a:prstGeom prst="roundRect">
          <a:avLst/>
        </a:prstGeom>
        <a:gradFill flip="none" rotWithShape="1">
          <a:gsLst>
            <a:gs pos="0">
              <a:schemeClr val="accent1">
                <a:lumMod val="5000"/>
                <a:lumOff val="95000"/>
              </a:schemeClr>
            </a:gs>
            <a:gs pos="74000">
              <a:schemeClr val="tx2">
                <a:lumMod val="75000"/>
                <a:lumOff val="25000"/>
              </a:schemeClr>
            </a:gs>
            <a:gs pos="83000">
              <a:schemeClr val="accent1">
                <a:lumMod val="75000"/>
              </a:schemeClr>
            </a:gs>
            <a:gs pos="100000">
              <a:schemeClr val="accent1">
                <a:lumMod val="50000"/>
              </a:schemeClr>
            </a:gs>
          </a:gsLst>
          <a:lin ang="13500000" scaled="1"/>
          <a:tileRect/>
        </a:gradFill>
        <a:effectLst>
          <a:glow rad="127000">
            <a:schemeClr val="accent1">
              <a:alpha val="12000"/>
            </a:schemeClr>
          </a:glow>
          <a:outerShdw blurRad="101600" dist="50800" dir="6300000" sx="99000" sy="99000" algn="ctr" rotWithShape="0">
            <a:srgbClr val="000000">
              <a:alpha val="86000"/>
            </a:srgbClr>
          </a:outerShdw>
          <a:reflection stA="0" endPos="65000" dist="50800" dir="5400000" sy="-100000" algn="bl" rotWithShape="0"/>
          <a:softEdge rad="0"/>
        </a:effectLst>
        <a:scene3d>
          <a:camera prst="perspectiveAbove"/>
          <a:lightRig rig="threePt" dir="t"/>
        </a:scene3d>
        <a:sp3d z="25400"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852236</xdr:colOff>
      <xdr:row>5</xdr:row>
      <xdr:rowOff>180975</xdr:rowOff>
    </xdr:from>
    <xdr:to>
      <xdr:col>9</xdr:col>
      <xdr:colOff>391205</xdr:colOff>
      <xdr:row>7</xdr:row>
      <xdr:rowOff>171450</xdr:rowOff>
    </xdr:to>
    <xdr:sp macro="" textlink="">
      <xdr:nvSpPr>
        <xdr:cNvPr id="12" name="TextBox 11">
          <a:extLst>
            <a:ext uri="{FF2B5EF4-FFF2-40B4-BE49-F238E27FC236}">
              <a16:creationId xmlns:a16="http://schemas.microsoft.com/office/drawing/2014/main" id="{A9A897AB-4A92-4717-A579-341E9B5F972D}"/>
            </a:ext>
          </a:extLst>
        </xdr:cNvPr>
        <xdr:cNvSpPr txBox="1"/>
      </xdr:nvSpPr>
      <xdr:spPr>
        <a:xfrm>
          <a:off x="4521868" y="1133475"/>
          <a:ext cx="218591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latin typeface="+mn-lt"/>
              <a:ea typeface="+mn-ea"/>
              <a:cs typeface="+mn-cs"/>
            </a:rPr>
            <a:t>👤 UNIQUE</a:t>
          </a:r>
          <a:r>
            <a:rPr lang="en-IN" sz="1600" b="1" baseline="0"/>
            <a:t> AUTHORS</a:t>
          </a:r>
          <a:endParaRPr lang="en-IN" sz="1600" b="1"/>
        </a:p>
      </xdr:txBody>
    </xdr:sp>
    <xdr:clientData/>
  </xdr:twoCellAnchor>
  <xdr:twoCellAnchor>
    <xdr:from>
      <xdr:col>7</xdr:col>
      <xdr:colOff>76201</xdr:colOff>
      <xdr:row>8</xdr:row>
      <xdr:rowOff>48646</xdr:rowOff>
    </xdr:from>
    <xdr:to>
      <xdr:col>9</xdr:col>
      <xdr:colOff>157843</xdr:colOff>
      <xdr:row>10</xdr:row>
      <xdr:rowOff>39121</xdr:rowOff>
    </xdr:to>
    <xdr:sp macro="" textlink="'KPI CREATION'!F5">
      <xdr:nvSpPr>
        <xdr:cNvPr id="13" name="Rectangle: Rounded Corners 12">
          <a:extLst>
            <a:ext uri="{FF2B5EF4-FFF2-40B4-BE49-F238E27FC236}">
              <a16:creationId xmlns:a16="http://schemas.microsoft.com/office/drawing/2014/main" id="{358ECD05-9FF5-43D7-AAC7-7D3A5DBBDA1C}"/>
            </a:ext>
          </a:extLst>
        </xdr:cNvPr>
        <xdr:cNvSpPr/>
      </xdr:nvSpPr>
      <xdr:spPr>
        <a:xfrm>
          <a:off x="4804683" y="1545432"/>
          <a:ext cx="1671977" cy="364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7C6181C-DDA8-49CA-B6B4-470764D155A1}" type="TxLink">
            <a:rPr lang="en-US" sz="2000" b="1" i="0" u="none" strike="noStrike">
              <a:ln>
                <a:noFill/>
              </a:ln>
              <a:solidFill>
                <a:schemeClr val="bg1"/>
              </a:solidFill>
              <a:latin typeface="Aptos Narrow"/>
              <a:ea typeface="+mn-ea"/>
              <a:cs typeface="+mn-cs"/>
            </a:rPr>
            <a:pPr marL="0" indent="0" algn="ctr"/>
            <a:t>1138</a:t>
          </a:fld>
          <a:endParaRPr lang="en-IN" sz="2000" b="1" i="0" u="none" strike="noStrike">
            <a:ln>
              <a:noFill/>
            </a:ln>
            <a:solidFill>
              <a:schemeClr val="bg1"/>
            </a:solidFill>
            <a:latin typeface="Aptos Narrow"/>
            <a:ea typeface="+mn-ea"/>
            <a:cs typeface="+mn-cs"/>
          </a:endParaRPr>
        </a:p>
      </xdr:txBody>
    </xdr:sp>
    <xdr:clientData/>
  </xdr:twoCellAnchor>
  <xdr:twoCellAnchor>
    <xdr:from>
      <xdr:col>7</xdr:col>
      <xdr:colOff>402167</xdr:colOff>
      <xdr:row>10</xdr:row>
      <xdr:rowOff>127695</xdr:rowOff>
    </xdr:from>
    <xdr:to>
      <xdr:col>8</xdr:col>
      <xdr:colOff>413436</xdr:colOff>
      <xdr:row>11</xdr:row>
      <xdr:rowOff>146745</xdr:rowOff>
    </xdr:to>
    <xdr:sp macro="" textlink="'KPI CREATION'!M6:N6">
      <xdr:nvSpPr>
        <xdr:cNvPr id="14" name="Rectangle: Rounded Corners 13">
          <a:extLst>
            <a:ext uri="{FF2B5EF4-FFF2-40B4-BE49-F238E27FC236}">
              <a16:creationId xmlns:a16="http://schemas.microsoft.com/office/drawing/2014/main" id="{7FF3B212-24A2-4E69-B24C-05FB80DE924D}"/>
            </a:ext>
          </a:extLst>
        </xdr:cNvPr>
        <xdr:cNvSpPr/>
      </xdr:nvSpPr>
      <xdr:spPr>
        <a:xfrm>
          <a:off x="5140451" y="2064983"/>
          <a:ext cx="1060633" cy="21277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6579BC5-0193-41A0-8E2C-88F24937F488}" type="TxLink">
            <a:rPr lang="en-US" sz="1400" b="1" i="0" u="none" strike="noStrike">
              <a:ln>
                <a:noFill/>
              </a:ln>
              <a:solidFill>
                <a:schemeClr val="bg1">
                  <a:lumMod val="95000"/>
                </a:schemeClr>
              </a:solidFill>
              <a:latin typeface="Aptos Narrow"/>
              <a:ea typeface="+mn-ea"/>
              <a:cs typeface="+mn-cs"/>
            </a:rPr>
            <a:pPr marL="0" indent="0" algn="ctr"/>
            <a:t>11</a:t>
          </a:fld>
          <a:endParaRPr lang="en-IN" sz="1400" b="1" i="0" u="none" strike="noStrike">
            <a:ln>
              <a:noFill/>
            </a:ln>
            <a:solidFill>
              <a:schemeClr val="bg1">
                <a:lumMod val="95000"/>
              </a:schemeClr>
            </a:solidFill>
            <a:latin typeface="Aptos Narrow"/>
            <a:ea typeface="+mn-ea"/>
            <a:cs typeface="+mn-cs"/>
          </a:endParaRPr>
        </a:p>
      </xdr:txBody>
    </xdr:sp>
    <xdr:clientData/>
  </xdr:twoCellAnchor>
  <xdr:twoCellAnchor>
    <xdr:from>
      <xdr:col>9</xdr:col>
      <xdr:colOff>1118899</xdr:colOff>
      <xdr:row>5</xdr:row>
      <xdr:rowOff>99556</xdr:rowOff>
    </xdr:from>
    <xdr:to>
      <xdr:col>10</xdr:col>
      <xdr:colOff>931801</xdr:colOff>
      <xdr:row>12</xdr:row>
      <xdr:rowOff>95475</xdr:rowOff>
    </xdr:to>
    <xdr:sp macro="" textlink="">
      <xdr:nvSpPr>
        <xdr:cNvPr id="15" name="Rectangle: Rounded Corners 14">
          <a:extLst>
            <a:ext uri="{FF2B5EF4-FFF2-40B4-BE49-F238E27FC236}">
              <a16:creationId xmlns:a16="http://schemas.microsoft.com/office/drawing/2014/main" id="{DBF85B13-B4B8-4E06-B896-8DF5D63C1231}"/>
            </a:ext>
          </a:extLst>
        </xdr:cNvPr>
        <xdr:cNvSpPr/>
      </xdr:nvSpPr>
      <xdr:spPr>
        <a:xfrm>
          <a:off x="7426965" y="1087999"/>
          <a:ext cx="2724317" cy="1379740"/>
        </a:xfrm>
        <a:prstGeom prst="roundRect">
          <a:avLst/>
        </a:prstGeom>
        <a:gradFill flip="none" rotWithShape="1">
          <a:gsLst>
            <a:gs pos="0">
              <a:schemeClr val="accent1">
                <a:lumMod val="5000"/>
                <a:lumOff val="95000"/>
              </a:schemeClr>
            </a:gs>
            <a:gs pos="74000">
              <a:schemeClr val="tx2">
                <a:lumMod val="75000"/>
                <a:lumOff val="25000"/>
              </a:schemeClr>
            </a:gs>
            <a:gs pos="83000">
              <a:schemeClr val="accent1">
                <a:lumMod val="75000"/>
              </a:schemeClr>
            </a:gs>
            <a:gs pos="100000">
              <a:schemeClr val="accent1">
                <a:lumMod val="50000"/>
              </a:schemeClr>
            </a:gs>
          </a:gsLst>
          <a:lin ang="13500000" scaled="1"/>
          <a:tileRect/>
        </a:gradFill>
        <a:effectLst>
          <a:glow rad="127000">
            <a:schemeClr val="accent1">
              <a:alpha val="12000"/>
            </a:schemeClr>
          </a:glow>
          <a:outerShdw blurRad="101600" dist="50800" dir="6300000" sx="99000" sy="99000" algn="ctr" rotWithShape="0">
            <a:srgbClr val="000000">
              <a:alpha val="86000"/>
            </a:srgbClr>
          </a:outerShdw>
          <a:reflection stA="0" endPos="65000" dist="50800" dir="5400000" sy="-100000" algn="bl" rotWithShape="0"/>
          <a:softEdge rad="0"/>
        </a:effectLst>
        <a:scene3d>
          <a:camera prst="perspectiveAbove"/>
          <a:lightRig rig="threePt" dir="t"/>
        </a:scene3d>
        <a:sp3d z="25400"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1318194</xdr:colOff>
      <xdr:row>6</xdr:row>
      <xdr:rowOff>7408</xdr:rowOff>
    </xdr:from>
    <xdr:to>
      <xdr:col>10</xdr:col>
      <xdr:colOff>482331</xdr:colOff>
      <xdr:row>8</xdr:row>
      <xdr:rowOff>4028</xdr:rowOff>
    </xdr:to>
    <xdr:sp macro="" textlink="">
      <xdr:nvSpPr>
        <xdr:cNvPr id="16" name="TextBox 15">
          <a:extLst>
            <a:ext uri="{FF2B5EF4-FFF2-40B4-BE49-F238E27FC236}">
              <a16:creationId xmlns:a16="http://schemas.microsoft.com/office/drawing/2014/main" id="{667F9416-125A-4033-8BA2-3FAF212CB1E8}"/>
            </a:ext>
          </a:extLst>
        </xdr:cNvPr>
        <xdr:cNvSpPr txBox="1"/>
      </xdr:nvSpPr>
      <xdr:spPr>
        <a:xfrm>
          <a:off x="7637011" y="1129997"/>
          <a:ext cx="1536883" cy="37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a:t>
          </a:r>
          <a:r>
            <a:rPr lang="en-IN" sz="1600" b="1"/>
            <a:t> AVG RATING</a:t>
          </a:r>
        </a:p>
      </xdr:txBody>
    </xdr:sp>
    <xdr:clientData/>
  </xdr:twoCellAnchor>
  <xdr:twoCellAnchor>
    <xdr:from>
      <xdr:col>9</xdr:col>
      <xdr:colOff>1335199</xdr:colOff>
      <xdr:row>8</xdr:row>
      <xdr:rowOff>56129</xdr:rowOff>
    </xdr:from>
    <xdr:to>
      <xdr:col>10</xdr:col>
      <xdr:colOff>469454</xdr:colOff>
      <xdr:row>10</xdr:row>
      <xdr:rowOff>46604</xdr:rowOff>
    </xdr:to>
    <xdr:sp macro="" textlink="'KPI CREATION'!F8">
      <xdr:nvSpPr>
        <xdr:cNvPr id="17" name="Rectangle: Rounded Corners 16">
          <a:extLst>
            <a:ext uri="{FF2B5EF4-FFF2-40B4-BE49-F238E27FC236}">
              <a16:creationId xmlns:a16="http://schemas.microsoft.com/office/drawing/2014/main" id="{4BBBC9D4-A6C5-4C61-9B48-0815F14F9547}"/>
            </a:ext>
          </a:extLst>
        </xdr:cNvPr>
        <xdr:cNvSpPr/>
      </xdr:nvSpPr>
      <xdr:spPr>
        <a:xfrm>
          <a:off x="7654016" y="1552915"/>
          <a:ext cx="1507001" cy="364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9171E3-4476-435A-B1B6-3245313CA0F8}" type="TxLink">
            <a:rPr lang="en-US" sz="2000" b="1" i="0" u="none" strike="noStrike">
              <a:ln>
                <a:noFill/>
              </a:ln>
              <a:solidFill>
                <a:schemeClr val="bg1"/>
              </a:solidFill>
              <a:latin typeface="Aptos Narrow"/>
              <a:ea typeface="+mn-ea"/>
              <a:cs typeface="+mn-cs"/>
            </a:rPr>
            <a:pPr marL="0" indent="0" algn="ctr"/>
            <a:t>0.6</a:t>
          </a:fld>
          <a:endParaRPr lang="en-IN" sz="2000" b="1" i="0" u="none" strike="noStrike">
            <a:ln>
              <a:noFill/>
            </a:ln>
            <a:solidFill>
              <a:schemeClr val="bg1"/>
            </a:solidFill>
            <a:latin typeface="Aptos Narrow"/>
            <a:ea typeface="+mn-ea"/>
            <a:cs typeface="+mn-cs"/>
          </a:endParaRPr>
        </a:p>
      </xdr:txBody>
    </xdr:sp>
    <xdr:clientData/>
  </xdr:twoCellAnchor>
  <xdr:twoCellAnchor>
    <xdr:from>
      <xdr:col>9</xdr:col>
      <xdr:colOff>1155720</xdr:colOff>
      <xdr:row>10</xdr:row>
      <xdr:rowOff>106771</xdr:rowOff>
    </xdr:from>
    <xdr:to>
      <xdr:col>10</xdr:col>
      <xdr:colOff>691146</xdr:colOff>
      <xdr:row>11</xdr:row>
      <xdr:rowOff>125821</xdr:rowOff>
    </xdr:to>
    <xdr:sp macro="" textlink="'KPI CREATION'!V60:W60">
      <xdr:nvSpPr>
        <xdr:cNvPr id="18" name="Rectangle: Rounded Corners 17">
          <a:extLst>
            <a:ext uri="{FF2B5EF4-FFF2-40B4-BE49-F238E27FC236}">
              <a16:creationId xmlns:a16="http://schemas.microsoft.com/office/drawing/2014/main" id="{CAA24E5F-C4E3-42D8-BD76-31EC1422B5A6}"/>
            </a:ext>
          </a:extLst>
        </xdr:cNvPr>
        <xdr:cNvSpPr/>
      </xdr:nvSpPr>
      <xdr:spPr>
        <a:xfrm>
          <a:off x="7484195" y="2044059"/>
          <a:ext cx="2078116" cy="21277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B2478D2-7584-4EB9-9015-5B428A7E7F11}" type="TxLink">
            <a:rPr lang="en-US" sz="1400" b="1" i="0" u="none" strike="noStrike">
              <a:ln>
                <a:noFill/>
              </a:ln>
              <a:solidFill>
                <a:schemeClr val="bg1">
                  <a:lumMod val="95000"/>
                </a:schemeClr>
              </a:solidFill>
              <a:latin typeface="Aptos Narrow"/>
              <a:ea typeface="+mn-ea"/>
              <a:cs typeface="+mn-cs"/>
            </a:rPr>
            <a:pPr marL="0" indent="0" algn="ctr"/>
            <a:t> </a:t>
          </a:fld>
          <a:endParaRPr lang="en-IN" sz="1400" b="1" i="0" u="none" strike="noStrike">
            <a:ln>
              <a:noFill/>
            </a:ln>
            <a:solidFill>
              <a:schemeClr val="bg1">
                <a:lumMod val="95000"/>
              </a:schemeClr>
            </a:solidFill>
            <a:latin typeface="Aptos Narrow"/>
            <a:ea typeface="+mn-ea"/>
            <a:cs typeface="+mn-cs"/>
          </a:endParaRPr>
        </a:p>
      </xdr:txBody>
    </xdr:sp>
    <xdr:clientData/>
  </xdr:twoCellAnchor>
  <xdr:twoCellAnchor>
    <xdr:from>
      <xdr:col>10</xdr:col>
      <xdr:colOff>1488281</xdr:colOff>
      <xdr:row>5</xdr:row>
      <xdr:rowOff>17009</xdr:rowOff>
    </xdr:from>
    <xdr:to>
      <xdr:col>16</xdr:col>
      <xdr:colOff>127567</xdr:colOff>
      <xdr:row>12</xdr:row>
      <xdr:rowOff>74158</xdr:rowOff>
    </xdr:to>
    <xdr:sp macro="" textlink="">
      <xdr:nvSpPr>
        <xdr:cNvPr id="19" name="Rectangle: Rounded Corners 18">
          <a:extLst>
            <a:ext uri="{FF2B5EF4-FFF2-40B4-BE49-F238E27FC236}">
              <a16:creationId xmlns:a16="http://schemas.microsoft.com/office/drawing/2014/main" id="{CF280672-CC23-4F94-88DC-DDFADB1198B7}"/>
            </a:ext>
          </a:extLst>
        </xdr:cNvPr>
        <xdr:cNvSpPr/>
      </xdr:nvSpPr>
      <xdr:spPr>
        <a:xfrm>
          <a:off x="10179844" y="952500"/>
          <a:ext cx="3673928" cy="1366837"/>
        </a:xfrm>
        <a:prstGeom prst="roundRect">
          <a:avLst/>
        </a:prstGeom>
        <a:gradFill flip="none" rotWithShape="1">
          <a:gsLst>
            <a:gs pos="0">
              <a:schemeClr val="accent1">
                <a:lumMod val="5000"/>
                <a:lumOff val="95000"/>
              </a:schemeClr>
            </a:gs>
            <a:gs pos="74000">
              <a:schemeClr val="tx2">
                <a:lumMod val="75000"/>
                <a:lumOff val="25000"/>
              </a:schemeClr>
            </a:gs>
            <a:gs pos="83000">
              <a:schemeClr val="accent1">
                <a:lumMod val="75000"/>
              </a:schemeClr>
            </a:gs>
            <a:gs pos="100000">
              <a:schemeClr val="accent1">
                <a:lumMod val="50000"/>
              </a:schemeClr>
            </a:gs>
          </a:gsLst>
          <a:lin ang="13500000" scaled="1"/>
          <a:tileRect/>
        </a:gradFill>
        <a:effectLst>
          <a:glow rad="127000">
            <a:schemeClr val="accent1">
              <a:alpha val="12000"/>
            </a:schemeClr>
          </a:glow>
          <a:outerShdw blurRad="101600" dist="50800" dir="6300000" sx="99000" sy="99000" algn="ctr" rotWithShape="0">
            <a:srgbClr val="000000">
              <a:alpha val="86000"/>
            </a:srgbClr>
          </a:outerShdw>
          <a:reflection stA="0" endPos="65000" dist="50800" dir="5400000" sy="-100000" algn="bl" rotWithShape="0"/>
          <a:softEdge rad="0"/>
        </a:effectLst>
        <a:scene3d>
          <a:camera prst="perspectiveAbove"/>
          <a:lightRig rig="threePt" dir="t"/>
        </a:scene3d>
        <a:sp3d z="25400"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1768928</xdr:colOff>
      <xdr:row>5</xdr:row>
      <xdr:rowOff>180975</xdr:rowOff>
    </xdr:from>
    <xdr:to>
      <xdr:col>15</xdr:col>
      <xdr:colOff>481012</xdr:colOff>
      <xdr:row>7</xdr:row>
      <xdr:rowOff>171450</xdr:rowOff>
    </xdr:to>
    <xdr:sp macro="" textlink="">
      <xdr:nvSpPr>
        <xdr:cNvPr id="20" name="TextBox 19">
          <a:extLst>
            <a:ext uri="{FF2B5EF4-FFF2-40B4-BE49-F238E27FC236}">
              <a16:creationId xmlns:a16="http://schemas.microsoft.com/office/drawing/2014/main" id="{C2A36A35-90E7-4D75-AA56-4F67A39C2C28}"/>
            </a:ext>
          </a:extLst>
        </xdr:cNvPr>
        <xdr:cNvSpPr txBox="1"/>
      </xdr:nvSpPr>
      <xdr:spPr>
        <a:xfrm>
          <a:off x="10460491" y="1116466"/>
          <a:ext cx="3134405" cy="364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 MOS</a:t>
          </a:r>
          <a:r>
            <a:rPr lang="en-IN" sz="1600" b="1" baseline="0"/>
            <a:t>T COMMON LANGUAGE</a:t>
          </a:r>
          <a:endParaRPr lang="en-IN" sz="1600" b="1"/>
        </a:p>
      </xdr:txBody>
    </xdr:sp>
    <xdr:clientData/>
  </xdr:twoCellAnchor>
  <xdr:twoCellAnchor>
    <xdr:from>
      <xdr:col>11</xdr:col>
      <xdr:colOff>458901</xdr:colOff>
      <xdr:row>8</xdr:row>
      <xdr:rowOff>23132</xdr:rowOff>
    </xdr:from>
    <xdr:to>
      <xdr:col>12</xdr:col>
      <xdr:colOff>566398</xdr:colOff>
      <xdr:row>10</xdr:row>
      <xdr:rowOff>13607</xdr:rowOff>
    </xdr:to>
    <xdr:sp macro="" textlink="'KPI CREATION'!F14">
      <xdr:nvSpPr>
        <xdr:cNvPr id="21" name="Rectangle: Rounded Corners 20">
          <a:extLst>
            <a:ext uri="{FF2B5EF4-FFF2-40B4-BE49-F238E27FC236}">
              <a16:creationId xmlns:a16="http://schemas.microsoft.com/office/drawing/2014/main" id="{EB0467C3-A19A-44C5-9E84-CB9F6D91C35A}"/>
            </a:ext>
          </a:extLst>
        </xdr:cNvPr>
        <xdr:cNvSpPr/>
      </xdr:nvSpPr>
      <xdr:spPr>
        <a:xfrm>
          <a:off x="11684794" y="1519918"/>
          <a:ext cx="719818" cy="364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D8714C-FC28-4197-B9A6-3BC9F966C6C9}" type="TxLink">
            <a:rPr lang="en-US" sz="2000" b="1" i="0" u="none" strike="noStrike">
              <a:ln>
                <a:noFill/>
              </a:ln>
              <a:solidFill>
                <a:schemeClr val="bg1"/>
              </a:solidFill>
              <a:latin typeface="Aptos Narrow"/>
              <a:ea typeface="+mn-ea"/>
              <a:cs typeface="+mn-cs"/>
            </a:rPr>
            <a:pPr marL="0" indent="0" algn="ctr"/>
            <a:t>en</a:t>
          </a:fld>
          <a:endParaRPr lang="en-IN" sz="2000" b="1" i="0" u="none" strike="noStrike">
            <a:ln>
              <a:noFill/>
            </a:ln>
            <a:solidFill>
              <a:schemeClr val="bg1"/>
            </a:solidFill>
            <a:latin typeface="Aptos Narrow"/>
            <a:ea typeface="+mn-ea"/>
            <a:cs typeface="+mn-cs"/>
          </a:endParaRPr>
        </a:p>
      </xdr:txBody>
    </xdr:sp>
    <xdr:clientData/>
  </xdr:twoCellAnchor>
  <xdr:twoCellAnchor>
    <xdr:from>
      <xdr:col>11</xdr:col>
      <xdr:colOff>598715</xdr:colOff>
      <xdr:row>10</xdr:row>
      <xdr:rowOff>125066</xdr:rowOff>
    </xdr:from>
    <xdr:to>
      <xdr:col>12</xdr:col>
      <xdr:colOff>446315</xdr:colOff>
      <xdr:row>11</xdr:row>
      <xdr:rowOff>144116</xdr:rowOff>
    </xdr:to>
    <xdr:sp macro="" textlink="'KPI CREATION'!M15:N15">
      <xdr:nvSpPr>
        <xdr:cNvPr id="22" name="Rectangle: Rounded Corners 21">
          <a:extLst>
            <a:ext uri="{FF2B5EF4-FFF2-40B4-BE49-F238E27FC236}">
              <a16:creationId xmlns:a16="http://schemas.microsoft.com/office/drawing/2014/main" id="{D17A9E52-80BB-48BB-BA8C-8A40FBBD9C9C}"/>
            </a:ext>
          </a:extLst>
        </xdr:cNvPr>
        <xdr:cNvSpPr/>
      </xdr:nvSpPr>
      <xdr:spPr>
        <a:xfrm>
          <a:off x="12004499" y="2062354"/>
          <a:ext cx="461074" cy="21277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FEEE41C-CB7E-4B22-818B-02791B64E620}" type="TxLink">
            <a:rPr lang="en-US" sz="1400" b="1" i="0" u="none" strike="noStrike">
              <a:ln>
                <a:noFill/>
              </a:ln>
              <a:solidFill>
                <a:schemeClr val="bg1">
                  <a:lumMod val="95000"/>
                </a:schemeClr>
              </a:solidFill>
              <a:latin typeface="Aptos Narrow"/>
              <a:ea typeface="+mn-ea"/>
              <a:cs typeface="+mn-cs"/>
            </a:rPr>
            <a:pPr marL="0" indent="0" algn="ctr"/>
            <a:t>en</a:t>
          </a:fld>
          <a:endParaRPr lang="en-IN" sz="1400" b="1" i="0" u="none" strike="noStrike">
            <a:ln>
              <a:noFill/>
            </a:ln>
            <a:solidFill>
              <a:schemeClr val="bg1">
                <a:lumMod val="95000"/>
              </a:schemeClr>
            </a:solidFill>
            <a:latin typeface="Aptos Narrow"/>
            <a:ea typeface="+mn-ea"/>
            <a:cs typeface="+mn-cs"/>
          </a:endParaRPr>
        </a:p>
      </xdr:txBody>
    </xdr:sp>
    <xdr:clientData/>
  </xdr:twoCellAnchor>
  <xdr:twoCellAnchor>
    <xdr:from>
      <xdr:col>17</xdr:col>
      <xdr:colOff>181995</xdr:colOff>
      <xdr:row>5</xdr:row>
      <xdr:rowOff>26875</xdr:rowOff>
    </xdr:from>
    <xdr:to>
      <xdr:col>25</xdr:col>
      <xdr:colOff>119063</xdr:colOff>
      <xdr:row>12</xdr:row>
      <xdr:rowOff>99673</xdr:rowOff>
    </xdr:to>
    <xdr:sp macro="" textlink="">
      <xdr:nvSpPr>
        <xdr:cNvPr id="23" name="Rectangle: Rounded Corners 22">
          <a:extLst>
            <a:ext uri="{FF2B5EF4-FFF2-40B4-BE49-F238E27FC236}">
              <a16:creationId xmlns:a16="http://schemas.microsoft.com/office/drawing/2014/main" id="{CFC0F321-4C77-4175-B298-E8BB372F7A74}"/>
            </a:ext>
          </a:extLst>
        </xdr:cNvPr>
        <xdr:cNvSpPr/>
      </xdr:nvSpPr>
      <xdr:spPr>
        <a:xfrm>
          <a:off x="14520522" y="962366"/>
          <a:ext cx="4835639" cy="1382486"/>
        </a:xfrm>
        <a:prstGeom prst="roundRect">
          <a:avLst/>
        </a:prstGeom>
        <a:gradFill flip="none" rotWithShape="1">
          <a:gsLst>
            <a:gs pos="0">
              <a:schemeClr val="accent1">
                <a:lumMod val="5000"/>
                <a:lumOff val="95000"/>
              </a:schemeClr>
            </a:gs>
            <a:gs pos="74000">
              <a:schemeClr val="tx2">
                <a:lumMod val="75000"/>
                <a:lumOff val="25000"/>
              </a:schemeClr>
            </a:gs>
            <a:gs pos="83000">
              <a:schemeClr val="accent1">
                <a:lumMod val="75000"/>
              </a:schemeClr>
            </a:gs>
            <a:gs pos="100000">
              <a:schemeClr val="accent1">
                <a:lumMod val="50000"/>
              </a:schemeClr>
            </a:gs>
          </a:gsLst>
          <a:lin ang="13500000" scaled="1"/>
          <a:tileRect/>
        </a:gradFill>
        <a:effectLst>
          <a:glow rad="127000">
            <a:schemeClr val="accent1">
              <a:alpha val="12000"/>
            </a:schemeClr>
          </a:glow>
          <a:outerShdw blurRad="101600" dist="50800" dir="6300000" sx="99000" sy="99000" algn="ctr" rotWithShape="0">
            <a:srgbClr val="000000">
              <a:alpha val="86000"/>
            </a:srgbClr>
          </a:outerShdw>
          <a:reflection stA="0" endPos="65000" dist="50800" dir="5400000" sy="-100000" algn="bl" rotWithShape="0"/>
          <a:softEdge rad="0"/>
        </a:effectLst>
        <a:scene3d>
          <a:camera prst="perspectiveAbove"/>
          <a:lightRig rig="threePt" dir="t"/>
        </a:scene3d>
        <a:sp3d z="25400"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47625</xdr:colOff>
      <xdr:row>5</xdr:row>
      <xdr:rowOff>171450</xdr:rowOff>
    </xdr:from>
    <xdr:to>
      <xdr:col>23</xdr:col>
      <xdr:colOff>123825</xdr:colOff>
      <xdr:row>7</xdr:row>
      <xdr:rowOff>161925</xdr:rowOff>
    </xdr:to>
    <xdr:sp macro="" textlink="">
      <xdr:nvSpPr>
        <xdr:cNvPr id="24" name="TextBox 23">
          <a:extLst>
            <a:ext uri="{FF2B5EF4-FFF2-40B4-BE49-F238E27FC236}">
              <a16:creationId xmlns:a16="http://schemas.microsoft.com/office/drawing/2014/main" id="{7B269149-5045-4A6B-B151-468B6D8C50C2}"/>
            </a:ext>
          </a:extLst>
        </xdr:cNvPr>
        <xdr:cNvSpPr txBox="1"/>
      </xdr:nvSpPr>
      <xdr:spPr>
        <a:xfrm>
          <a:off x="14068425" y="1123950"/>
          <a:ext cx="25146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 HIGHEST RATED BOOK</a:t>
          </a:r>
        </a:p>
      </xdr:txBody>
    </xdr:sp>
    <xdr:clientData/>
  </xdr:twoCellAnchor>
  <xdr:twoCellAnchor>
    <xdr:from>
      <xdr:col>17</xdr:col>
      <xdr:colOff>370020</xdr:colOff>
      <xdr:row>8</xdr:row>
      <xdr:rowOff>645</xdr:rowOff>
    </xdr:from>
    <xdr:to>
      <xdr:col>25</xdr:col>
      <xdr:colOff>65222</xdr:colOff>
      <xdr:row>9</xdr:row>
      <xdr:rowOff>184849</xdr:rowOff>
    </xdr:to>
    <xdr:sp macro="" textlink="'KPI CREATION'!F11">
      <xdr:nvSpPr>
        <xdr:cNvPr id="25" name="Rectangle: Rounded Corners 24">
          <a:extLst>
            <a:ext uri="{FF2B5EF4-FFF2-40B4-BE49-F238E27FC236}">
              <a16:creationId xmlns:a16="http://schemas.microsoft.com/office/drawing/2014/main" id="{266D595C-195A-4081-B4BD-CD8B0DE99F58}"/>
            </a:ext>
          </a:extLst>
        </xdr:cNvPr>
        <xdr:cNvSpPr/>
      </xdr:nvSpPr>
      <xdr:spPr>
        <a:xfrm>
          <a:off x="14891609" y="1550476"/>
          <a:ext cx="4602999" cy="37793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04AC1EA-41DE-424C-B364-E5DA5A4E50FB}" type="TxLink">
            <a:rPr lang="en-US" sz="2000" b="1" i="0" u="none" strike="noStrike">
              <a:ln>
                <a:noFill/>
              </a:ln>
              <a:solidFill>
                <a:schemeClr val="bg1"/>
              </a:solidFill>
              <a:latin typeface="Aptos Narrow"/>
              <a:ea typeface="+mn-ea"/>
              <a:cs typeface="+mn-cs"/>
            </a:rPr>
            <a:pPr marL="0" indent="0" algn="ctr"/>
            <a:t>International Encyclopedia of Linguistics</a:t>
          </a:fld>
          <a:endParaRPr lang="en-IN" sz="2000" b="1" i="0" u="none" strike="noStrike">
            <a:ln>
              <a:noFill/>
            </a:ln>
            <a:solidFill>
              <a:schemeClr val="bg1"/>
            </a:solidFill>
            <a:latin typeface="Aptos Narrow"/>
            <a:ea typeface="+mn-ea"/>
            <a:cs typeface="+mn-cs"/>
          </a:endParaRPr>
        </a:p>
      </xdr:txBody>
    </xdr:sp>
    <xdr:clientData/>
  </xdr:twoCellAnchor>
  <xdr:twoCellAnchor>
    <xdr:from>
      <xdr:col>19</xdr:col>
      <xdr:colOff>179522</xdr:colOff>
      <xdr:row>10</xdr:row>
      <xdr:rowOff>134159</xdr:rowOff>
    </xdr:from>
    <xdr:to>
      <xdr:col>23</xdr:col>
      <xdr:colOff>198572</xdr:colOff>
      <xdr:row>11</xdr:row>
      <xdr:rowOff>143683</xdr:rowOff>
    </xdr:to>
    <xdr:sp macro="" textlink="'KPI CREATION'!M12:N12">
      <xdr:nvSpPr>
        <xdr:cNvPr id="26" name="Rectangle: Rounded Corners 25">
          <a:extLst>
            <a:ext uri="{FF2B5EF4-FFF2-40B4-BE49-F238E27FC236}">
              <a16:creationId xmlns:a16="http://schemas.microsoft.com/office/drawing/2014/main" id="{ADF79CCC-B5E2-4B76-A16E-0826827E801F}"/>
            </a:ext>
          </a:extLst>
        </xdr:cNvPr>
        <xdr:cNvSpPr/>
      </xdr:nvSpPr>
      <xdr:spPr>
        <a:xfrm>
          <a:off x="15928060" y="2071447"/>
          <a:ext cx="2472948" cy="2032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CF62290-7C9D-4E4F-96F9-8E2133F0DD23}" type="TxLink">
            <a:rPr lang="en-US" sz="1400" b="1" i="0" u="none" strike="noStrike">
              <a:ln>
                <a:noFill/>
              </a:ln>
              <a:solidFill>
                <a:schemeClr val="bg1">
                  <a:lumMod val="95000"/>
                </a:schemeClr>
              </a:solidFill>
              <a:latin typeface="Aptos Narrow"/>
              <a:ea typeface="+mn-ea"/>
              <a:cs typeface="+mn-cs"/>
            </a:rPr>
            <a:pPr marL="0" indent="0" algn="ctr"/>
            <a:t>Rich Dad Poor Dad</a:t>
          </a:fld>
          <a:endParaRPr lang="en-IN" sz="1400" b="1" i="0" u="none" strike="noStrike">
            <a:ln>
              <a:noFill/>
            </a:ln>
            <a:solidFill>
              <a:schemeClr val="bg1">
                <a:lumMod val="95000"/>
              </a:schemeClr>
            </a:solidFill>
            <a:latin typeface="Aptos Narrow"/>
            <a:ea typeface="+mn-ea"/>
            <a:cs typeface="+mn-cs"/>
          </a:endParaRPr>
        </a:p>
      </xdr:txBody>
    </xdr:sp>
    <xdr:clientData/>
  </xdr:twoCellAnchor>
  <xdr:twoCellAnchor>
    <xdr:from>
      <xdr:col>26</xdr:col>
      <xdr:colOff>28574</xdr:colOff>
      <xdr:row>5</xdr:row>
      <xdr:rowOff>1</xdr:rowOff>
    </xdr:from>
    <xdr:to>
      <xdr:col>32</xdr:col>
      <xdr:colOff>247650</xdr:colOff>
      <xdr:row>12</xdr:row>
      <xdr:rowOff>38101</xdr:rowOff>
    </xdr:to>
    <xdr:sp macro="" textlink="">
      <xdr:nvSpPr>
        <xdr:cNvPr id="27" name="Rectangle: Rounded Corners 26">
          <a:extLst>
            <a:ext uri="{FF2B5EF4-FFF2-40B4-BE49-F238E27FC236}">
              <a16:creationId xmlns:a16="http://schemas.microsoft.com/office/drawing/2014/main" id="{C5A23DAD-78ED-42F1-B677-DAEB20C817CE}"/>
            </a:ext>
          </a:extLst>
        </xdr:cNvPr>
        <xdr:cNvSpPr/>
      </xdr:nvSpPr>
      <xdr:spPr>
        <a:xfrm>
          <a:off x="18316574" y="952501"/>
          <a:ext cx="3876676" cy="1371600"/>
        </a:xfrm>
        <a:prstGeom prst="roundRect">
          <a:avLst/>
        </a:prstGeom>
        <a:gradFill flip="none" rotWithShape="1">
          <a:gsLst>
            <a:gs pos="0">
              <a:schemeClr val="accent1">
                <a:lumMod val="5000"/>
                <a:lumOff val="95000"/>
              </a:schemeClr>
            </a:gs>
            <a:gs pos="74000">
              <a:schemeClr val="tx2">
                <a:lumMod val="75000"/>
                <a:lumOff val="25000"/>
              </a:schemeClr>
            </a:gs>
            <a:gs pos="83000">
              <a:schemeClr val="accent1">
                <a:lumMod val="75000"/>
              </a:schemeClr>
            </a:gs>
            <a:gs pos="100000">
              <a:schemeClr val="accent1">
                <a:lumMod val="50000"/>
              </a:schemeClr>
            </a:gs>
          </a:gsLst>
          <a:lin ang="13500000" scaled="1"/>
          <a:tileRect/>
        </a:gradFill>
        <a:effectLst>
          <a:glow rad="127000">
            <a:schemeClr val="accent1">
              <a:alpha val="12000"/>
            </a:schemeClr>
          </a:glow>
          <a:outerShdw blurRad="101600" dist="50800" dir="6300000" sx="99000" sy="99000" algn="ctr" rotWithShape="0">
            <a:srgbClr val="000000">
              <a:alpha val="86000"/>
            </a:srgbClr>
          </a:outerShdw>
          <a:reflection stA="0" endPos="65000" dist="50800" dir="5400000" sy="-100000" algn="bl" rotWithShape="0"/>
          <a:softEdge rad="0"/>
        </a:effectLst>
        <a:scene3d>
          <a:camera prst="perspectiveAbove"/>
          <a:lightRig rig="threePt" dir="t"/>
        </a:scene3d>
        <a:sp3d z="25400"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26</xdr:col>
      <xdr:colOff>285750</xdr:colOff>
      <xdr:row>5</xdr:row>
      <xdr:rowOff>180975</xdr:rowOff>
    </xdr:from>
    <xdr:to>
      <xdr:col>31</xdr:col>
      <xdr:colOff>542925</xdr:colOff>
      <xdr:row>7</xdr:row>
      <xdr:rowOff>171450</xdr:rowOff>
    </xdr:to>
    <xdr:sp macro="" textlink="">
      <xdr:nvSpPr>
        <xdr:cNvPr id="28" name="TextBox 27">
          <a:extLst>
            <a:ext uri="{FF2B5EF4-FFF2-40B4-BE49-F238E27FC236}">
              <a16:creationId xmlns:a16="http://schemas.microsoft.com/office/drawing/2014/main" id="{3CD30449-DA7C-4A22-ACA7-72CB0E8466DA}"/>
            </a:ext>
          </a:extLst>
        </xdr:cNvPr>
        <xdr:cNvSpPr txBox="1"/>
      </xdr:nvSpPr>
      <xdr:spPr>
        <a:xfrm>
          <a:off x="18573750" y="1133475"/>
          <a:ext cx="3305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 READER ENGAGEMENT SCORE</a:t>
          </a:r>
        </a:p>
      </xdr:txBody>
    </xdr:sp>
    <xdr:clientData/>
  </xdr:twoCellAnchor>
  <xdr:twoCellAnchor>
    <xdr:from>
      <xdr:col>28</xdr:col>
      <xdr:colOff>62316</xdr:colOff>
      <xdr:row>7</xdr:row>
      <xdr:rowOff>189209</xdr:rowOff>
    </xdr:from>
    <xdr:to>
      <xdr:col>30</xdr:col>
      <xdr:colOff>309966</xdr:colOff>
      <xdr:row>9</xdr:row>
      <xdr:rowOff>179684</xdr:rowOff>
    </xdr:to>
    <xdr:sp macro="" textlink="'KPI CREATION'!F17">
      <xdr:nvSpPr>
        <xdr:cNvPr id="29" name="Rectangle: Rounded Corners 28">
          <a:extLst>
            <a:ext uri="{FF2B5EF4-FFF2-40B4-BE49-F238E27FC236}">
              <a16:creationId xmlns:a16="http://schemas.microsoft.com/office/drawing/2014/main" id="{7A7DD51E-582D-409D-B672-7E034A068D74}"/>
            </a:ext>
          </a:extLst>
        </xdr:cNvPr>
        <xdr:cNvSpPr/>
      </xdr:nvSpPr>
      <xdr:spPr>
        <a:xfrm>
          <a:off x="21332125" y="1545311"/>
          <a:ext cx="1474599" cy="37793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126C09-A445-4E42-A7CB-C471D3E1315A}" type="TxLink">
            <a:rPr lang="en-US" sz="2000" b="1" i="0" u="none" strike="noStrike">
              <a:ln>
                <a:noFill/>
              </a:ln>
              <a:solidFill>
                <a:schemeClr val="bg1"/>
              </a:solidFill>
              <a:latin typeface="Aptos Narrow"/>
              <a:ea typeface="+mn-ea"/>
              <a:cs typeface="+mn-cs"/>
            </a:rPr>
            <a:pPr marL="0" indent="0" algn="ctr"/>
            <a:t>31892557</a:t>
          </a:fld>
          <a:endParaRPr lang="en-IN" sz="2000" b="1" i="0" u="none" strike="noStrike">
            <a:ln>
              <a:noFill/>
            </a:ln>
            <a:solidFill>
              <a:schemeClr val="bg1"/>
            </a:solidFill>
            <a:latin typeface="Aptos Narrow"/>
            <a:ea typeface="+mn-ea"/>
            <a:cs typeface="+mn-cs"/>
          </a:endParaRPr>
        </a:p>
      </xdr:txBody>
    </xdr:sp>
    <xdr:clientData/>
  </xdr:twoCellAnchor>
  <xdr:twoCellAnchor>
    <xdr:from>
      <xdr:col>28</xdr:col>
      <xdr:colOff>284297</xdr:colOff>
      <xdr:row>10</xdr:row>
      <xdr:rowOff>63769</xdr:rowOff>
    </xdr:from>
    <xdr:to>
      <xdr:col>30</xdr:col>
      <xdr:colOff>84272</xdr:colOff>
      <xdr:row>11</xdr:row>
      <xdr:rowOff>139968</xdr:rowOff>
    </xdr:to>
    <xdr:sp macro="" textlink="'KPI CREATION'!M18:N18">
      <xdr:nvSpPr>
        <xdr:cNvPr id="30" name="Rectangle: Rounded Corners 29">
          <a:extLst>
            <a:ext uri="{FF2B5EF4-FFF2-40B4-BE49-F238E27FC236}">
              <a16:creationId xmlns:a16="http://schemas.microsoft.com/office/drawing/2014/main" id="{47BCFB99-1A00-402A-87E5-DDFFC78B69E4}"/>
            </a:ext>
          </a:extLst>
        </xdr:cNvPr>
        <xdr:cNvSpPr/>
      </xdr:nvSpPr>
      <xdr:spPr>
        <a:xfrm>
          <a:off x="21554106" y="2001057"/>
          <a:ext cx="1026924" cy="2699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72F28FF-7629-427A-A607-87B70737543C}" type="TxLink">
            <a:rPr lang="en-US" sz="1400" b="1" i="0" u="none" strike="noStrike">
              <a:ln>
                <a:noFill/>
              </a:ln>
              <a:solidFill>
                <a:schemeClr val="bg1">
                  <a:lumMod val="95000"/>
                </a:schemeClr>
              </a:solidFill>
              <a:latin typeface="Aptos Narrow"/>
              <a:ea typeface="+mn-ea"/>
              <a:cs typeface="+mn-cs"/>
            </a:rPr>
            <a:pPr marL="0" indent="0" algn="ctr"/>
            <a:t>21305000</a:t>
          </a:fld>
          <a:endParaRPr lang="en-IN" sz="1400" b="1" i="0" u="none" strike="noStrike">
            <a:ln>
              <a:noFill/>
            </a:ln>
            <a:solidFill>
              <a:schemeClr val="bg1">
                <a:lumMod val="95000"/>
              </a:schemeClr>
            </a:solidFill>
            <a:latin typeface="Aptos Narrow"/>
            <a:ea typeface="+mn-ea"/>
            <a:cs typeface="+mn-cs"/>
          </a:endParaRPr>
        </a:p>
      </xdr:txBody>
    </xdr:sp>
    <xdr:clientData/>
  </xdr:twoCellAnchor>
  <xdr:twoCellAnchor>
    <xdr:from>
      <xdr:col>33</xdr:col>
      <xdr:colOff>28576</xdr:colOff>
      <xdr:row>4</xdr:row>
      <xdr:rowOff>171450</xdr:rowOff>
    </xdr:from>
    <xdr:to>
      <xdr:col>37</xdr:col>
      <xdr:colOff>600076</xdr:colOff>
      <xdr:row>12</xdr:row>
      <xdr:rowOff>8504</xdr:rowOff>
    </xdr:to>
    <xdr:sp macro="" textlink="">
      <xdr:nvSpPr>
        <xdr:cNvPr id="31" name="Rectangle: Rounded Corners 30">
          <a:extLst>
            <a:ext uri="{FF2B5EF4-FFF2-40B4-BE49-F238E27FC236}">
              <a16:creationId xmlns:a16="http://schemas.microsoft.com/office/drawing/2014/main" id="{FD80E1DB-701A-4EA7-AD36-737D83578926}"/>
            </a:ext>
          </a:extLst>
        </xdr:cNvPr>
        <xdr:cNvSpPr/>
      </xdr:nvSpPr>
      <xdr:spPr>
        <a:xfrm>
          <a:off x="24164246" y="919843"/>
          <a:ext cx="3020785" cy="1333840"/>
        </a:xfrm>
        <a:prstGeom prst="roundRect">
          <a:avLst/>
        </a:prstGeom>
        <a:gradFill flip="none" rotWithShape="1">
          <a:gsLst>
            <a:gs pos="0">
              <a:schemeClr val="accent1">
                <a:lumMod val="5000"/>
                <a:lumOff val="95000"/>
              </a:schemeClr>
            </a:gs>
            <a:gs pos="74000">
              <a:schemeClr val="tx2">
                <a:lumMod val="75000"/>
                <a:lumOff val="25000"/>
              </a:schemeClr>
            </a:gs>
            <a:gs pos="83000">
              <a:schemeClr val="accent1">
                <a:lumMod val="75000"/>
              </a:schemeClr>
            </a:gs>
            <a:gs pos="100000">
              <a:schemeClr val="accent1">
                <a:lumMod val="50000"/>
              </a:schemeClr>
            </a:gs>
          </a:gsLst>
          <a:lin ang="13500000" scaled="1"/>
          <a:tileRect/>
        </a:gradFill>
        <a:effectLst>
          <a:glow rad="127000">
            <a:schemeClr val="accent1">
              <a:alpha val="12000"/>
            </a:schemeClr>
          </a:glow>
          <a:outerShdw blurRad="101600" dist="50800" dir="6300000" sx="99000" sy="99000" algn="ctr" rotWithShape="0">
            <a:srgbClr val="000000">
              <a:alpha val="86000"/>
            </a:srgbClr>
          </a:outerShdw>
          <a:reflection stA="0" endPos="65000" dist="50800" dir="5400000" sy="-100000" algn="bl" rotWithShape="0"/>
          <a:softEdge rad="0"/>
        </a:effectLst>
        <a:scene3d>
          <a:camera prst="perspectiveAbove"/>
          <a:lightRig rig="threePt" dir="t"/>
        </a:scene3d>
        <a:sp3d z="25400"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33</xdr:col>
      <xdr:colOff>323851</xdr:colOff>
      <xdr:row>5</xdr:row>
      <xdr:rowOff>180975</xdr:rowOff>
    </xdr:from>
    <xdr:to>
      <xdr:col>37</xdr:col>
      <xdr:colOff>381001</xdr:colOff>
      <xdr:row>7</xdr:row>
      <xdr:rowOff>171450</xdr:rowOff>
    </xdr:to>
    <xdr:sp macro="" textlink="">
      <xdr:nvSpPr>
        <xdr:cNvPr id="32" name="TextBox 31">
          <a:extLst>
            <a:ext uri="{FF2B5EF4-FFF2-40B4-BE49-F238E27FC236}">
              <a16:creationId xmlns:a16="http://schemas.microsoft.com/office/drawing/2014/main" id="{D9D8AC9A-94D9-4B5F-B8E9-34D738CF2F28}"/>
            </a:ext>
          </a:extLst>
        </xdr:cNvPr>
        <xdr:cNvSpPr txBox="1"/>
      </xdr:nvSpPr>
      <xdr:spPr>
        <a:xfrm>
          <a:off x="22879051" y="1133475"/>
          <a:ext cx="24955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 MOST POPULAR GENRE</a:t>
          </a:r>
        </a:p>
      </xdr:txBody>
    </xdr:sp>
    <xdr:clientData/>
  </xdr:twoCellAnchor>
  <xdr:twoCellAnchor>
    <xdr:from>
      <xdr:col>34</xdr:col>
      <xdr:colOff>542925</xdr:colOff>
      <xdr:row>7</xdr:row>
      <xdr:rowOff>183397</xdr:rowOff>
    </xdr:from>
    <xdr:to>
      <xdr:col>36</xdr:col>
      <xdr:colOff>238125</xdr:colOff>
      <xdr:row>9</xdr:row>
      <xdr:rowOff>173872</xdr:rowOff>
    </xdr:to>
    <xdr:sp macro="" textlink="'KPI CREATION'!F20">
      <xdr:nvSpPr>
        <xdr:cNvPr id="33" name="Rectangle: Rounded Corners 32">
          <a:extLst>
            <a:ext uri="{FF2B5EF4-FFF2-40B4-BE49-F238E27FC236}">
              <a16:creationId xmlns:a16="http://schemas.microsoft.com/office/drawing/2014/main" id="{0AAA828A-EBB1-4FE6-8EFA-D6376B4A5307}"/>
            </a:ext>
          </a:extLst>
        </xdr:cNvPr>
        <xdr:cNvSpPr/>
      </xdr:nvSpPr>
      <xdr:spPr>
        <a:xfrm>
          <a:off x="25493582" y="1539499"/>
          <a:ext cx="922149" cy="377932"/>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1DC8E03-3176-432D-8B02-C5E7F9661B10}" type="TxLink">
            <a:rPr lang="en-US" sz="2000" b="1" i="0" u="none" strike="noStrike">
              <a:ln>
                <a:noFill/>
              </a:ln>
              <a:solidFill>
                <a:schemeClr val="bg1"/>
              </a:solidFill>
              <a:latin typeface="Aptos Narrow"/>
              <a:ea typeface="+mn-ea"/>
              <a:cs typeface="+mn-cs"/>
            </a:rPr>
            <a:pPr marL="0" indent="0" algn="ctr"/>
            <a:t>Fiction</a:t>
          </a:fld>
          <a:endParaRPr lang="en-IN" sz="2000" b="1" i="0" u="none" strike="noStrike">
            <a:ln>
              <a:noFill/>
            </a:ln>
            <a:solidFill>
              <a:schemeClr val="bg1"/>
            </a:solidFill>
            <a:latin typeface="Aptos Narrow"/>
            <a:ea typeface="+mn-ea"/>
            <a:cs typeface="+mn-cs"/>
          </a:endParaRPr>
        </a:p>
      </xdr:txBody>
    </xdr:sp>
    <xdr:clientData/>
  </xdr:twoCellAnchor>
  <xdr:twoCellAnchor>
    <xdr:from>
      <xdr:col>34</xdr:col>
      <xdr:colOff>416194</xdr:colOff>
      <xdr:row>10</xdr:row>
      <xdr:rowOff>76201</xdr:rowOff>
    </xdr:from>
    <xdr:to>
      <xdr:col>36</xdr:col>
      <xdr:colOff>378094</xdr:colOff>
      <xdr:row>11</xdr:row>
      <xdr:rowOff>66675</xdr:rowOff>
    </xdr:to>
    <xdr:sp macro="" textlink="'KPI CREATION'!M21:N21">
      <xdr:nvSpPr>
        <xdr:cNvPr id="34" name="Rectangle: Rounded Corners 33">
          <a:extLst>
            <a:ext uri="{FF2B5EF4-FFF2-40B4-BE49-F238E27FC236}">
              <a16:creationId xmlns:a16="http://schemas.microsoft.com/office/drawing/2014/main" id="{CC23A934-2C63-45A3-B062-7DAE62F13993}"/>
            </a:ext>
          </a:extLst>
        </xdr:cNvPr>
        <xdr:cNvSpPr/>
      </xdr:nvSpPr>
      <xdr:spPr>
        <a:xfrm>
          <a:off x="25366851" y="2013489"/>
          <a:ext cx="1188849" cy="1842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20D879D-CBAC-4822-8489-C602524632BF}" type="TxLink">
            <a:rPr lang="en-US" sz="1400" b="1" i="0" u="none" strike="noStrike">
              <a:ln>
                <a:noFill/>
              </a:ln>
              <a:solidFill>
                <a:schemeClr val="bg1">
                  <a:lumMod val="95000"/>
                </a:schemeClr>
              </a:solidFill>
              <a:latin typeface="Aptos Narrow"/>
              <a:ea typeface="+mn-ea"/>
              <a:cs typeface="+mn-cs"/>
            </a:rPr>
            <a:pPr marL="0" indent="0" algn="ctr"/>
            <a:t>Fiction</a:t>
          </a:fld>
          <a:endParaRPr lang="en-IN" sz="1400" b="1" i="0" u="none" strike="noStrike">
            <a:ln>
              <a:noFill/>
            </a:ln>
            <a:solidFill>
              <a:schemeClr val="bg1">
                <a:lumMod val="95000"/>
              </a:schemeClr>
            </a:solidFill>
            <a:latin typeface="Aptos Narrow"/>
            <a:ea typeface="+mn-ea"/>
            <a:cs typeface="+mn-cs"/>
          </a:endParaRPr>
        </a:p>
      </xdr:txBody>
    </xdr:sp>
    <xdr:clientData/>
  </xdr:twoCellAnchor>
  <xdr:twoCellAnchor>
    <xdr:from>
      <xdr:col>7</xdr:col>
      <xdr:colOff>179717</xdr:colOff>
      <xdr:row>51</xdr:row>
      <xdr:rowOff>398459</xdr:rowOff>
    </xdr:from>
    <xdr:to>
      <xdr:col>13</xdr:col>
      <xdr:colOff>233631</xdr:colOff>
      <xdr:row>72</xdr:row>
      <xdr:rowOff>35431</xdr:rowOff>
    </xdr:to>
    <xdr:graphicFrame macro="">
      <xdr:nvGraphicFramePr>
        <xdr:cNvPr id="38" name="Chart 37">
          <a:extLst>
            <a:ext uri="{FF2B5EF4-FFF2-40B4-BE49-F238E27FC236}">
              <a16:creationId xmlns:a16="http://schemas.microsoft.com/office/drawing/2014/main" id="{2F4AE0DB-B30C-4FE9-AFEB-5CF8EB0E2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1823110</xdr:colOff>
      <xdr:row>10</xdr:row>
      <xdr:rowOff>103115</xdr:rowOff>
    </xdr:from>
    <xdr:to>
      <xdr:col>9</xdr:col>
      <xdr:colOff>2876737</xdr:colOff>
      <xdr:row>11</xdr:row>
      <xdr:rowOff>122165</xdr:rowOff>
    </xdr:to>
    <xdr:sp macro="" textlink="'KPI CREATION'!M9:N9">
      <xdr:nvSpPr>
        <xdr:cNvPr id="39" name="Rectangle: Rounded Corners 38">
          <a:extLst>
            <a:ext uri="{FF2B5EF4-FFF2-40B4-BE49-F238E27FC236}">
              <a16:creationId xmlns:a16="http://schemas.microsoft.com/office/drawing/2014/main" id="{4DB1DE95-C256-4633-B59F-9206ECE6B94A}"/>
            </a:ext>
          </a:extLst>
        </xdr:cNvPr>
        <xdr:cNvSpPr/>
      </xdr:nvSpPr>
      <xdr:spPr>
        <a:xfrm>
          <a:off x="8131176" y="2080002"/>
          <a:ext cx="1053627" cy="2167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F746834-6A5B-48C8-A574-A36AFA984BD4}" type="TxLink">
            <a:rPr lang="en-US" sz="1600" b="0" i="0" u="none" strike="noStrike">
              <a:ln>
                <a:noFill/>
              </a:ln>
              <a:solidFill>
                <a:schemeClr val="bg1"/>
              </a:solidFill>
              <a:latin typeface="Aptos Narrow"/>
              <a:ea typeface="+mn-ea"/>
              <a:cs typeface="+mn-cs"/>
            </a:rPr>
            <a:pPr marL="0" indent="0" algn="ctr"/>
            <a:t>0.6</a:t>
          </a:fld>
          <a:endParaRPr lang="en-IN" sz="1400" b="0" i="0" u="none" strike="noStrike">
            <a:ln>
              <a:noFill/>
            </a:ln>
            <a:solidFill>
              <a:schemeClr val="bg1"/>
            </a:solidFill>
            <a:latin typeface="Aptos Narrow"/>
            <a:ea typeface="+mn-ea"/>
            <a:cs typeface="+mn-cs"/>
          </a:endParaRPr>
        </a:p>
      </xdr:txBody>
    </xdr:sp>
    <xdr:clientData/>
  </xdr:twoCellAnchor>
  <xdr:twoCellAnchor>
    <xdr:from>
      <xdr:col>13</xdr:col>
      <xdr:colOff>17972</xdr:colOff>
      <xdr:row>75</xdr:row>
      <xdr:rowOff>179717</xdr:rowOff>
    </xdr:from>
    <xdr:to>
      <xdr:col>21</xdr:col>
      <xdr:colOff>143774</xdr:colOff>
      <xdr:row>86</xdr:row>
      <xdr:rowOff>143773</xdr:rowOff>
    </xdr:to>
    <xdr:sp macro="" textlink="' EMO ND SUMMARY'!E14">
      <xdr:nvSpPr>
        <xdr:cNvPr id="40" name="TextBox 39">
          <a:extLst>
            <a:ext uri="{FF2B5EF4-FFF2-40B4-BE49-F238E27FC236}">
              <a16:creationId xmlns:a16="http://schemas.microsoft.com/office/drawing/2014/main" id="{2A7BCB60-AC51-4324-791C-30F5782DA402}"/>
            </a:ext>
          </a:extLst>
        </xdr:cNvPr>
        <xdr:cNvSpPr txBox="1"/>
      </xdr:nvSpPr>
      <xdr:spPr>
        <a:xfrm>
          <a:off x="12634104" y="15275943"/>
          <a:ext cx="4456981" cy="2138632"/>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E5F84E-D5E9-49D1-9F97-CA218F7E2C7C}" type="TxLink">
            <a:rPr lang="en-US" sz="1400" b="1" i="0" u="none" strike="noStrike">
              <a:solidFill>
                <a:schemeClr val="bg1"/>
              </a:solidFill>
              <a:latin typeface="Aptos Narrow"/>
            </a:rPr>
            <a:pPr algn="ctr"/>
            <a:t>📘 Summary of Filtered View: 
📚 Total Books: 1383
👤 Unique Authors: 11
🌏 Top Language: en
🏆 Highest Rated Book: Rich Dad Poor Dad
⭐ Average Rating: 0.6
📈 Most Popular Genre: Fiction</a:t>
          </a:fld>
          <a:endParaRPr lang="en-IN" sz="1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nes" refreshedDate="45853.356963194441" createdVersion="8" refreshedVersion="8" minRefreshableVersion="3" recordCount="1383" xr:uid="{2DDC728B-4D04-4C6E-8F97-3D991E3DD9CB}">
  <cacheSource type="worksheet">
    <worksheetSource name="Books"/>
  </cacheSource>
  <cacheFields count="13">
    <cacheField name="TITLE" numFmtId="0">
      <sharedItems count="1892" longText="1">
        <s v="Fictional Points of View"/>
        <s v="Science Fiction and Fantasy Literature"/>
        <s v="Fictional Space in the Modernist and Post-modernist American Novel"/>
        <s v="Mestizos Come Home!"/>
        <s v="Telling Lies in Modern American Autobiography"/>
        <s v="Essential Skills - Reading and Writing, Grade 1"/>
        <s v="Reload"/>
        <s v="Presented Discourse in Popular Science"/>
        <s v="Encyclopedia of the Novel"/>
        <s v="Idealism"/>
        <s v="The Philosophy of David Cronenberg"/>
        <s v="International Who's Who of Authors and Writers 2004"/>
        <s v="Hugo Gernsback, Father of Modern Science Fiction"/>
        <s v="Tessa Tiger's Temper Tantrums"/>
        <s v="Routledge Handbook of Historical International Relations"/>
        <s v="The Social Studies Curriculum"/>
        <s v="St James's Palace"/>
        <s v="Comprehending Antisemitism through the Ages: A Historical Perspective"/>
        <s v="The Circle of Knowledge: A Classified, Simplified, Visualized Book of Answers"/>
        <s v="War and Conflict Quotations"/>
        <s v="Our Reason for Being"/>
        <s v="Aesthetics"/>
        <s v="Critical Legal Education as a Subversive Activity"/>
        <s v="A Classified Catalogue of the Malta Garrison Library"/>
        <s v="References to the Principal Works in every Department of Religious Literature"/>
        <s v="The Statesman's Year-Book"/>
        <s v="Decline and Fall of the Roman Empire"/>
        <s v="A S R Index 2019"/>
        <s v="Groton During the Revolution"/>
        <s v="Reading Biography"/>
        <s v="Recognizing Biography"/>
        <s v="Biography and the Question of Literature in France"/>
        <s v="Biography in Theory"/>
        <s v="Biographies in the History of Physics"/>
        <s v="The Art of Biography in Antiquity"/>
        <s v="The Seductions of Biography"/>
        <s v="The Turn to Biographical Methods in Social Science"/>
        <s v="Biographical Misrepresentations of British Women Writers"/>
        <s v="A Companion to Literary Biography"/>
        <s v="The Book of Awesome Black Americans"/>
        <s v="Berkshire Dictionary of Chinese Biography"/>
        <s v="Writing Feminist Lives"/>
        <s v="History of Medical Miracles and the Lives Behind Them"/>
        <s v="Biblical Interpretation in Early Christian Gospels Volume 1"/>
        <s v="What is a Gospel?"/>
        <s v="Polybius and His Legacy"/>
        <s v="Research Handbook on Inequalities in Later Life"/>
        <s v="Lives of the Novelists"/>
        <s v="Transnational Radicalism and the Connected Lives of Tom Mann and Robert Samuel Ross"/>
        <s v="Oak Cliff and the Missing Pieces"/>
        <s v="Clio's Laws"/>
        <s v="The Enlightenment as Social Criticism"/>
        <s v="The Mystery Readers' Advisory"/>
        <s v="The Mystery of Tally-ho Cottage"/>
        <s v="Human Sexuality and the Nuptial Mystery"/>
        <s v="A Rachel Gift Mystery Bundle: Her Last Hope (#3) and Her Last Fear (#4)"/>
        <s v="The Mystery Fancier"/>
        <s v="Eudora Welty and Mystery"/>
        <s v="The Mystery of the Shemitah"/>
        <s v="The Mystery of Hidden Valley (The Mystery Series Book 3)"/>
        <s v="The Mystery at Dracula's Castle (Transylvania, Romania)"/>
        <s v="The Mystery in the Amazon Rainforest (South America)"/>
        <s v="The Mystery of the Ancient Pyramid (Cairo, Egypt)"/>
        <s v="The Tustin Chronicles: A Detective Santy Mystery"/>
        <s v="If She Saw (A Kate Wise Mystery—Book 2)"/>
        <s v="If She Feared (A Kate Wise Mystery—Book 6)"/>
        <s v="If She Hid (A Kate Wise Mystery—Book 4)"/>
        <s v="The Rip-ROARING Mystery on the African Safari (South Africa)"/>
        <s v="Next Door (A Chloe Fine Psychological Suspense Mystery—Book 1)"/>
        <s v="The Mystery of Musical Creativity"/>
        <s v="Once Bound (A Riley Paige Mystery—Book 12)"/>
        <s v="The Mystery at the Eiffel Tower (Paris, France)"/>
        <s v="The Nebraska Mystery Van Takes Off!"/>
        <s v="The Mystery of Jesus Christ Revealed"/>
        <s v="Thistlewood Manor: A Flapper Fatality (An Eliza Montagu Cozy Mystery—Book 5)"/>
        <s v="Thistlewood Manor: A Doll’s Debacle (An Eliza Montagu Cozy Mystery—Book 7)"/>
        <s v="A Zoe Prime Mystery Bundle: Face of Madness (#4) and Face of Fury (#5)"/>
        <s v="Mystery Teachings from the Living Earth"/>
        <s v="California Mystery Van Takes Off! Book 1"/>
        <s v="Beachfront Bakery: A Treacherous Tart (A Beachfront Bakery Cozy Mystery—Book 5)"/>
        <s v="The Spicy Mystery MEGAPACK ®: 25 Tales from the &quot;Spicy&quot; Pulps"/>
        <s v="The Mystery Fancier (Vol. 3 No. 4)"/>
        <s v="Teaching World History as Mystery"/>
        <s v="The Gerrard Street Mystery"/>
        <s v="Anglicising Romance"/>
        <s v="The Ancient Romances"/>
        <s v="Romance Writing"/>
        <s v="The Cambridge History of English Poetry"/>
        <s v="Nine Medieval Romances of Magic"/>
        <s v="Third Language Acquisition and Universal Grammar"/>
        <s v="International Encyclopedia of Linguistics"/>
        <s v="Class Fictions"/>
        <s v="Adoring Outlander"/>
        <s v="Intertextuality and Victorian Studies"/>
        <s v="Historicizing the Enlightenment, Volume 2"/>
        <s v="Romantic Love"/>
        <s v="Translation and Temporality in Benoît de Sainte-Maure's Roman de Troie"/>
        <s v="Stories about Stories"/>
        <s v="Teaching Tainted Lit"/>
        <s v="James Fenimore Cooper"/>
        <s v="Handbook of Medieval Studies"/>
        <s v="Handbook of the American Novel of the Nineteenth Century"/>
        <s v="Don Quixote as Children's Literature"/>
        <s v="Poets and Scribes in Late Medieval England"/>
        <s v="Diachronic, Typological, and Areal Aspects of Converbs"/>
        <s v="Possible Knowledge"/>
        <s v="Robert Louis Stevenson, Science, and the Fin de Siècle"/>
        <s v="Prose Fiction and Early Modern Sexuality,1570-1640"/>
        <s v="The Consummate Virgin"/>
        <s v="Gender and Women's Leadership"/>
        <s v="Challenging Realities: Magic Realism in Contemporary American Women's Fiction"/>
        <s v="Fantasy"/>
        <s v="The Fantasy Sport Industry"/>
        <s v="Interface Fantasy"/>
        <s v="Fantasy Football and Mathematics"/>
        <s v="Final Fantasy Ultimania Archive Volume 2"/>
        <s v="Translation and Fantasy Literature in Taiwan"/>
        <s v="Race and Popular Fantasy Literature"/>
        <s v="Fantasy Football's Big Six"/>
        <s v="The Year's Best Fantasy"/>
        <s v="Imagination from Fantasy to Delusion"/>
        <s v="The Year's Best Dark Fantasy &amp; Horror"/>
        <s v="The Cambridge Companion to Fantasy Literature"/>
        <s v="Historical Dictionary of Fantasy Literature"/>
        <s v="The Fantasy Literature of England"/>
        <s v="Yoshitaka Amano: The Illustrated Biography Beyond the Fantasy Limited Edition"/>
        <s v="Gender and Sexuality in Contemporary Popular Fantasy"/>
        <s v="Life with an Ordinary Guy Who Reincarnated into a Total Fantasy Knockout Vol. 4"/>
        <s v="Fantasy Global Appeal"/>
        <s v="Fantasy Football Tips"/>
        <s v="Fantasy Sports Unleashed"/>
        <s v="Art of Fantasy"/>
        <s v="Fantasy Comics Influence"/>
        <s v="Rhetorics of Fantasy"/>
        <s v="Child Studies Through Fantasy"/>
        <s v="Fantasy Art Bible"/>
        <s v="Modern Mystery, Fantasy, and Science Fiction Writers"/>
        <s v="Final Fantasy VIII Official Strategy Guide"/>
        <s v="Thriller Genre Trends"/>
        <s v="Thrillers"/>
        <s v="The Thriller"/>
        <s v="History and Story in the American Political Thriller Film"/>
        <s v="Storizen Magazine October 2019 | A Thriller Writer at Heart - Kanchana Banerjee"/>
        <s v="The Unseen Face (Barren Pines: Book 7)"/>
        <s v="Understanding Competition and Diversity in Television Programming: Economic crisis &amp; TV"/>
        <s v="Where You Go (A Kelly Cruz Mystery—Book One)"/>
        <s v="Crime Fiction"/>
        <s v="Personal Voice"/>
        <s v="Internet Science"/>
        <s v="His Other Self (A Jessie Reach Mystery—Book Two)"/>
        <s v="Beyond Doubt (A Reese Link Mystery—Book Four)"/>
        <s v="Alternative Scriptwriting"/>
        <s v="Target Thirteen (The Spy Game—Book #13)"/>
        <s v="Where You Fear (A Kelly Cruz Mystery—Book Five)"/>
        <s v="Film and Suspense"/>
        <s v="Driving With Music: Cognitive-Behavioural Implications"/>
        <s v="AKASHVANI"/>
        <s v="The Hero in Transition"/>
        <s v="The Intellectual Devotional Modern Culture"/>
        <s v="The End of Meaning"/>
        <s v="The Little Black Book of 80s Hits"/>
        <s v="The Lies That Bind Us"/>
        <s v="Gone Dark"/>
        <s v="Young People, Stalking Awareness and Domestic Abuse"/>
        <s v="Devil Smoke"/>
        <s v="The Sleepless Stars"/>
        <s v="The Narrative Reader"/>
        <s v="Target Nine (The Spy Game—Book #9)"/>
        <s v="Christianity"/>
        <s v="Bestsellers"/>
        <s v="New Educational Philosophy"/>
        <s v="An Introductory Philosophy of Medicine"/>
        <s v="Being a Philosopher"/>
        <s v="The Oxford Handbook of Philosophy and Race"/>
        <s v="A Conceptual-analytic Study of Classical Indian Philosophy of Morals"/>
        <s v="The Philosophy of Law and Legal Science"/>
        <s v="The Onion and Philosophy"/>
        <s v="The Philosophical Foundations of Ecological Civilization"/>
        <s v="Nietzsche's Philosophical Context"/>
        <s v="The Philosopher"/>
        <s v="Jew and Philosopher"/>
        <s v="Top 101 Philosophers"/>
        <s v="A Philosopher's Apprentice"/>
        <s v="Philosophical Papers: Volume 3, Realism and Reason"/>
        <s v="Great Philosophers"/>
        <s v="Emerson as Philosopher"/>
        <s v="Philosophical Writing"/>
        <s v="Philosophy of Language"/>
        <s v="Philosophers on Race"/>
        <s v="Faith and the Philosophers"/>
        <s v="Plato and the Question of Beauty"/>
        <s v="200 Words to Help You Talk about Philosophy"/>
        <s v="Kod?ly Today"/>
        <s v="System of Transcendental Idealism (1800)"/>
        <s v="Coping"/>
        <s v="The Oxford Handbook of Clinical Psychology"/>
        <s v="Psychology"/>
        <s v="Essential Psychology"/>
        <s v="Handbook of Psychology and Law"/>
        <s v="A Practical Guide to Building Professional Competencies in School Psychology"/>
        <s v="Applied Psychology"/>
        <s v="Handbook of Clinical Psychopharmacology for Psychologists"/>
        <s v="What Is Psychology?"/>
        <s v="The Future of Psychology"/>
        <s v="The Psychological Science of Money"/>
        <s v="Meta-Analysis for Psychologists"/>
        <s v="Foundations of the Psychological Intervention"/>
        <s v="Essentials of Culture in Psychological Assessment"/>
        <s v="Essays in Ancient Greek Philosophy II"/>
        <s v="Behavior and Psychological Man"/>
        <s v="Dissemination and Implementation of Evidence-Based Psychological Interventions"/>
        <s v="Psychology Australian and New Zealand Edition"/>
        <s v="Essentials of Forensic Psychological Assessment"/>
        <s v="Emotions in Social Psychology"/>
        <s v="Pyschology 4e"/>
        <s v="Cognitive Behavior Therapy"/>
        <s v="Human Growth and Development"/>
        <s v="Psychological and Transcendental Phenomenology and the Confrontation with Heidegger (1927–1931)"/>
        <s v="Handbook of Personality Assessment"/>
        <s v="Research Methods Pedagogy: Engaging Psychology Students in Research Methods and Statistics"/>
        <s v="Arthāt arthatantra"/>
        <s v="SUN TZU ENTREPRENEURSHIP™"/>
        <s v="Marketing and Managing Tourism Destinations"/>
        <s v="Military Spouse Journey"/>
        <s v="Cambridge IGCSE® Business Studies Coursebook with CD-ROM"/>
        <s v="Information Technology Project Management"/>
        <s v="Handbook of Pediatric Behavioral Healthcare"/>
        <s v="The Learning Healthcare System"/>
        <s v="Mismanaged Money in American Healthcare"/>
        <s v="Impact of Digital Solutions for Improved Healthcare Delivery"/>
        <s v="Public Health Nursing - Revised Reprint"/>
        <s v="Back Injury Among Healthcare Workers"/>
        <s v="The Art and Science of Mental Health Nursing"/>
        <s v="Kozier &amp; Erb's Fundamentals of Nursing Australian Edition"/>
        <s v="Functional Performance in Older Adults"/>
        <s v="Cook's Science"/>
        <s v="The Basic Basics How to Cook from A–Z"/>
        <s v="Zero Oil South Indian Cook Book"/>
        <s v="Exploring Culinary Arts"/>
        <s v="Routine Post-harvest Screening of Banana/plantain Hybrids"/>
        <s v="Advanced Research Methods in Food Processing Technologies"/>
        <s v="The Temple Complex at Horvat Omrit"/>
        <s v="Longman Active Study Dictionary"/>
        <s v="The Human Side of Service Engineering"/>
        <s v="Food Phytates"/>
        <s v="Mindful Eating"/>
        <s v="Foodservice Operations and Management: Concepts and Applications"/>
        <s v="Kavousi IIB"/>
        <s v="Use of the RE-AIM Framework: Translating Research to Practice with Novel Applications and Emerging Directions"/>
        <s v="Oswaal ISC 5 Previous Year Solved Papers Class-12 | Year wise 2018-2024 | Commerce (Accounts, Economics, Business studies, commerce, English 1, English 2, Maths, Hindi, Computer science) For 2025 Board Exam"/>
        <s v="Proceedings of the World Congress on Vegetable Protein Utilization in Human Foods and Animal Feedstuffs"/>
        <s v="Bronze Age Settlement and Land-Use in Thy, Northwest Denmark (Volume 1 &amp; 2)"/>
        <s v="Indo-Persian Travels in the Age of Discoveries, 1400-1800"/>
        <s v="Words at Work"/>
        <s v="Statewide Travel Forecasting Models"/>
        <s v="Managing Tourism and Hospitality Services"/>
        <s v="How to Document Your Travels for Profit"/>
        <s v="Drafting Technology Patent License Agreements"/>
        <s v="Inclusive Leisure"/>
        <s v="The Definitive Guide to Entertainment Marketing"/>
        <s v="Technology Integration and Foundations for Effective Leadership"/>
        <s v="Cities, value chains, and dairy production in Ethiopia"/>
        <s v="Handbook of Research and Policy in Art Education"/>
        <s v="The Theory of the Arts"/>
        <s v="EU Law After Lisbon"/>
        <s v="Nicholls, Montgomery, and Knowles on The Law of Extradition and Mutual Assistance"/>
        <s v="European Union Law"/>
        <s v="Delivering Authentic Arts Education 4e"/>
        <s v="EU Competition Law and Intellectual Property Rights"/>
        <s v="UN Convention against Transnational Organized Crime"/>
        <s v="Unjustified Enrichment"/>
        <s v="Cases and Materials on the Carriage of Goods By Sea"/>
        <s v="The Diversification and Fragmentation of International Criminal Law"/>
        <s v="Presidential Government in Gaullist France"/>
        <s v="Mason and McCall Smith's Law and Medical Ethics"/>
        <s v="A Philosophy of Technology"/>
        <s v="Technen: Elements of Recent History of Information Technologies with Epistemological Conclusions"/>
        <s v="Interactive Technologies and the Social Studies"/>
        <s v="Impact of Disruptive Technologies on the Socio-Economic Development of Emerging Countries"/>
        <s v="Advances in Embedded and Fan-Out Wafer Level Packaging Technologies"/>
        <s v="Security, Design, and Architecture for Broadband and Wireless Network Technologies"/>
        <s v="Cultural Technologies"/>
        <s v="Energy-Efficient Technologies for the Dismounted Soldier"/>
        <s v="Reshaping Learning with Next Generation Educational Technologies"/>
        <s v="The Role of Digital Technologies in Shaping the Post-Pandemic World"/>
        <s v="Disruptive Logic Architectures and Technologies"/>
        <s v="Emerging Disruptive Technologies for Society 5.0 in Developing Countries"/>
        <s v="Simulation for Cyber-Physical Systems Engineering"/>
        <s v="Economic and Social Implications of Information and Communication Technologies"/>
        <s v="Cutting Edge Research in Technologies"/>
        <s v="Technologies to Lead Schools"/>
        <s v="Proceedings of 4th 2024 International Conference on Autonomous Unmanned Systems (4th ICAUS 2024)"/>
        <s v="The AUPHA Manual of Health Services Management"/>
        <s v="Plunkett's Infotech Industry Almanac 2006: The Only Complete Guide to the Technologies and Companies Changing the Way the World Thinks, Works and Shar"/>
        <s v="Systems Engineering Using the DEJI Systems Model®"/>
        <s v="Teacher Education: Concepts, Methodologies, Tools, and Applications"/>
        <s v="Green Technologies to Improve the Environment on Earth"/>
        <s v="Supply Chain as Strategic Asset"/>
        <s v="Steps to Facilitate Principal-Investigator-Led Earth Science Missions"/>
        <s v="Negative Economic Aspects of Higher Education"/>
        <s v="Handbook of Educational Psychology"/>
        <s v="Culturally Sensitive Research Methods for Educational Administration and Leadership"/>
        <s v="Emotional Dimensions of Educational Administration and Leadership"/>
        <s v="Educational Alternatives in Latin America"/>
        <s v="Special Educational Needs"/>
        <s v="Educational Innovations Beyond Technology"/>
        <s v="American Educational History Journal"/>
        <s v="Educational Collateral Damage"/>
        <s v="FUNDAMENTALS OF EDUCATIONAL ADMINISTRATION, MANAGEMENT AND ORGANIZATION"/>
        <s v="Educational Charters and Documents 598 to 1909"/>
        <s v="The Road to Sustained Growth in Jamaica"/>
        <s v="Knowledge Management for School Education"/>
        <s v="Career Opportunities in Education and Related Services, Second Edition"/>
        <s v="Researching Higher Education in Asia"/>
        <s v="Teaching for Learning"/>
        <s v="Education Policy"/>
        <s v="The Role of the Poet in Early Societies"/>
        <s v="Indie Poet Rock Star"/>
        <s v="On Poets and Others"/>
        <s v="Indian Literary Criticism"/>
        <s v="The Poet-Hero in the Work of Byron and Shelley"/>
        <s v="Byron and the Best of Poets"/>
        <s v="The Poet’s Role"/>
        <s v="Youth Poets"/>
        <s v="The Poetic Theology of Love"/>
        <s v="English poetry UP State (NEP) B.A Second Semester"/>
        <s v="My Heart Screams Enough"/>
        <s v="Catalogue of the Mercantile Library of Philadelphia"/>
        <s v="Routledge Handbook of Post Classical and Contemporary Persian Literature"/>
        <s v="Treasury of Thought. Forming an Encyclopædia of Quotations from Ancient and Modern Authors"/>
        <s v="Treasures of Knowledge: An Inventory of the Ottoman Palace Library (1502/3-1503/4) (2 vols)"/>
        <s v="The Poetic Melody"/>
        <s v="The Maine Poets"/>
        <s v="Poetry &amp; Translation"/>
        <s v="Poetic Critique"/>
        <s v="Poetry 180"/>
        <s v="The Routledge Companion to Drama in Education"/>
        <s v="Drama and Traditional Story for the Early Years"/>
        <s v="Teaching Drama in Primary and Secondary Schools"/>
        <s v="Drop the Drama!"/>
        <s v="Writing and Producing Radio Dramas"/>
        <s v="Jesuit School Drama"/>
        <s v="Transforming Teaching and Learning with Active and Dramatic Approaches"/>
        <s v="An Introduction to Arabic Literature"/>
        <s v="Interactive Language Teaching"/>
        <s v="Dance and Drama Bites for Seniors"/>
        <s v="Women, Television and Everyday Life in Korea"/>
        <s v="Chief Contemporary Dramatists"/>
        <s v="The Language of Theatre"/>
        <s v="INCOLWIS 2019"/>
        <s v="O'Neill's Shakespeare"/>
        <s v="War and Popular Culture"/>
        <s v="Andros Odyssey: Liberation"/>
        <s v="Actors' Yearbook 2014"/>
        <s v="Routledge International Companion to Education"/>
        <s v="Routledge International Handbook of Adventure Tourism"/>
        <s v="A 1000 Days Adventure - Entrepreneur Journeys"/>
        <s v="Handbook of Group Counseling and Psychotherapy"/>
        <s v="Fox and Bear: Unforgettable Adventures"/>
        <s v="The Complete Short Stories of Sir Arthur Conan Doyle (Illustrated Edition)"/>
        <s v="The Complete Works of Arthur Conan Doyle (Illustrated)"/>
        <s v="Mikhail Bakhtin"/>
        <s v="Evidence-Based Writing, Grade 4"/>
        <s v="Handbook of Physical Education"/>
        <s v="The MX Book of New Sherlock Holmes Stories - Part IX"/>
        <s v="Tourism Product"/>
        <s v="The Business of Tourism"/>
        <s v="Adventures In Australia: A Comprehensive Guide"/>
        <s v="Ecotourism"/>
        <s v="Outdoor Environmental Education in Higher Education"/>
        <s v="Play from Birth to Twelve"/>
        <s v="The Blank Swan"/>
        <s v="The Adventures of Princess Ramele and Prince Peter, Vol. 2"/>
        <s v="David Crockett: His Life and Adventures"/>
        <s v="Sustainable Human Resource Management in Tourism"/>
        <s v="Mindful Adventures for Little Minds"/>
        <s v="Feel Good &amp; Shine On: A Lifestyle"/>
        <s v="The MX Book of New Sherlock Holmes Stories - Part XLVIII"/>
        <s v="Philosophical Adventures in African Higher Education"/>
        <s v="Sailing the Seven Seas of Life"/>
        <s v="Franklin in the Dark"/>
        <s v="Hype"/>
        <s v="iPod: The Missing Manual"/>
        <s v="Anne Bancroft"/>
        <s v="English for Academic Research: Vocabulary Exercises"/>
        <s v="Flash Professional CS6"/>
        <s v="Longman Dictionary of Contemporary English"/>
        <s v="The Game Design Reader"/>
        <s v="Encyclopedia of International Games"/>
        <s v="Designer's Guide to Mac OS X Tiger"/>
        <s v="Prehispanic Settlement Patterns in the Northwestern Valley of Mexico"/>
        <s v="The Final Elegy: the Consolation of the Classics in Old Age"/>
        <s v="The Making of the Modern Canon"/>
        <s v="Ancient Communities in the Mimbres Valley"/>
        <s v="Bone and Soft Tissue Tumors"/>
        <s v="The Prehistory of the Tuxtlas"/>
        <s v="The Anti-Group"/>
        <s v="The Christian's Secret to a Happy Life"/>
        <s v="Conceptual Modeling: Foundations and Applications"/>
        <s v="UMTS Network Planning, Optimization, and Inter-Operation with GSM"/>
        <s v="Encyclopedia of Social Theory"/>
        <s v="Dictionary of Artifacts"/>
        <s v="Gathering Hopewell"/>
        <s v="Food Allergies"/>
        <s v="A Regional Contemporary"/>
        <s v="Dialogues with Contemporary Political Theorists"/>
        <s v="Contemporary Native American Cultural Issues"/>
        <s v="Aspects of Contemporary World Literature"/>
        <s v="Focus: Music in Contemporary Japan"/>
        <s v="Routledge Handbook of Contemporary Vietnam"/>
        <s v="Intersectionality and Decolonisation in Contemporary British Crime Fiction"/>
        <s v="Religion and Contemporary Art"/>
        <s v="The Palgrave Handbook of Contemporary Irish Theatre and Performance"/>
        <s v="Contemporary Daoism, Organic Relationality, and Curriculum of Integrative Creativity"/>
        <s v="Science and Technology in Contemporary China"/>
        <s v="Routledge Handbook of Contemporary African Migration"/>
        <s v="Understanding Mobilities for Designing Contemporary Cities"/>
        <s v="Aristotle - Contemporary Perspectives on his Thought"/>
        <s v="Contemporary Sociological Thinkers and Theories"/>
        <s v="Rewriting White Masculinities in Contemporary Fiction and Film"/>
        <s v="Labor and Aesthetics in European Contemporary Dance"/>
        <s v="The Printed Book in Contemporary American Culture"/>
        <s v="Contemporary Strategy Analysis"/>
        <s v="Women and Contemporary Art in the Gulf"/>
        <s v="The Politics of Contemporary Spain"/>
        <s v="World Encyclopedia of Contemporary Theatre"/>
        <s v="Contemporary Computer-Assisted Language Learning"/>
        <s v="A Practical Reader in Contemporary Literary Theory"/>
        <s v="Doctrine and Defense. Theological and Ecclesiastical Contemporary History. Monthly Bulletin"/>
        <s v="EBOOK: Contemporary Management - MEE, 2e"/>
        <s v="Routledge International Handbook of Contemporary Social and Political Theory"/>
        <s v="Government and Politics of the Contemporary Middle East"/>
        <s v="The Contemporary Reader of Gender and Fat Studies"/>
        <s v="What's Wrong with Contemporary Art?"/>
        <s v="International Humanitarian Law (IHL) and Contemporary Warfare. Challenges and Recommendations"/>
        <s v="Contemporary Business"/>
        <s v="Contemporary Art"/>
        <s v="Young Adult Literature"/>
        <s v="Young Adult Offenders"/>
        <s v="Young Adult Faith"/>
        <s v="Writing Young Adult Fiction For Dummies"/>
        <s v="PEERS® for Young Adults"/>
        <s v="Models and Methods for Youth and Young Adult Ministry"/>
        <s v="Teaching Young Adult Literature"/>
        <s v="Cancer in Adolescents and Young Adults"/>
        <s v="Guidelines for Leading Your Congregation 2013-2016 - Ministries with Young People"/>
        <s v="Nursing Adolescents and Young Adults with Cancer"/>
        <s v="Dimensions of Human Behavior"/>
        <s v="The Critical Merits of Young Adult Literature"/>
        <s v="Handbook of Death and Dying"/>
        <s v="Young People And Social Change"/>
        <s v="Contemporary Children's and Young Adult Literature"/>
        <s v="Teen Spaces"/>
        <s v="Children and Young People’s Relationships"/>
        <s v="Early Adulthood in a Family Context"/>
        <s v="Condition of Education 2009"/>
        <s v="Handbook of Quality of Life in Cancer"/>
        <s v="Voices From the Wreckage: Young Adult Voices in the #MeToo Movement"/>
        <s v="Confrontation"/>
        <s v="Transitional Age Youth and Mental Illness: Influences on Young Adult Outcomes, An Issue of Child and Adolescent Psychiatric Clinics of North America, E-Book"/>
        <s v="Children and Young People's Nursing at a Glance"/>
        <s v="Writing Young Adult Novels"/>
        <s v="Child and Adult Development"/>
        <s v="Practical Paediatrics"/>
        <s v="Essentials of Young Adult Literature"/>
        <s v="Journey to Adulthood"/>
        <s v="A Textbook of Children's and Young People's Nursing E-Book"/>
        <s v="Teaching the World's Children"/>
        <s v="Children, Technology, and Culture"/>
        <s v="Safeguarding Children and Schools"/>
        <s v="Hearing-impaired Children Under Five"/>
        <s v="Children Draw and Tell"/>
        <s v="School Children and Sport in Ireland"/>
        <s v="Behavior Therapy with Children II"/>
        <s v="Children and Spirituality"/>
        <s v="A Situational Analysis of Orphans and Vulnerable Children in Four Districts of South Africa"/>
        <s v="How-To Guide: Inclusive Education for Children With Disabilities"/>
        <s v="Children's Literature"/>
        <s v="School-Based Prevention Programs for Children and Adolescents"/>
        <s v="Children Bill"/>
        <s v="Children of the Mill"/>
        <s v="Special Needs of Children of Drug Misusers"/>
        <s v="Where Are The Children?"/>
        <s v="Writing Successful Self-Help and How-To Books"/>
        <s v="Self-Care Solution"/>
        <s v="Mental Health of Refugees"/>
        <s v="Looking through the Speculum"/>
        <s v="Understanding Burnout Recovery Among Native-Born Korean Missionaries"/>
        <s v="Working With Troubled Men"/>
        <s v="Violent Death"/>
        <s v="Science and Pseudoscience in Clinical Psychology, First Edition"/>
        <s v="Innovations and Advances in Computer Sciences and Engineering"/>
        <s v="After Homicide"/>
        <s v="The Astrological Guide to Self-Care"/>
        <s v="Small Transformations"/>
        <s v="Mental Health in the Elderly"/>
        <s v="Recovery the Native Way"/>
        <s v="Behavioral Therapy for Rural Substance Abusers"/>
        <s v="The Oxford Handbook of Eating Disorders"/>
        <s v="Rhetoric of the Protestant Sermon in America"/>
        <s v="Human Behavior in the Social Environment"/>
        <s v="Awakening to Race"/>
        <s v="Reading Is My Window"/>
        <s v="Housing as Governance"/>
        <s v="Voices of Experience"/>
        <s v="The Myth of Religious Violence"/>
        <s v="The Religious Lives of Older Laywomen"/>
        <s v="C.S. Lewis—On the Christ of a Religious Economy, 3.2"/>
        <s v="Religious Appeals in Power Politics"/>
        <s v="Bibliography of Japanese New Religious Movements"/>
        <s v="A Trinitarian Theology of Religions"/>
        <s v="The World's Religions in Figures"/>
        <s v="Constitutions and Religious Freedom"/>
        <s v="Peacemaking and Religious Violence"/>
        <s v="To Kill a Mockingbird"/>
        <s v="The Hunger Games (Hunger Games, Book One)"/>
        <s v="Pride and Prejudice (Fourth Edition) (Norton Critical Editions)"/>
        <s v="PRIDE and PREJUDICE - Vol. II - A Story by Jane Austen"/>
        <s v="Pride and Prejudice &amp; Mansfield Park"/>
        <s v="Pride and Prejudice"/>
        <s v="To Kill a Mockingbird (Enhanced Edition)"/>
        <s v="The Great Gatsby"/>
        <s v="The Great Gatsby: A Graphic Novel"/>
        <s v="The Great Gatsby - The Original 1925 Edition"/>
        <s v="Absolution - a false start to The Great Gatsby"/>
        <s v="AGATHA CHRISTIE Premium Collection"/>
        <s v="The Da Vinci Code (Republish)"/>
        <s v="Harry Potter ve Sırlar Odası – 2"/>
        <s v="The Hunger Games"/>
        <s v="Hunger Games - Il canto della rivolta"/>
        <s v="The Ultimate Harry Potter and Philosophy"/>
        <s v="The Adventures of Sherlock Holmes"/>
        <s v="The Hunger Games and Philosophy"/>
        <s v="The Hunger Games Tribute Guide"/>
        <s v="The Psychology of Harry Potter"/>
        <s v="101 Amazing Harry Potter Facts"/>
        <s v="Friends and Foes of Harry Potter"/>
        <s v="Harry Potter: Cinematic Guide: Hermione Granger"/>
        <s v="Harry Potter: The Official Hogwarts Book of Cross-Stitch"/>
        <s v="Harry Potter and the Classical World"/>
        <s v="HARRY POTTER &amp; THE PHILOSOPHER'S STONE"/>
        <s v="Harry Potter and the Sorcerer's Stone"/>
        <s v="The Magic of Harry Potter"/>
        <s v="The Ivory Tower, Harry Potter, and Beyond"/>
        <s v="Baptizing Harry Potter"/>
        <s v="Harry Potter: The Dark Arts (Tiny Book)"/>
        <s v="Inside the World of Harry Potter"/>
        <s v="101 Amazing Facts about J.K. Rowling"/>
        <s v="Critical Perspectives on Harry Potter"/>
        <s v="The Harry Potter Generation"/>
        <s v="Harry Potter: Bake, Create, and Decorate (30+ Sweets and Treats Inspired by the Films)"/>
        <s v="Harry Potter: Homemade"/>
        <s v="J.K. Rowling"/>
        <s v="Harry Potter Power"/>
        <s v="Harry Potter: Characters of the Wizarding World"/>
        <s v="Harry Potter: Film Vault: Volume 11"/>
        <s v="Harry Potter and Philosophy"/>
        <s v="Harry Potter: The Mini Book of Hogwarts"/>
        <s v="Harry Potter: Creatures of the Wizarding World"/>
        <s v="Harry Potter and the Other"/>
        <s v="Harry Potter and Convergence Culture"/>
        <s v="The Lord of the Rings"/>
        <s v="Watching the Lord of the Rings"/>
        <s v="Reading The Lord of the Rings"/>
        <s v="The Lord of the Rings and Philosophy"/>
        <s v="The Rough Guide to the Lord of the Rings"/>
        <s v="The Lord of the Rings#1: Sembilan Pembawa Cincin (The Lord of the Rings Fellowship)"/>
        <s v="The Lord Of The Rings: Sembilan Pembawa Cincin (The Fellowship Of The Ring) *Cetak Ulang Cover Baru"/>
        <s v="Studying The Lord of the Rings"/>
        <s v="The Lord of the Rings#2: Dua Menara (Two Towers)"/>
        <s v="The Lord Of The Rings: Dua Menara (The Two Towers) *Cetak Ulang Cover Baru"/>
        <s v="The Lord Of The Rings: Kembalinya Sang Raja (The Return Of The King) *Cetak Ulang Cover Baru"/>
        <s v="The Perception of Women in J. R. R. Tolkien's The Lord of the Rings"/>
        <s v="Finding God in The Lord of the Rings"/>
        <s v="Approaches to Teaching Tolkien's The Lord of the Rings and Other Works"/>
        <s v="Moments of Grace and Spiritual Warfare in the Lord of the Rings"/>
        <s v="The Lord of the Rings: Red Book of Westmarch Traveler's Notebook Set"/>
        <s v="Lord of the Rings"/>
        <s v="Understanding the Lord of the Rings"/>
        <s v="The Lord of the Rings. Illustrated"/>
        <s v="The Art of Game of Thrones, the Official Book of Design from Season 1 to Season 8"/>
        <s v="Game of Thrones and the Theories of International Relations"/>
        <s v="Inside HBO's Game of Thrones"/>
        <s v="e-Pedia: Game of Thrones (season 6)"/>
        <s v="Game of Thrones and Philosophy"/>
        <s v="Mastering the Game of Thrones"/>
        <s v="A Game of Thrones"/>
        <s v="Game of Thrones: House of the Dragon [Season 2]"/>
        <s v="1000 Game of Thrones Facts"/>
        <s v="Game of Thrones: The Storyboards, the official archive from Season 1 to Season 7"/>
        <s v="Game of Thrones: House of the Dragon"/>
        <s v="The Unofficial Guide to Game of Thrones"/>
        <s v="Game of Thrones versus History"/>
        <s v="Game of Thrones and the Medieval Art of War"/>
        <s v="Game of Thrones Paper Models"/>
        <s v="Game of Thrones Jigsaw Puzzle Book"/>
        <s v="Management Lessons from Game of Thrones"/>
        <s v="The Official Westeros Cookbook: Recipes from Game of Thrones and House of the Dragon"/>
        <s v="Fan Phenomena: Game of Thrones"/>
        <s v="Leadership in Game of Thrones"/>
        <s v="Game of Thrones - A View from the Humanities Vol. 2"/>
        <s v="Power and Subversion in Game of Thrones"/>
        <s v="Game of Thrones - A View from the Humanities Vol. 1"/>
        <s v="Re-reading A GAME OF THRONES"/>
        <s v="The Little Book of Game of Thrones Facts"/>
        <s v="Inside HBO's Game of Thrones: Seasons 3 &amp; 4"/>
        <s v="Game of Thrones as a Contemporary Feminist Revenge Tragedy"/>
        <s v="A Game of Thrones. From Novel to TV"/>
        <s v="Theology and Game of Thrones"/>
        <s v="The Condensed Pride and Prejudice (Jane Austen's Classic Novel)"/>
        <s v="Pride and Prejudice 2.0"/>
        <s v="Jane Austen's Pride and Prejudice"/>
        <s v="To Kill A Mockingbird - Literature Kit Gr. 9-12"/>
        <s v="To Kill a Mockingbird Study Guide and Student Workbook"/>
        <s v="LIFE The Enduring Legacy of Harper Lee and To Kill a Mockingbird"/>
        <s v="Timeless Themes in To Kill a Mockingbird An Analysis"/>
        <s v="Harper Lee's To Kill a Mockingbird"/>
        <s v="George Orwell's 1984"/>
        <s v="George Orwell's Guide Through Hell"/>
        <s v="The Cambridge Introduction to George Orwell"/>
        <s v="F. Scott Fitzgerald's The Great Gatsby"/>
        <s v="The Great Gatsby and Modern Times"/>
        <s v="The Great Gatsby (Study Guide)"/>
        <s v="Approaches to interpreting Fitzgerald’s &quot;The Great Gatsby&quot;. Unreliable narration, the functions of adultery, and the role of the American Dream"/>
        <s v="The Great Gatsby Cookbook"/>
        <s v="Jane Eyre"/>
        <s v="Jane Eyre's American Daughters"/>
        <s v="Jane Eyre: Usborne Classics Retold"/>
        <s v="Jane Eyre (Third International Student Edition) (Norton Critical Editions)"/>
        <s v="Female emancipation in Charlotte Bronte's JANE EYRE"/>
        <s v="CliffsNotes on Brontë’s Jane Eyre"/>
        <s v="Jane Eyre + Wuthering Heights (2 Unabridged Classics)"/>
        <s v="Jane Eyre Level 6 Oxford Bookworms Library"/>
        <s v="Reflecting on Jane Eyre"/>
        <s v="The Realisation of Jane Eyre as a Bildungsroman"/>
        <s v="SHERLOCK HOLMES - THE RETURN OF SHERLOCK HOLMES"/>
        <s v="Sherlock Holmes For Dummies"/>
        <s v="The Great Adventures of Sherlock Holmes"/>
        <s v="Sherlock Holmes. Selected Stories"/>
        <s v="The Case-book of Sherlock Holmes"/>
        <s v="The Last Adventures of Sherlock Holmes"/>
        <s v="Sherlock Holmes Collection: The Complete Stories and Novels"/>
        <s v="Gender and the Modern Sherlock Holmes"/>
        <s v="Adventures of Sherlock Holmes"/>
        <s v="English Classics: Sherlock Holmes Short Stories#3"/>
        <s v="Sherlock Holmes - The Sign of the Four"/>
        <s v="Sherlock Holmes in Advertising"/>
        <s v="Towards Sherlock Holmes"/>
        <s v="The Unsolved Case Files of Sherlock Holmes"/>
        <s v="The Return of Sherlock Holmes"/>
        <s v="The Great, Great Granddaughter of Sherlock Holmes"/>
        <s v="Sherlock Holmes in Babylon"/>
        <s v="The Complete Sherlock Holmes"/>
        <s v="The Best of Sherlock Holmes"/>
        <s v="The Memoirs of Sherlock Holmes"/>
        <s v="Sherlock Holmes and a Scandal in Bohemia"/>
        <s v="#01 Sherlock Holmes and a Scandal in Bohemia"/>
        <s v="The Complete Short Stories of Sherlock Holmes"/>
        <s v="Sherlock Holmes and the Adventure of the Dancing Men"/>
        <s v="The Complete &quot;Sherlock Holmes&quot; Stories (4 novels and 56 short stories + An Intimate Study of Sherlock Holmes by Conan Doyle himself)"/>
        <s v="Sherlock Holmes: The Investigations"/>
        <s v="O último caso de Sherlock Holmes"/>
        <s v="The Philosophy of Sherlock Holmes"/>
        <s v="Sherlock Holmes and Philosophy"/>
        <s v="Agatha Christie"/>
        <s v="The Agatha Christie Companion"/>
        <s v="Agatha Christie, Woman of Mystery - With Audio Level 2 Oxford Bookworms Library"/>
        <s v="Agatha Christie, Woman of Mystery Level 2 Oxford Bookworms Library"/>
        <s v="Young Agatha Christie"/>
        <s v="The Detective Novels of Agatha Christie"/>
        <s v="The Science of Agatha Christie"/>
        <s v="Everyman's Guide to the Mysteries of Agatha Christie"/>
        <s v="Agatha Christie: Plots, Clues and Misdirections"/>
        <s v="Agatha Christie’s The Mysterious Affair at Styles in German and Dutch Translation"/>
        <s v="The Getaway Guide to Agatha Christie's England"/>
        <s v="Stephen King"/>
        <s v="Children and Childhood in the Works of Stephen King"/>
        <s v="The Gothic World of Stephen King"/>
        <s v="The Moral Voyages of Stephen King"/>
        <s v="The Many Facets of Stephen King"/>
        <s v="Stephen King's America"/>
        <s v="Angels &amp; Demons"/>
        <s v="The Dan Brown Enigma"/>
        <s v="The Gospel According to Dan Brown"/>
        <s v="Dan Brown's Road to Success"/>
        <s v="348 Coincidence! Among Myself and Dan Brown"/>
        <s v="DAN BROWN’IN KODU"/>
        <s v="A Study Guide for Dan Brown's The Da Vinci Code"/>
        <s v="Broken Wand (Or, How J.K. Rowling Killed Harry Potter)"/>
        <s v="JK Rowling's Harry Potter Novels"/>
        <s v="The Subversive Harry Potter"/>
        <s v="J.K. Rowling A Short Unauthorized Biography"/>
        <s v="Harry Potter et la Chambre des secrets de J. K. Rowling (Fiche de lecture)"/>
        <s v="CHILDREN’S LITERATURE J.K.ROWLING’S MASTERY IN PORTRAYAL OF CHARACTERS IN HARRY POTTER SERIES"/>
        <s v="A Study Guide for J.K. Rowling's Harry Potter and the Order of the Phoenix"/>
        <s v="The Phenomenon &quot;Harry Potter&quot; - The Secret of Its Success"/>
        <s v="A Study Guide for J.K. Rowling's Harry Potter and the Half-Blood Prince"/>
        <s v="J.K. Rowling. L'incantatrice di babbani"/>
        <s v="Literary Allusion in Harry Potter"/>
        <s v="George Orwell, Updated Edition"/>
        <s v="The Cambridge Companion to George Orwell"/>
        <s v="George Orwell"/>
        <s v="1984"/>
        <s v="Becoming George Orwell"/>
        <s v="George Orwell's Animal Farm"/>
        <s v="George Orwell on Screen"/>
        <s v="1984 (Indonesian Edition)"/>
        <s v="1984 - Hindi"/>
        <s v="A Study of George Orwell"/>
        <s v="[Must Read Personalities] A life Story of George Orwell"/>
        <s v="SUMMARY - 1984 By George Orwell"/>
        <s v="The Unsung Artistry of George Orwell"/>
        <s v="Charles Dickens, Updated Edition"/>
        <s v="Charles Dickens"/>
        <s v="The Shorter Novels of Charles Dickens"/>
        <s v="Charles Dickens; the Progress of a Radical"/>
        <s v="The Life of the Author: Charles Dickens"/>
        <s v="The Life and Lies of Charles Dickens"/>
        <s v="The Complete Works of Charles Dickens"/>
        <s v="The Life of Charles Dickens"/>
        <s v="Life of Charles Dickens"/>
        <s v="Secret Shakespeare"/>
        <s v="Shakespeare's Lives"/>
        <s v="Shakespeare"/>
        <s v="Political Shakespeare"/>
        <s v="Shakespeare and the Practice of Physic"/>
        <s v="Shakespeare and the Culture of Romanticism"/>
        <s v="Shakespeare Without Women"/>
        <s v="The New Cambridge Companion to Shakespeare"/>
        <s v="Reimagining Shakespeare for Children and Young Adults"/>
        <s v="Players of Shakespeare 1"/>
        <s v="Shakespeare and Amateur Performance"/>
        <s v="Shakespeare's Sonnets"/>
        <s v="Shakespeare, National Poet-Playwright"/>
        <s v="Shakespeare Matters"/>
        <s v="Shakespeare and Historical Formalism"/>
        <s v="Shakespeare from the Margins"/>
        <s v="How to Survive Being in a Shakespeare Play"/>
        <s v="Shakespeare in the Media"/>
        <s v="Players of Shakespeare 2"/>
        <s v="The Hobbit: An Unexpected Journey Official Movie Guide"/>
        <s v="The Hobbit: An Unexpected Journey Visual Companion"/>
        <s v="The Hobbit: An Unexpected Journey--The World of Hobbits"/>
        <s v="The Hobbit and Tolkien's Mythology"/>
        <s v="The Hobbit"/>
        <s v="The Hobbit Encyclopedia"/>
        <s v="The Christian World of The Hobbit"/>
        <s v="The Hobbit Trap"/>
        <s v="J. R. R. Tolkien's &quot;The Hobbit&quot;"/>
        <s v="The Hobbit and History"/>
        <s v="The Hobbit and Philosophy"/>
        <s v="A Guide for Using The Hobbit in the Classroom"/>
        <s v="CliffsNotes on Tolkien's The Lord of the Rings &amp; The Hobbit"/>
        <s v="Exploring J.R.R. Tolkien's The Hobbit"/>
        <s v="The Hobbit Party"/>
        <s v="The Science of Dune"/>
        <s v="Dunes"/>
        <s v="Coastal Dunes"/>
        <s v="Timothйe Chalamet: Dune's Leading Man"/>
        <s v="The Complete Guide to Michigan Sand Dunes"/>
        <s v="The Physics of Blown Sand and Desert Dunes"/>
        <s v="Sand Dune Conservation, Management and Restoration"/>
        <s v="Dune Worlds"/>
        <s v="The Winds of Dune"/>
        <s v="Unifable Saga: Book 11: Valkyries And Dune's Plea"/>
        <s v="Dune is a Four-letter Word"/>
        <s v="Beach and Dune Restoration"/>
        <s v="Geomorphology of Desert Dunes"/>
        <s v="Sand Dune Life"/>
        <s v="The Biology of Coastal Sand Dunes"/>
        <s v="The Ecology and Conservation of European Dunes"/>
        <s v="Sand Dunes of the Northern Hemisphere"/>
        <s v="Inland Dunes of North America"/>
        <s v="Beaches and Dunes of Developed Coasts"/>
        <s v="Ecology of Dunes, Salt Marsh and Shingle"/>
        <s v="Restoration of Coastal Dunes"/>
        <s v="Dunes and Fossil Soils"/>
        <s v="Sedimentary Structures in Dunes of the Namib Desert, South West Africa"/>
        <s v="Sand Dunes of the Northern Hemisphere: Distribution, Formation, Migration and Management"/>
        <s v="Upon this Foundation"/>
        <s v="Foundations of IT"/>
        <s v="Business for Foundation Degrees and Higher Awards"/>
        <s v="Foundations of Orientation and Mobility, 3rd Edition"/>
        <s v="Foundation"/>
        <s v="Foundations of Education: Instructional strategies for teaching children and youths with visual impairments"/>
        <s v="The Foundation Engineering Handbook"/>
        <s v="FOUNDATION DESIGN IN PRACTICE"/>
        <s v="Foundation Design"/>
        <s v="Foundation Models for Natural Language Processing"/>
        <s v="Foundation Management"/>
        <s v="Soil-Foundation-Structure Interaction"/>
        <s v="Foundation Mathematics for Computer Science"/>
        <s v="Foundation Engineering Handbook"/>
        <s v="Nursing Informatics and the Foundation of Knowledge"/>
        <s v="Problem Solving in Foundation Engineering using foundationPro"/>
        <s v="Philanthropic Foundations"/>
        <s v="A Short Course in Foundation Engineering"/>
        <s v="Shallow Foundations"/>
        <s v="Creating Foundations for American Schools"/>
        <s v="Foundations of Orientation and Mobility"/>
        <s v="Laying the Foundation: A Handbook of Catholic Apologetics and Fundamental Theology"/>
        <s v="Simplified Design of Building Foundations"/>
        <s v="Structural Foundation Designers' Manual"/>
        <s v="Nursing Foundations-I"/>
        <s v="Sociological Foundation of Education"/>
        <s v="A Study Guide for Douglas Adams's &quot;The Hitchhiker's Guide to the Galaxy&quot;"/>
        <s v="The Hitchhiker's Guide to Negotiation"/>
        <s v="The Hitchhiker's Guide to Python"/>
        <s v="The Hitchhiker's Guide to Writing Research"/>
        <s v="A Hitchhiker's Guide To Armageddon"/>
        <s v="The Hitchhiker's Guide to Going Mobile"/>
        <s v="The Hitchhiker's Guide to Effective Time Management"/>
        <s v="The Hitchhiker's Guide to Calculus"/>
        <s v="The Hitchhiker's Guide to Whole Exome Analysis"/>
        <s v="The Hitchhiker's Guide to Going Wireless"/>
        <s v="A Hitchhiker's Guide to Virtual Reality"/>
        <s v="Hitchhiker's Guide to Internal Medicine"/>
        <s v="mind matter mood: a hitchhiker's guide to enlightenment"/>
        <s v="Religion and atheism in Douglas Adams' &quot;Hitchhiker's guide to the galaxy&quot;"/>
        <s v="The Hitchhiker's Guide to Improving Efficiency in the Clinical Laboratory"/>
        <s v="The Hitchhiker's Guide to Operations Management"/>
        <s v="Hitchhiker's Guide to the Galaxy #1"/>
        <s v="A Guide to The Hitchhiker's Guide to the Galaxy"/>
        <s v="Hitchhiker's Guide to SQL Server 2000 Reporting Services"/>
        <s v="The Hitchhiker's Guide to Machine Learning Algorithms"/>
        <s v="Summary of Douglas Adams's The Hitchhiker's Guide to the Galaxy"/>
        <s v="Gone Girl (Flink pike)"/>
        <s v="The Girl with the Dragon Tattoo #2"/>
        <s v="The Girl With The Dragon Tattoo Book One"/>
        <s v="The Girl with the Dragon Tattoo and Philosophy"/>
        <s v="The Psychology of the Girl with the Dragon Tattoo"/>
        <s v="The Da Vinci Code"/>
        <s v="The Da Vinci Code Revisited"/>
        <s v="The Da Vinci Code Controversy"/>
        <s v="The Da Vinci Code and the Secrets of the Temple"/>
        <s v="Breaking the Da Vinci Code"/>
        <s v="The Truth Behind the Da Vinci Code"/>
        <s v="The Da Vinci Codebreaker"/>
        <s v="Le Jésus du Da Vinci code"/>
        <s v="Exploring the Da Vinci Code"/>
        <s v="The Man Behind the Da Vinci Code"/>
        <s v="Twilight"/>
        <s v="Seduced by Twilight"/>
        <s v="Why We Love (and Hate) Twilight"/>
        <s v="Bitten by Twilight"/>
        <s v="Theorizing Twilight"/>
        <s v="Genre, Reception, and Adaptation in the 'Twilight' Series"/>
        <s v="Twilight Serenade"/>
        <s v="Twilight, Say Cheese!"/>
        <s v="Twilight of the White Rajahs"/>
        <s v="Bringing Light to Twilight"/>
        <s v="Twilight in Italy (義大利的黃昏)"/>
        <s v="Fame: The Cast of Twilight"/>
        <s v="The Binge Watcher’s Guide to the Twilight Saga"/>
        <s v="Interdisciplinary Approaches to Twilight"/>
        <s v="The Twilight Mind"/>
        <s v="The Psychology of Twilight"/>
        <s v="Hunger Games Trilogy 1: The Hunger Games: Anniversary Edition"/>
        <s v="The Hunger Games (Movie tie-in)"/>
        <s v="The Hunger Games Complete Trilogy"/>
        <s v="Of Bread, Blood and The Hunger Games"/>
        <s v="Guide to The Hunger Games"/>
        <s v="FAME: Suzanne Collins: The creator of the Hunger Games"/>
        <s v="101 Amazing Facts about The Hunger Games"/>
        <s v="The Hunger Games Official Illustrated Movie Companion"/>
        <s v="Violence in Suzanne Collins' The Hunger Games Trilogy"/>
        <s v="Approaching the Hunger Games Trilogy"/>
        <s v="Space and Place in The Hunger Games"/>
        <s v="HUNGER GAMES – Vražedná pomsta"/>
        <s v="HUNGER GAMES - Síla vzdoru"/>
        <s v="Hunger Games A-Z"/>
        <s v="The Hunger Games: An Instructional Guide for Literature"/>
        <s v="The Politics of The Hunger Games"/>
        <s v="HUNGER GAMES - Aréna smrti (speciální vydání)"/>
        <s v="Religion and the Arts in The Hunger Games"/>
        <s v="Sunrise on the Reaping (A Hunger Games Novel)"/>
        <s v="Divergent Series"/>
        <s v="Divergent Traditions"/>
        <s v="Studies on Divergent Series and Summability and The Asymptotic Developments of Functions Defined by Maclaurin Series"/>
        <s v="Divergent Theory of Intimate Relationships: A Theory &amp; Remedy"/>
        <s v="Explaining Divergent Levels of Longevity in High-Income Countries"/>
        <s v="Chinese Émigré Composers and Divergent Modernisms"/>
        <s v="Convergent Leadership-Divergent Exposures"/>
        <s v="Emergent Economies, Divergent Paths"/>
        <s v="The Chronicles of Narnia Vol I: The Lion, the Witch, and the Wardrobe"/>
        <s v="The Chronicles of Narnia. Prince Caspian"/>
        <s v="The Chronicles of Narnia. The Lion, the Witch and the Wardrobe"/>
        <s v="The Chronicles of Narnia - Complete 7 Books in One Edition"/>
        <s v="The Chronicles of Narnia Part Two"/>
        <s v="Milton, Spenser and The Chronicles of Narnia"/>
        <s v="The Chronicles of Narnia Vol II: Prince Caspian"/>
        <s v="The Chronicles of Narnia Vol VII: The Last Battle"/>
        <s v="The Chronicles of Narnia and Philosophy"/>
        <s v="The Chronicles of Narnia Vol V: The Horse and his Boy"/>
        <s v="The Chronicles of Narnia Vol IV: The Silver Chair"/>
        <s v="The Chronicles of Narnia Vol III: The Voyage of the Dawn Treader"/>
        <s v="The Chronicles of Narnia: Kursi Perak (The Silver Chair)"/>
        <s v="The Chronicles of Narnia: Kuda dan Anak Manusia (The Horse and His Boy)"/>
        <s v="Complete Works of C.S. Lewis - The Chronicles Of Narnia (Complete Collection), The Space Trilogy, Out of the Silent Planet, The Great Divorce, The Screwtape Letters and others"/>
        <s v="The Chronicles of Narnia: Keponakan Penyihir (The Magician's Nephew)"/>
        <s v="The Chronicles of Narnia: Petualangan Dawn Treader (The Voyage of Dawn Treader)"/>
        <s v="THE CHRONICLES OF NARNIA"/>
        <s v="A Christian Teacher’s Guide to the Chronicles of Narnia, Grades 2 - 5"/>
        <s v="The Use of Mythological Elements in &quot;The Chronicles of Narnia&quot; by C. S. Lewis"/>
        <s v="Christian Popular Culture from The Chronicles of Narnia to Duck Dynasty"/>
        <s v="Alice in Wonderland"/>
        <s v="Alice in Wonderland in Film and Popular Culture"/>
        <s v="Alice in Wonderland: A Play for Young Audiences"/>
        <s v="Alice in Wonderland and Philosophy"/>
        <s v="THE COMPLETE ALICE IN WONDERLAND ADVENTURES (With Original Illustrations)"/>
        <s v="The Real Story of Alice in Wonderland"/>
        <s v="Alice in Wonderland Collection: All Four Books"/>
        <s v="Alice in Wonderland Collection"/>
        <s v="Alice in Wonderland : Om Illustrated Classics"/>
        <s v="Alice in Wonderland (Ingles-Español)"/>
        <s v="Frankenstein"/>
        <s v="Frankenstein, Creation, and Monstrosity"/>
        <s v="Frankenstein; Or, The Modern Prometheus"/>
        <s v="The Story of Frankenstein"/>
        <s v="Frankenstein - Spotlight Edition"/>
        <s v="Frankenstein (The Original 1818 'Uncensored' Edition of the Science Fiction Classic)"/>
        <s v="Frankenstein (The Original 1818 'Uncensored' Edition)"/>
        <s v="FRANKENSTEIN (The Original 1818 Edition)"/>
        <s v="Frankenstein: or &quot;The Modern Prometheus&quot;"/>
        <s v="On Writing"/>
        <s v="Deception Point"/>
        <s v="Il codice da Vinci"/>
        <s v="Angeli e demoni"/>
        <s v="Il simbolo perduto"/>
        <s v="F. Scott Fitzgerald: Trimalchio"/>
        <s v="大亨小傳【文字．有聲版】"/>
        <s v="The Murder of Roger Ackroyd"/>
        <s v="Murder on the Orient Express"/>
        <s v="The Companion"/>
        <s v="Poirot Investigates"/>
        <s v="Death by Drowning"/>
        <s v="The Mysterious Affair at Styles"/>
        <s v="The Tuesday Night Club"/>
        <s v="The LeMesurier Inheritance"/>
        <s v="Marple: Twelve New Stories"/>
        <s v="The Kidnapped Prime Minister"/>
        <s v="The Million Dollar Bond Robbery"/>
        <s v="The Adventure of the Cheap Flat"/>
        <s v="How Does Your Garden Grow?"/>
        <s v="The Mystery of the Blue Train"/>
        <s v="The Double Clue"/>
        <s v="The Girl in the Train"/>
        <s v="Tragedi Tiga Babak (Three Act Tragedy)"/>
        <s v="Mr Eastwood ́s Adventure"/>
        <s v="Accident"/>
        <s v="Poirot Investiga"/>
        <s v="The Affair at the Bungalow"/>
        <s v="It"/>
        <s v="Carrie"/>
        <s v="You Like It Darker"/>
        <s v="Fairy Tale"/>
        <s v="Misery"/>
        <s v="Dreamcatcher"/>
        <s v="The Long Walk"/>
        <s v="Christine"/>
        <s v="Firestarter"/>
        <s v="Finders Keepers"/>
        <s v="Holly"/>
        <s v="Insomnia"/>
        <s v="Different Seasons"/>
        <s v="Elevation"/>
        <s v="Needful Things"/>
        <s v="Thinner"/>
        <s v="Danse Macabre"/>
        <s v="Cujo"/>
        <s v="The Regulators"/>
        <s v="Bag of Bones"/>
        <s v="Riding the Bullet"/>
        <s v="Origin"/>
        <s v="Angels &amp; Demons Special Illustrated Edition"/>
        <s v="The Lost Symbol"/>
        <s v="Inferno"/>
        <s v="Inferno. Estratto gratuito"/>
        <s v="Box Digital – Robert Langdon"/>
        <s v="Origen (En espanol)"/>
        <s v="Początek"/>
        <s v="O Código Da Vinci"/>
        <s v="The Great Expectations School"/>
        <s v="Inferno (En espanol)"/>
        <s v="Det tapte symbol"/>
        <s v="Crypto"/>
        <s v="ANGELS AND DEMONS"/>
        <s v="La verità del ghiaccio"/>
        <s v="Güzel Bir Hayat"/>
        <s v="Ickabog"/>
        <s v="Hidup yang Sangat Baik (Very Good Lives)"/>
        <s v="A guerra dos tronos"/>
        <s v="A morte da luz"/>
        <s v="A fúria dos reis"/>
        <s v="El rag del armagedón"/>
        <s v="Il cavaliere dei Sette Regni"/>
        <s v="L'ascesa del drago"/>
        <s v="Il Trono di Spade - 1. Il Trono di Spade, Il Grande Inverno"/>
        <s v="The Hitchhiker’s Guide to AI"/>
        <s v="The Girl in the Eagle's Talons"/>
        <s v="The Bookshop Detectives 2: Tea and Cake and Death"/>
        <s v="The Hunger Pains"/>
        <s v="George R. R. Martin Presents Wild Cards: House Rules"/>
        <s v="George R. R. Martin Presents Wild Cards: Marked Cards"/>
        <s v="George R. R. Martin Presents Wild Cards: Card Sharks"/>
        <s v="George R. R. Martin Presents Wild Cards: Sleeper Straddle"/>
        <s v="Potterversity"/>
        <s v="From Here to Hogwarts"/>
        <s v="From Hobbits to Hollywood"/>
        <s v="The Ring and the Cross"/>
        <s v="The Frodo Franchise"/>
        <s v="A Tolkien Compass"/>
        <s v="Walking with Frodo"/>
        <s v="Frodo's Journey"/>
        <s v="Year of the Ring"/>
        <s v="The Battle for Middle-earth"/>
        <s v="Celebrating Middle-Earth"/>
        <s v="The Fellowship of the Knits"/>
        <s v="Bored of the Rings"/>
        <s v="Seeking the Lord of Middle Earth"/>
        <s v="Tolkien and the Invention of Myth: A Reader"/>
        <s v="Games of Thrones A-Z: An Unofficial Guide to Accompany the Hit TV Series"/>
        <s v="Winning Westeros"/>
        <s v="Fire, Ice, and Physics"/>
        <s v="Vying for the Iron Throne"/>
        <s v="Queenship and the Women of Westeros"/>
        <s v="Beyond the Wall"/>
        <s v="The Gathering Dark"/>
        <s v="Unveiling the Mockingbird's Shadows"/>
        <s v="Mockingbird"/>
        <s v="Reading and Interpreting the Works of Harper Lee"/>
        <s v="Monroeville"/>
        <s v="Biography of Harper Lee"/>
        <s v="The Devil and Harper Lee"/>
        <s v="Mockingbird Moments"/>
        <s v="Do I Really Have to Teach Reading?"/>
        <s v="Lovers and Beloveds"/>
        <s v="Harper Lee: Pulitzer Prize-Winning Author"/>
        <s v="Southern by the Grace of God"/>
        <s v="A Sea of Troubles"/>
        <s v="The Cambridge History of American Literature: Volume 7, Prose Writing, 1940-1990"/>
        <s v="Life, Myth, and the American Family Unreeling"/>
        <s v="The Companion to Southern Literature"/>
        <s v="Evolving Standards of Decency"/>
        <s v="Remembering Scottsboro"/>
        <s v="On Harper Lee"/>
        <s v="Epistemic Justice and Creative Agency"/>
        <s v="Tableaux Vivants"/>
        <s v="Thinking, Childhood, and Time"/>
        <s v="Echo and Narcissus"/>
        <s v="El Salvador"/>
        <s v="Technology in Retrospect"/>
        <s v="General and Synthetic Methods"/>
        <s v="Strong Democracy"/>
        <s v="Handbook of Psychopharmacology"/>
        <s v="The Constitution of Society"/>
        <s v="Little Fox Goes to the End of the World"/>
        <s v="Home Before Dark"/>
        <s v="Non-linear Elastic Deformations"/>
        <s v="Frost"/>
        <s v="The Permanent Alliance"/>
        <s v="Psychoanalytic Criticism"/>
        <s v="Latest Achievements of Diabetes Research"/>
        <s v="The Case of Peter Pan, Or the Impossibility of Children's Fiction"/>
        <s v="Digital Computer Applications to Process Control"/>
        <s v="Comprehensive Organic Functional Group Transformations"/>
        <s v="Revolutions and Rebellions in Afghanistan"/>
        <s v="F. Scott Fitzgerald at Work"/>
        <s v="The Collected Works"/>
        <s v="A Breath of Fresh Eyre"/>
        <s v="The Complete Novels of Brontë Sisters"/>
        <s v="A Study In Scarlet"/>
        <s v="Murder She Wrote"/>
        <s v="The Many Lives of It"/>
        <s v="Inferno Decoded"/>
        <s v="The Solomon Key and Beyond"/>
        <s v="J. K. Rowling"/>
        <s v="Warner Bros. Entertainment, Inc. &amp; J. K. Rowling V. Rdr Books and 10 Does"/>
        <s v="J.K Rowling"/>
        <s v="A karácsonyi malac"/>
        <s v="How Harry Cast His Spell"/>
        <s v="Priori Incantatem"/>
        <s v="Game Changers: A Biography of J. K. Rowling"/>
        <s v="How to Analyze the Works of J. K. Rowling"/>
        <s v="Potter Stinks"/>
        <s v="Facing Unpleasant Facts"/>
        <s v="Politics and the English Language"/>
        <s v="Why I Write"/>
        <s v="Animal Farm (Unabridged edition)"/>
        <s v="The Complete Novels"/>
        <s v="Shooting an Elephant"/>
        <s v="Nineteen eighty-four"/>
        <s v="Keep the Aspidistra Flying"/>
        <s v="Bleak House"/>
        <s v="Hamlet"/>
        <s v="Bilbo's Journey"/>
        <s v="A Hobbit Journey"/>
        <s v="Mythmaker"/>
        <s v="J.R.R. Tolkien"/>
        <s v="J.R.R. Tolkien Encyclopedia"/>
        <s v="Tolkien's Art"/>
        <s v="A Companion to J. R. R. Tolkien"/>
        <s v="Hegelianism Paranormal Intelligence"/>
        <s v="Child Language"/>
        <s v="The Wobbit"/>
        <s v="J. R. R. Tolkien"/>
        <s v="Stratigraphic Analyses Using GPR"/>
        <s v="Geomorphology of Desert Environments"/>
        <s v="Camping &amp; Wilderness Survival"/>
        <s v="Borne of the Wind"/>
        <s v="Encyclopedia of Coastal Science"/>
        <s v="Potter &amp; Perry's Essentials of Nursing Practice, SAE, E book"/>
        <s v="Web Accessibility"/>
        <s v="Saint Paul"/>
        <s v="Infinite Dimensional Analysis"/>
        <s v="The Hitchhikers Guide to Web 3"/>
        <s v="Do not Panic -Telecommunication Edition"/>
        <s v="The Forth Dimension"/>
        <s v="The Hitchhiker’s Guide to Genesis"/>
        <s v="Beacon Technologies"/>
        <s v="The Global Encyclopaedia of Informality, Volume 3"/>
        <s v="The 2016 Hitchhiker’s Guide to Excel Functions, Short-cuts &amp; Tips"/>
        <s v="Hitchhiker"/>
        <s v="Hitchhikers' Guide to Electronics in the '90s"/>
        <s v="The Algebraic Galaxy of Simple Macroeconomic Models"/>
        <s v="Hitchhiker’s Guide to Inflation in Libya"/>
        <s v="L'amore bugiardo (VINTAGE)"/>
        <s v="Contemporary Crime Fiction"/>
        <s v="Antiheroines of Contemporary Media"/>
        <s v="Domestic Noir"/>
        <s v="A Kiss for You!"/>
        <s v="Perplexing Plots"/>
        <s v="Family Relationships in Contemporary Crime Fiction"/>
        <s v="Odisea nº 15"/>
        <s v="Psychoanalytic Perspectives on Women and Power in Contemporary Fiction"/>
        <s v="Braver Than I Thought"/>
        <s v="Luckiest Girl Alive"/>
        <s v="PSYCHOLOGY OF LITERATURE"/>
        <s v="The Neoliberal Imagination in Contemporary Literature"/>
        <s v="The Transformative Power of Literature and Narrative: Promoting Positive Change"/>
        <s v="Horrible White People"/>
        <s v="Neoliberalism and Contemporary Literary Culture"/>
        <s v="Crime, Deviance and Popular Culture"/>
        <s v="Murder in a Few Words"/>
        <s v="The Fascination with Unknown Time"/>
        <s v="The Palgrave Encyclopedia of Urban Literary Studies"/>
        <s v="Clues: A Journal of Detection, Vol. 38, No. 1 (Spring 2020)"/>
        <s v="&quot;How Come Boys Get to Keep Their Noses?&quot;"/>
        <s v="Strike Me Down"/>
        <s v="Girl Nine: Gone (A Maya Gray FBI Suspense Thriller—Book 9)"/>
        <s v="Seduction in Popular Culture, Psychology, and Philosophy"/>
        <s v="The Trap"/>
        <s v="Women, Violence and Postmillennial Romance Fiction"/>
        <s v="Crime Fiction and Missing Persons Appeals to the Public"/>
        <s v="Dark Places and Little Tramps"/>
        <s v="Lost Girls"/>
        <s v="Planet Panic"/>
        <s v="Under Your Skin"/>
        <s v="Darkness Calls"/>
        <s v="The Girl with Dragon Tattoo"/>
        <s v="The Girl Who Played with Fire"/>
        <s v="Rape in Stieg Larsson's Millennium Trilogy and Beyond"/>
        <s v="The Girl in The Spider`s Web (Indonesian Edition)"/>
        <s v="Corporate Medievalism"/>
        <s v="Audiovisual Tourism Promotion"/>
        <s v="Emarketing Excellence"/>
        <s v="Tough Gynes"/>
        <s v="A Critical Companion to David Fincher"/>
        <s v="Encyclopedia of Journalists on Film"/>
        <s v="The Autistic Sleuth"/>
        <s v="Killer Instinct"/>
        <s v="Roger Ebert's Movie Yearbook 2012"/>
        <s v="The Cambridge Companion to Fairy Tales"/>
        <s v="The Artemis Archetype in Popular Culture"/>
        <s v="The Man Who Left Too Soon"/>
        <s v="Feminist Views from Somewhere"/>
        <s v="David Fincher"/>
        <s v="Slut Narratives in Popular Culture"/>
        <s v="Rape-Revenge Films"/>
        <s v="Origins of a Story"/>
        <s v="Bad Girls and Transgressive Women in Popular Television, Fiction, and Film"/>
        <s v="Re-visiting Female Evil"/>
        <s v="The Digital Banal"/>
        <s v="Stieg Larsson's Millennium Trilogy"/>
        <s v="Spinegrinder"/>
        <s v="Roger Ebert's Movie Yearbook 2013"/>
        <s v="Thinking about Movies"/>
        <s v="Mary of Magdala"/>
        <s v="A Study Guide for &quot;The DaVinci Code&quot;"/>
        <s v="The Da Vinci Notebooks"/>
        <s v="Secrets of the Widow's Son"/>
        <s v="El Codigo Da Vinci"/>
        <s v="The God Tube"/>
        <s v="La Decepcion de Da Vinci"/>
        <s v="Decoding The Lost Symbol"/>
        <s v="Wordcrime"/>
        <s v="Leonardo da Vinci Level 2 Oxford Bookworms Library"/>
        <s v="The Da Vinci Hoax"/>
        <s v="The Jesus Presidents"/>
        <s v="Expressive Techniques"/>
        <s v="Literature Suppressed on Religious Grounds, Fourth Edition"/>
        <s v="The Holy Grail on Film"/>
        <s v="Jesus of Nazareth"/>
        <s v="Hard-Core Romance"/>
        <s v="Πενήντα αποχρώσεις του γκρι"/>
        <s v="Πενήντα αποχρώσεις του Γκρι - Απελευθέρωση"/>
        <s v="The Secret Life of EL James"/>
        <s v="Ecopiety"/>
        <s v="Feminist Theory and Pop Culture"/>
        <s v="Artificial Intelligence: Concepts, Methodologies, Tools, and Applications"/>
        <s v="Love, Inc."/>
        <s v="Intimate Relationships in Cinema, Literature and Visual Culture"/>
        <s v="Consensual Violence"/>
        <s v="Playing Fans"/>
        <s v="Many Splendored Things"/>
        <s v="Reading the Fantastic Imagination"/>
        <s v="Data Modeling for MongoDB"/>
        <s v="Advertising and Violence"/>
        <s v="Inside Grey’s Anatomy: The Unauthorized Biography of Jamie Dornan"/>
        <s v="Teaching Gender and Sex in Contemporary America"/>
        <s v="Buffy to Batgirl"/>
        <s v="Fic"/>
        <s v="The Real Steele: The Unauthorized Biography of Dakota Johnson"/>
        <s v="Under the Cover"/>
        <s v="Who Am I?"/>
        <s v="Young Adult Sexuality in the Digital Age"/>
        <s v="Examining Paratextual Theory and its Applications in Digital Culture"/>
        <s v="Rethinking Gender in Popular Culture in the 21st Century"/>
        <s v="Relations 2.1 - June 2014"/>
        <s v="Stephenie Meyer"/>
        <s v="Love Bites"/>
        <s v="1709"/>
        <s v="Bella Should Have Dumped Edward"/>
        <s v="Bird On Fire"/>
        <s v="Jennifer Lawrence"/>
        <s v="Beyond District 12"/>
        <s v="The Panem Companion"/>
        <s v="Josh Hutcherson"/>
        <s v="A Place Called District 12"/>
        <s v="The Politics of Panem"/>
        <s v="The Fantastic Made Visible"/>
        <s v="Shailene Woodley"/>
        <s v="Analysis of Divergence"/>
        <s v="The Cloud People"/>
        <s v="Divergence with Genetic Exchange"/>
        <s v="Encyclopedia of Creativity: A-H"/>
        <s v="Data-Guided Healthcare Decision Making"/>
        <s v="Marketing Management"/>
        <s v="Informal Logic"/>
        <s v="Hausdorff on Ordered Sets"/>
        <s v="Elements of Real Analysis"/>
        <s v="From Special Relativity to Feynman Diagrams"/>
        <s v="Strabisme"/>
        <s v="Handbook of Organizational Creativity"/>
        <s v="Multilingualism and Creativity"/>
        <s v="Contemporary Perspectives on Research in Creativity in Early Childhood Education"/>
        <s v="A Textbook on Engineering Mathematics -1(MDU,Krukshetra)"/>
        <s v="Revisiting Narnia"/>
        <s v="Into the Wardrobe"/>
        <s v="Through the Wardrobe"/>
        <s v="C.S. Lewis &amp; Narnia For Dummies"/>
        <s v="Inside Narnia"/>
        <s v="What I Learned in Narnia"/>
        <s v="Narnia"/>
        <s v="The Lion, the Witch, and the Wardrobe"/>
        <s v="Finding Purpose in Narnia"/>
        <s v="The Lion's World"/>
        <s v="C.S. Lewis"/>
        <s v="Chronicles of Wonder"/>
        <s v="Alice's Adventures in Wonderland - Second Edition"/>
        <s v="Alice's Adventures in Wonderland (Hardcover)"/>
        <s v="Alice's Adventures in Wonderland (World Classics, Unabridged)"/>
        <s v="A Savage Moon"/>
        <s v="A Clash of Kings"/>
        <s v="Dream-songs 1 - Una retrospectiva"/>
        <s v="Isdraken"/>
        <s v="Festín de cuervos (Canción de Hielo y Fuego 4)"/>
        <s v="Ruas Estranhas"/>
        <s v="검의 폭풍"/>
        <s v="The Psychology of Money"/>
        <s v="Rich Dad Poor Dad"/>
        <s v="Your Money or Your Life"/>
        <s v="I Will Teach You to Be Rich"/>
        <s v="The Millionaire Next Door"/>
        <s v="The Total Money Makeover"/>
        <s v="Think and Grow Rich"/>
        <s v="The Intelligent Investor"/>
        <s v="Atomic Habits"/>
        <s v="The Richest Man in Babylon"/>
        <s v="A Random Walk Down Wall Street"/>
        <s v="You Are a Badass at Making Money"/>
        <s v="The Simple Path to Wealth"/>
        <s v="Get Good with Money"/>
        <s v="The 7 Habits of Highly Effective People"/>
        <s v="The Millionaire Fastlane"/>
        <s v="Broke Millennial"/>
        <s v="The Barefoot Investor"/>
        <s v="The Energy of Money"/>
        <s v="Fooled by Randomness"/>
        <s v="Finance for the People"/>
        <s v="The Power of Zero"/>
        <s v="Rich AF"/>
        <s v="Financially Lit!"/>
        <s v="The Bogleheads’ Guide to Investing"/>
        <s v="The One-Page Financial Plan"/>
        <s v="The Millionaire Real Estate Investor"/>
        <s v="Let’s Talk Money"/>
        <s v="Money Master the Game"/>
        <s v="The Automatic Millionaire"/>
        <s v="The Little Book of Common Sense Investing"/>
        <s v="Mindset: The New Psychology of Success"/>
        <s v="The Financial Diet"/>
        <s v="The Wealthy Barber"/>
        <s v="The Science of Getting Rich"/>
        <s v="The Money Book for the Young, Fabulous &amp; Broke"/>
        <s v="The Compound Effect"/>
        <s v="The 4-Hour Workweek"/>
        <s v="Smart Women Finish Rich"/>
        <s v="The Millionaire Mind"/>
        <s v="The Wealth Choice"/>
        <s v="The Behavior Gap"/>
        <s v="The Million Dollar Club"/>
        <s v="The Art of Money"/>
        <s v="The Index Card"/>
        <s v="The Road to Wealth"/>
        <s v="The Success Principles"/>
        <s v="The Courage to Be Rich"/>
        <s v="The Money Manual"/>
        <s v="The Nostradamus Enigma: History's Most Famous Seer" u="1"/>
        <s v="Mystery Shopping Secrets" u="1"/>
        <s v="The Paschal Mystery Workbook" u="1"/>
        <s v="The Guide to the Top 100 Mystery &amp; Thriller Books" u="1"/>
        <s v="Gale Researcher Guide for: The Spy Thriller: John le Carré" u="1"/>
        <s v="The Power Relentless" u="1"/>
        <s v="Religion and Politics in South Africa" u="1"/>
        <s v="Introduction to Tokelau" u="1"/>
        <s v="ICONECT 2019" u="1"/>
        <s v="Wild and Free: A Woman's Guide to Carefree Adventures" u="1"/>
        <s v="Manga Classics: Jane Eyre" u="1"/>
        <s v="Sherlock Holmes: The Boscombe Valley Mystery" u="1"/>
        <s v="Sherlock Holmes: The Priory School" u="1"/>
        <s v="Agatha Christie: The Queen of Murder Mysteries (Biography of Her Life)" u="1"/>
        <s v="Tales from Shakespeare" u="1"/>
        <s v="The Ford Foundation" u="1"/>
        <s v="The Story of the Rockefeller Foundation" u="1"/>
        <s v="Foundation of Education" u="1"/>
        <s v="The Hitchhiker's Guide to the Meaning of Everything" u="1"/>
        <s v="Gone girl - Cô gái mất tích" u="1"/>
        <s v="Gone Girl (Movie Tie-In Edition)" u="1"/>
        <s v="Fifty Shades of Grey" u="1"/>
        <s v="Fifty Shades Freed" u="1"/>
        <s v="VC_AC3-Alice in Wonderland-SM-Gen" u="1"/>
        <s v="The Complete, Annotated Murder of Roger Ackroyd" u="1"/>
        <s v="Trò chơi vương quyền 5A - Đánh thức rồng thiêng" u="1"/>
        <s v="Trò Chơi Vương Quyền 4B - Lời Tiên Tri" u="1"/>
        <s v="Trò chơi vương quyền 5C - Vũ điệu rồng thiêng" u="1"/>
        <s v="Pride &amp; Prejudice" u="1"/>
        <s v="หมูคริสต์มาส" u="1"/>
        <s v="PROCEEDINGS OF NATIONAL SEMINAR ON MULTIDISCIPLINARY RESEARCH AND PRACTICE VOLUME 2" u="1"/>
        <s v="L'amore bugiardo" u="1"/>
        <s v="Textbook of Engineering Mathematics Volume 1" u="1"/>
        <s v="ADVANCED CALCULUS" u="1"/>
        <s v="Το καταφύγιο των ανέμων" u="1"/>
        <s v="Τα ταξίδια του ταφ" u="1"/>
        <s v="Ο ιππότης των Επτά Βασιλείων" u="1"/>
        <s v="Library of Congress Subject Headings" u="1"/>
        <s v="Fictional Practice: Magic, Narration, and the Power of Imagination" u="1"/>
        <s v="Pearson's Magazine" u="1"/>
        <s v="Boys' Life" u="1"/>
        <s v="Catalogue of the Oakland Free Public Library" u="1"/>
        <s v="Annual Magazine Subject-index" u="1"/>
        <s v="Analog Science Fiction/science Fact" u="1"/>
        <s v="Documents of the ... Legislature of the State of New Jersey" u="1"/>
        <s v="Papers and Proceedings" u="1"/>
        <s v="The Bookman" u="1"/>
        <s v="The Central Literary Magazine" u="1"/>
        <s v="Annual Report of the Trustees of the Public Library of the Cty of Boston" u="1"/>
        <s v="Kimball's Dairy Farmer" u="1"/>
        <s v="Critical Survey of Long Fiction" u="1"/>
        <s v="Catalogue of books in the lending library. 2nd 10,000" u="1"/>
        <s v="Heritage Rare Books &amp; Manuscripts Auction Final Session # 683" u="1"/>
        <s v="The Bohemian" u="1"/>
        <s v="Illinois Libraries" u="1"/>
        <s v="Catalogue of Books by Catholic Writers in the St. Louis Public Library" u="1"/>
        <s v="Index to the Periodicals of 1890-1902" u="1"/>
        <s v="A Catalogue of the Bibliographies of Special Subjects in the Library" u="1"/>
        <s v="The Eclectic Magazine of Foreign Literature, Science, and Art" u="1"/>
        <s v="Annual Report of the Pomona Public Library" u="1"/>
        <s v="Bookseller &amp; Stationer and Office Equipment Journal" u="1"/>
        <s v="The American Catalogue" u="1"/>
        <s v="Popular Science" u="1"/>
        <s v="Science Spectrum" u="1"/>
        <s v="Competition Science Vision" u="1"/>
        <s v="The History of Statistics, Their Development and Progress in Many Countries" u="1"/>
        <s v="History of Civilization in England" u="1"/>
        <s v="Dictionary Catalogue of the Illinois State Library" u="1"/>
        <s v="Ebony" u="1"/>
        <s v="A Guide to the Study and Use of Military History" u="1"/>
        <s v="Historical Sketch of the Missions in India" u="1"/>
        <s v="Municipal Government and Land Tenure" u="1"/>
        <s v="Report of the Board of Education" u="1"/>
        <s v="Reports of the Minister of Education" u="1"/>
        <s v="The Constitutional History of England Since the Accession of George the Third, 1760-1860" u="1"/>
        <s v="History of Duchess County, New York" u="1"/>
        <s v="The Historical Aspect of the American Churches" u="1"/>
        <s v="Historical Portraits of the Tudor Dynasty and the Reformation Period" u="1"/>
        <s v="Vanderbilt University Quarterly" u="1"/>
        <s v="The History of the Reformation of Religion Within the Realm of Scotland" u="1"/>
        <s v="Journal of Economic and Business History" u="1"/>
        <s v="The English Historical Review" u="1"/>
        <s v="Surgery, Its Principles and Practice: History; surgical physiology; surgical pathology; infections; tumors; wounds" u="1"/>
        <s v="Localizing Oral History" u="1"/>
        <s v="Monthly Bulletin of Books Added to the Public Library of the City of Boston" u="1"/>
        <s v="House documents" u="1"/>
        <s v="Universal Pronouncing Dictionary of Biography and Mythology" u="1"/>
        <s v="Biography Exemplary and Instructive" u="1"/>
        <s v="Dictionary of National Biography" u="1"/>
        <s v="The Cyclopedia of American Biography" u="1"/>
        <s v="British Musical Biography" u="1"/>
        <s v="Subject Headings Used in the Dictionary Catalogues of the Library of Congress" u="1"/>
        <s v="... Biography of American Statesmanship" u="1"/>
        <s v="Selected List of the Best Biographies in English from the Point of View of a Canadian Public Library" u="1"/>
        <s v="Encyclopedia of Genealogy and Biography of the State of Pennsylvania with a Compendium of History" u="1"/>
        <s v="Catalogue of the Guildhall Library of the City of London" u="1"/>
        <s v="Essays in Ecclesiastical Biography" u="1"/>
        <s v="Catalogue...authors, Titles, Subjects, and Classes" u="1"/>
        <s v="The Pennsylvania Magazine of History and Biography" u="1"/>
        <s v="Pennsylvania Magazine of History and Biography" u="1"/>
        <s v="Military Cold War Education and Speech Review Policies" u="1"/>
        <s v="The Mystery of Israel's Salvation, Explained and Applyed; Or a Discourse Concerning the General Conversion of the Israelitish Nation, Etc. [With Recommendatory Epistles by J. Davenporte, W. G. and W. H.]" u="1"/>
        <s v="The Mystery of Metropolisville" u="1"/>
        <s v="The Excellent Mystery" u="1"/>
        <s v="Clues to Dickens's &quot;Mystery of Edwin Drood.&quot;" u="1"/>
        <s v="Library of The World's Best MYSTERY AND DETECTIVE STORIES" u="1"/>
        <s v="The Professor's Mystery" u="1"/>
        <s v="English Prose Fiction in the Free Public Library, Newark" u="1"/>
        <s v="Culture and Society in Medieval Galicia" u="1"/>
        <s v="Submarine Engineering of To-day" u="1"/>
        <s v="Catalogue of the Mathematical, Historical Bibliographical and Miscellaneous Portion of the Celebrated Library ... Apr. 26, 1861 ..." u="1"/>
        <s v="The Structure and Ideology of Romance Fiction" u="1"/>
        <s v="The Rhyme Book" u="1"/>
        <s v="The History of English Poetry" u="1"/>
        <s v="THI=OMAS THORPE'S CATALOGUE OF BOOKS" u="1"/>
        <s v="Final Fantasy Tactics Series" u="1"/>
        <s v="Focus On: 100 Most Popular 2010s Fantasy Films" u="1"/>
        <s v="2017 Fantasy Football Consistency Guide" u="1"/>
        <s v="Tales of Fantasy" u="1"/>
        <s v="Tales of Fantasy and Fact" u="1"/>
        <s v="A Midnight Fantasy" u="1"/>
        <s v="The maker of dreams; a fantasy in one act" u="1"/>
        <s v="A Fantasy of Souls" u="1"/>
        <s v="A Fantasy of the Fuyck, and Other Conceits of the Colonial Low Dutch" u="1"/>
        <s v="The Works of Edgar Allan Poe: Tales-Fantasy and Extravaganza" u="1"/>
        <s v="The Magazine of Fantasy and Science Fiction" u="1"/>
        <s v="SF, the Year's Greatest Science Fiction and Fantasy" u="1"/>
        <s v="Fiction and Fantasy of German Romance" u="1"/>
        <s v="Billboard" u="1"/>
        <s v="Focus On: 100 Most Popular American Dance Musicians" u="1"/>
        <s v="Focus On: 100 Most Popular American Tenors" u="1"/>
        <s v="Introduction to Philosophy" u="1"/>
        <s v="The Philosophy of the Beautiful ..." u="1"/>
        <s v="Lectures on Science, Philosophy and Art, 1907-1908" u="1"/>
        <s v="The Philosophy of Friedrich Nietzsche" u="1"/>
        <s v="A Brief History of Greek Philosophy" u="1"/>
        <s v="A History of Greek Philosophy from the Earliest Period to the Time of Socrates" u="1"/>
        <s v="The Philosophy of Reflection" u="1"/>
        <s v="Evolution in Science, Philosophy, and Art" u="1"/>
        <s v="Text-book in Intellectual Philosophy" u="1"/>
        <s v="The Modern Legal Philosophy Series..." u="1"/>
        <s v="Archives of Philosophy ..." u="1"/>
        <s v="Christian Philosophy, God" u="1"/>
        <s v="University of Chicago Contributions to Philosophy" u="1"/>
        <s v="Undergraduate Announcement" u="1"/>
        <s v="The American Journal of Psychology" u="1"/>
        <s v="Education and Psychology Series" u="1"/>
        <s v="The Psychological Review" u="1"/>
        <s v="Religion and Mental Health" u="1"/>
        <s v="Psychological Monographs" u="1"/>
        <s v="Studies in Abnormal Psychology" u="1"/>
        <s v="History of the Problems of Philosophy: Introduction. pt. I. Psychology" u="1"/>
        <s v="Parklawn Health Library &amp; Prince George Center Branch, Periodicals-1987" u="1"/>
        <s v="Periodicals" u="1"/>
        <s v="List of Journals Indexed in Index Medicus" u="1"/>
        <s v="Index Catalog of the Scranton Public Library Authors and Subjects, June 30, 1902" u="1"/>
        <s v="Child Psychology" u="1"/>
        <s v="Outlook Business" u="1"/>
        <s v="Journal of Small Business and Entrepreneurship" u="1"/>
        <s v="Business" u="1"/>
        <s v="Business Plan for Retailers" u="1"/>
        <s v="Classification Outline with Topical Index for Decisions of the National Labor Relations Board and Related Court Decisions" u="1"/>
        <s v="Federal Register" u="1"/>
        <s v="Congressional Record" u="1"/>
        <s v="The Occupational Outlook" u="1"/>
        <s v="Legislation to Provide GI Benefits for Post-Korean Veterans" u="1"/>
        <s v="Export America" u="1"/>
        <s v="Report of the Clerk of the House from ..." u="1"/>
        <s v="Monthly Catalog of United States Government Publications" u="1"/>
        <s v="Code of Federal Regulations" u="1"/>
        <s v="Publication" u="1"/>
        <s v="Your Federal Income Tax for Individuals" u="1"/>
        <s v="The United States Government Manual" u="1"/>
        <s v="Agroforestry Notes" u="1"/>
        <s v="United States Code" u="1"/>
        <s v="Replacing the Federal Income Tax" u="1"/>
        <s v="Federal Acquisition Circular" u="1"/>
        <s v="Improvement of the Jury System" u="1"/>
        <s v="GAO Documents" u="1"/>
        <s v="Reports and Documents" u="1"/>
        <s v="Official Gazette of the United States Patent and Trademark Office" u="1"/>
        <s v="Small Business Week, May 10-16, 1987" u="1"/>
        <s v="Taxpayer Information Publications" u="1"/>
        <s v="Flour &amp; Feed" u="1"/>
        <s v="Tax Reform, 1969, Hearings" u="1"/>
        <s v="Public Outdoor Recreation Areas--acreage, Use, Potential" u="1"/>
        <s v="Bulletin of the United States Bureau of Labor Statistics" u="1"/>
        <s v="Men's Health" u="1"/>
        <s v="Women's Health" u="1"/>
        <s v="Illinois Health News" u="1"/>
        <s v="Annual Report of the State Board of Health of the State of Wisconsin for the Year Ending ..." u="1"/>
        <s v="Annual Report of the Secretary of the State Board of Health of the State of Michigan, for the Fiscal Year Ending ..." u="1"/>
        <s v="Safetyline" u="1"/>
        <s v="Healthy People 2000 Review" u="1"/>
        <s v="Health planning reports subject index" u="1"/>
        <s v="Cumulative List of Organizations Described in Section 170 (c) of the Internal Revenue Code of 1954" u="1"/>
        <s v="Index-catalogue of the Library of the Surgeon General's Office, United States Army (Armed Forces Medical Library)." u="1"/>
        <s v="Index-catalogue of the Library of the Surgeon-General's Office, United States Army" u="1"/>
        <s v="Catalogue of the Public Documents of the ... Congress and of All Departments of the Government of the United States for the Period from ... to ..." u="1"/>
        <s v="Periodicals Currently Received in Army Medical Library, Washington, D.C." u="1"/>
        <s v="Emerging Infectious Diseases" u="1"/>
        <s v="U.S. Government Purchasing, Specifications, and Sales Directory" u="1"/>
        <s v="Education for Victory" u="1"/>
        <s v="A.I.D. Research and Development Abstracts" u="1"/>
        <s v="EPA National Publications Catalog" u="1"/>
        <s v="Industrial Hygiene Newsletter" u="1"/>
        <s v="Catalog of Federal Domestic Assistance" u="1"/>
        <s v="The Cook Book of the United States Navy" u="1"/>
        <s v="College Cooks: Simple Ingredients Easy Recipes, Good Tasting Food" u="1"/>
        <s v="The Army Cook" u="1"/>
        <s v="Commissioner of Patents Annual Report" u="1"/>
        <s v="Vitamin and Mineral Content of Certain Foods as Affected by Home Preparation" u="1"/>
        <s v="Food Yields" u="1"/>
        <s v="The Code of Federal Regulations of the United States of America" u="1"/>
        <s v="The Chicago Herald Cooking School" u="1"/>
        <s v="Catalog" u="1"/>
        <s v="District of Columbia Appropriations" u="1"/>
        <s v="Nonfarm Consumption of Fluid Milk and Cream" u="1"/>
        <s v="Current Industrial Reports" u="1"/>
        <s v="Breaking Out Bales of Cotton Stored on Head" u="1"/>
        <s v="American Cookery" u="1"/>
        <s v="Specifications and Drawings of Patents Issued from the United States Patent Office" u="1"/>
        <s v="Gas Appliance Merchandising" u="1"/>
        <s v="Family Circle Illustrated Library of Cooking" u="1"/>
        <s v="Food" u="1"/>
        <s v="Index of Patents Issued from the United States Patent Office" u="1"/>
        <s v="Annual Report" u="1"/>
        <s v="Bulletin - National Electric Light Association" u="1"/>
        <s v="U.S. Census of Housing, 1960" u="1"/>
        <s v="Sarsarti Sansar" u="1"/>
        <s v="Travel, Entertainment, and Gift Expenses" u="1"/>
        <s v="Tourism" u="1"/>
        <s v="Outing; Sport, Adventure, Travel, Fiction" u="1"/>
        <s v="Federal Assistance Handbook" u="1"/>
        <s v="English for Tourism" u="1"/>
        <s v="Statement of Disbursements of the House" u="1"/>
        <s v="Index Digest of the Published Decisions of the Comptroller General of the United States" u="1"/>
        <s v="Survey of Land-grant Colleges and Universities" u="1"/>
        <s v="Recreation and Tourist Industry" u="1"/>
        <s v="Foreign Commerce Weekly" u="1"/>
        <s v="Survey of Current Business" u="1"/>
        <s v="Department of State News Letter" u="1"/>
        <s v="The South Australian Government Gazette" u="1"/>
        <s v="Grants and Awards for the Fiscal Year Ended ..." u="1"/>
        <s v="Destination USA" u="1"/>
        <s v="President Clinton's Proposals for Public Investment and Deficit Reduction" u="1"/>
        <s v="Report of the Adjutant-General of the State of California..." u="1"/>
        <s v="Weight-handling Equipment" u="1"/>
        <s v="Vocational Division Bulletin" u="1"/>
        <s v="Defense Issues" u="1"/>
        <s v="Pittsburgh Area Transportation Study" u="1"/>
        <s v="Second Supplemental Appropriation Bill, 1953" u="1"/>
        <s v="U.S. Industrial Outlook" u="1"/>
        <s v="Arts &amp; Crafts Homes and the Revival" u="1"/>
        <s v="Journal of the Royal Society of Arts" u="1"/>
        <s v="The Law of International Watercourses" u="1"/>
        <s v="Complete International Law" u="1"/>
        <s v="The Monthly Army List" u="1"/>
        <s v="Official Army Register" u="1"/>
        <s v="State Laws Governing Local Government Structure and Administration" u="1"/>
        <s v="Dansk-norsk-engelsk Ordbog ved A. Larsen" u="1"/>
        <s v="Smull's Legislative Hand Book" u="1"/>
        <s v="Annual Report of the [Lieutenant-General] Commanding the Army" u="1"/>
        <s v="Documents Printed by Order of the Senate ..." u="1"/>
        <s v="The Navy List" u="1"/>
        <s v="Gleams from Goethe" u="1"/>
        <s v="Transactions of the Connecticut Academy of Arts and Sciences" u="1"/>
        <s v="Collector's Guide" u="1"/>
        <s v="Newspaper and Bank Directory of the World" u="1"/>
        <s v="Catalogue of the reference department of the Aston Manor public library" u="1"/>
        <s v="The Law Relating to Public Health and Local Government" u="1"/>
        <s v="Revised Statutes of the United States, Passed at the First Session of the Forty-third Congress, 1873-74; Embracing the Statutes of the United States, General and Permanent in Their Nature, in Force an the First Day of December, One Thoosand Eight Hundred and Seventy-three, as Revised and Consolidated by Commissioners Appointed Under an Act of Congress (etc.). Mit 2 Suppl.-Vol" u="1"/>
        <s v="The art journal London" u="1"/>
        <s v="Chambers's Journal of Popular Literature, Science and Arts" u="1"/>
        <s v="The International Studio; an Illustrated Magazine of Fine and Applied Art" u="1"/>
        <s v="Bulletin of the Art Institute of Chicago" u="1"/>
        <s v="Technology" u="1"/>
        <s v="Potential Applicability of Assembled Chemical Weapons Assessment Technologies to RCRA Waste Streams and Contaminated Media" u="1"/>
        <s v="Technology Review" u="1"/>
        <s v="Technical Entrepreneurship" u="1"/>
        <s v="Network World" u="1"/>
        <s v="Information on Education Around the World" u="1"/>
        <s v="Technical Abstract Bulletin" u="1"/>
        <s v="Digest of Education Statistics" u="1"/>
        <s v="Resources in Education" u="1"/>
        <s v="Census and You" u="1"/>
        <s v="NASA Tech Briefs" u="1"/>
        <s v="Office of Education Research Reports, 1956-65, ED 002 747-ED 003 960" u="1"/>
        <s v="The Functions of State Departments of Education" u="1"/>
        <s v="Research in Education" u="1"/>
        <s v="Report of the Departmental Committee on Education Rates Together with Appendices ..." u="1"/>
        <s v="Philippine Education Magazine" u="1"/>
        <s v="Annual Report of the Board of Education" u="1"/>
        <s v="Special Reports on Educational Subjects" u="1"/>
        <s v="Directory of Resources for Cultural and Educational Exchanges and International Communication" u="1"/>
        <s v="Focus on Educational Success" u="1"/>
        <s v="Educational Enactments in a Globalised World" u="1"/>
        <s v="Crossing Borders: An Exploration of Educational Technology in the U.S. and Poland" u="1"/>
        <s v="Proceedings of the Department of Superintendence of the National Educational Association ..." u="1"/>
        <s v="Educational Review" u="1"/>
        <s v="United States Statutes at Large" u="1"/>
        <s v="Misc" u="1"/>
        <s v="Southern Educational Review" u="1"/>
        <s v="Monthly Catalogue, United States Public Documents" u="1"/>
        <s v="The Journal of Education" u="1"/>
        <s v="Education" u="1"/>
        <s v="Research Awards Index" u="1"/>
        <s v="A Rapid Survey of the Massachusetts Educational System" u="1"/>
        <s v="Federal Program Evaluations" u="1"/>
        <s v="The Great Art of Government" u="1"/>
        <s v="Catalogue ..." u="1"/>
        <s v="Report of the Comptroller-General of the State of Georgia for the Year Ending ..." u="1"/>
        <s v="The Americana" u="1"/>
        <s v="General Information and Announcements" u="1"/>
        <s v="Education Code" u="1"/>
        <s v="A Taxonomy of Instructional Programs in Higher Education" u="1"/>
        <s v="A History of the Donaldson Family and Its Connections" u="1"/>
        <s v="National Education" u="1"/>
        <s v="The Journal of the National Education Association" u="1"/>
        <s v="Parliamentary Debates" u="1"/>
        <s v="Athenaeum and Literary Chronicle" u="1"/>
        <s v="Journal of Health, Physical Education, Recreation" u="1"/>
        <s v="The Sind University Journal of Education" u="1"/>
        <s v="Statistics of Education" u="1"/>
        <s v="The Encyclopædia Britannica: Demijohn-Edward" u="1"/>
        <s v="Illinois Plan for the Arts in General Education" u="1"/>
        <s v="Minnesota's State Plan for Adult Education" u="1"/>
        <s v="Journal of Education" u="1"/>
        <s v="The Pivotal Problems of Education" u="1"/>
        <s v="Georgia Education Journal" u="1"/>
        <s v="Introduction to Poetry" u="1"/>
        <s v="Lectures on Poetry" u="1"/>
        <s v="The World's Best Poetry ..." u="1"/>
        <s v="Selections from the Edinburgh Review..." u="1"/>
        <s v="Poetry" u="1"/>
        <s v="Chambers's Encyclopaedia" u="1"/>
        <s v="The Academy and Literature" u="1"/>
        <s v="Poetry Review" u="1"/>
        <s v="Macmillan's Magazine" u="1"/>
        <s v="Hoffman on Mundari Poetry" u="1"/>
        <s v="The Juvenile Instructor" u="1"/>
        <s v="The Principles of Criticism" u="1"/>
        <s v="Modern Poetry Studies" u="1"/>
        <s v="The Poet and Penelope" u="1"/>
        <s v="Good Health" u="1"/>
        <s v="The Drama; Its History, Literature and Influence on Civilization: Oriental drama" u="1"/>
        <s v="The Shakespearian Drama" u="1"/>
        <s v="The Drama; Its History, Literature and Influence on Civilization: British drama" u="1"/>
        <s v="The Masterpieces of Modern Drama: English and American" u="1"/>
        <s v="The School Drama" u="1"/>
        <s v="The Mediaeval Stage: book I. Minstrelsy. book II. Folk drama" u="1"/>
        <s v="Drama Magazine" u="1"/>
        <s v="The Drama Magazine ..." u="1"/>
        <s v="The Drama" u="1"/>
        <s v="Catalogue of Copyright Entries" u="1"/>
        <s v="Drama Collection" u="1"/>
        <s v="Information Bulletin" u="1"/>
        <s v="Introduction to Humanities' 1998 Ed." u="1"/>
        <s v="Select Bibliography of the English Drama Before Elizabeth" u="1"/>
        <s v="The Publishers Weekly" u="1"/>
        <s v="Final Part of Henry the Fourth" u="1"/>
        <s v="Students' Identity and Scientific Thought Enhancement" u="1"/>
        <s v="Adventure" u="1"/>
        <s v="Heroism and Adventure. A book for boys. Selected and edited by Mrs. Valentine" u="1"/>
        <s v="The Ambassador's Adventure" u="1"/>
        <s v="The Story of Exploration and Adventure in Africa" u="1"/>
        <s v="Dawn Of British Trade To The" u="1"/>
        <s v="Introduction to Tunisia" u="1"/>
        <s v="Adventure Racing" u="1"/>
        <s v="Family Adventure Guide to Missouri" u="1"/>
        <s v="European Journal of Tourism Research" u="1"/>
        <s v="An Analytical Digest of All the Reported Cases Determined by the High Court of Admiralty of England" u="1"/>
        <s v="WALNECK'S CLASSIC CYCLE TRADER, APRIL 2004" u="1"/>
        <s v="The Attitude of Goethe and Schiller Toward French Classic Drama" u="1"/>
        <s v="WALNECK'S CLASSIC CYCLE TRADER, JANUARY 2002" u="1"/>
        <s v="WALNECK'S CLASSIC CYCLE TRADER, FEBRUARY 2000" u="1"/>
        <s v="The Harvard Classics: Essays, English and American" u="1"/>
        <s v="Classic CD." u="1"/>
        <s v="Symposium on the Value of the Classics ..." u="1"/>
        <s v="The Classic German Dictionary" u="1"/>
        <s v="FCC Record" u="1"/>
        <s v="The Adhesion Molecule FactsBook" u="1"/>
        <s v="Eat Smart, Live Strong Activity Kit" u="1"/>
        <s v="Yachting" u="1"/>
        <s v="Telugu (Indian Classics)" u="1"/>
        <s v="The World's Great Classics: History of English literature, by H.A. Taine" u="1"/>
        <s v="Classics and Irish Politics, 1916-2016" u="1"/>
        <s v="The Chinese Classics" u="1"/>
        <s v="Contemporary Review" u="1"/>
        <s v="The Contemporary Review" u="1"/>
        <s v="The Relation of St. Paul to Contemporary Jewish Thought" u="1"/>
        <s v="The Reign of Henry VII from Contemporary Sources" u="1"/>
        <s v="The Origines of Contemporary France" u="1"/>
        <s v="The Contemporary Law Review" u="1"/>
        <s v="Library of Congress Subject Headings: P-Z" u="1"/>
        <s v="Adolescent and Young Adult Addiction" u="1"/>
        <s v="Services and Resources for Children and Young Adults in Public Libraries" u="1"/>
        <s v="FRSS (Fast Response Survey Reports)." u="1"/>
        <s v="Collection # 6" u="1"/>
        <s v="Health, United States" u="1"/>
        <s v="Harper's Young People" u="1"/>
        <s v="Sessional Papers" u="1"/>
        <s v="Psychological Development of Deaf Children" u="1"/>
        <s v="The Relative Duties of Parents and Children" u="1"/>
        <s v="Mentally Deficient Children" u="1"/>
        <s v="Annual Report of the Department of Visitation of Children Placed in Family Homes, Board of Administration of the State of Illinois" u="1"/>
        <s v="New Manual of Digest of the Laws of Massachusetts Concerning Children" u="1"/>
        <s v="The Children of the Chapel at Blackfriars, 1597-1603" u="1"/>
        <s v="The Children's Hour: Stories of legendary heroes" u="1"/>
        <s v="Self-supporting Schools for Children of the Working Classes" u="1"/>
        <s v="Reasonable Children" u="1"/>
        <s v="The American Journal of Obstetrics and Diseases of Women and Children" u="1"/>
        <s v="The order for a children's service [by H. Ditton-Newman]." u="1"/>
        <s v="Miscellaneous picture and story books for children, ed. by E.W. Vredenburg. 1-51" u="1"/>
        <s v="The Art Bible, Illustrated" u="1"/>
        <s v="The Books of Ezra and Nehemiah with Introduction, Notes and Maps" u="1"/>
        <s v="Public Opinion" u="1"/>
        <s v="The Annotated Revised Statutes of the State of Ohio" u="1"/>
        <s v="The Official Year Book of New South Wales" u="1"/>
        <s v="The Delineator" u="1"/>
        <s v="Report" u="1"/>
        <s v="Corpus Juris" u="1"/>
        <s v="Statement of the Boston Children's Aid Society" u="1"/>
        <s v="Monthly Bulletin" u="1"/>
        <s v="The Law Reports of the Incorporated Council of Law Reporting" u="1"/>
        <s v="Waripari nai Sarwopari" u="1"/>
        <s v="Hearings, Reports and Prints of the House Committee on Armed Services" u="1"/>
        <s v="Departments of Veterans Affairs and Housing and Urban Development, and Independent Agencies Appropriations for 1999: Chemical Safety and Hazard Investigation Board" u="1"/>
        <s v="Laws of the State of Utah Passed at the ... Session of the Legislative Assembly" u="1"/>
        <s v="Departments of Labor, Health and Human Services, Education, and Related Agencies Appropriations for 1991: Health (except National Institutes of Health)" u="1"/>
        <s v="The Army Lawyer" u="1"/>
        <s v="The Reconciliation Act of 2010, Volume II, March 17, 2010, 111-2 House Report 111-443" u="1"/>
        <s v="Federal Probation" u="1"/>
        <s v="Compendium of Research Reports" u="1"/>
        <s v="Surgeon General's Workshop, Health Promotion and Aging" u="1"/>
        <s v="MHD. Mental Health Digest" u="1"/>
        <s v="Agriculture and Related Agencies Appropriations for Fiscal Year 1978" u="1"/>
        <s v="SAMHSA News" u="1"/>
        <s v="Agriculture, Rural Development, Food and Drug Administration, and Related Agencies Appropriations for 2010" u="1"/>
        <s v="A Compilation of Aphorisms on moral and religious subjects, etc" u="1"/>
        <s v="Religious Persecution as a Violation of Human Rights" u="1"/>
        <s v="Yearbook of International Religious Demography 2016" u="1"/>
        <s v="Pride and Prejudice : Om Illustrated Classics" u="1"/>
        <s v="Pride and prejudice, Mansfield park, and Northanger abbey" u="1"/>
        <s v="Pride and Prejudice, Volume 2" u="1"/>
        <s v="Frankenstein, or, The Modern Prometheus" u="1"/>
        <s v="Harry Potter e as reliquias da morte" u="1"/>
        <s v="Frankenstein: or, The modern Prometheus" u="1"/>
        <s v="Harry Potter" u="1"/>
        <s v="Harry Potter: An Official Hogwarts Coloring Book" u="1"/>
        <s v="The World of Harry Potter" u="1"/>
        <s v="The Lord of the Rings' Metaphors" u="1"/>
        <s v="&quot;Game of Thrones&quot; : le mythe" u="1"/>
        <s v="To Kill a Mockingbird Study Guide and Student Workbook (Enhanced Ebook)" u="1"/>
        <s v="X-kit Literature Series: FET To Kill a Mockingbird" u="1"/>
        <s v="MI1984: The Nevada mineral industry 1984" u="1"/>
        <s v="Grade 7 : Jane Eyre" u="1"/>
        <s v="Jane Eyre, 1" u="1"/>
        <s v="The Dan Brown Craze" u="1"/>
        <s v="The Oxford Handbook of George Orwell" u="1"/>
        <s v="The Readings of Mr. Charles Dickens, as Condensed by Himself" u="1"/>
        <s v="Charles Dickens's works. Charles Dickens ed. [18 vols. of a 21 vol. set. Wanting A child's history of England; Christmas stories; The mystery of Edwin Drood]." u="1"/>
        <s v="Works of Charles Dickens" u="1"/>
        <s v="Speeches literary and social by Charles Dickens. Now first collected. With chapters on “Charles Dickens as a Letter Writer, Poet, and Public Reader.” [Edited by R. H. Shepherd. With a bibliography.]" u="1"/>
        <s v="The Works of Charles Dickens" u="1"/>
        <s v="The Humour and Pathos of Charles Dickens" u="1"/>
        <s v="The Works of Charles Dickens ...: American notes" u="1"/>
        <s v="The Complete Works of William Shakespeare" u="1"/>
        <s v="The Plays of William Shakespeare : Accurately Printed from the Text of the Corrected Copy Left by the Late George Steevens" u="1"/>
        <s v="The Works of William Shakespeare" u="1"/>
        <s v="The Poems of Shakespeare" u="1"/>
        <s v="Selections from Shakespeare" u="1"/>
        <s v="Life of William Shakespeare, by E. Malone" u="1"/>
        <s v="The Plays of William Shakespeare in Eight Volumes" u="1"/>
        <s v="William Shakespeare" u="1"/>
        <s v="Dramatic Works of William Shakespeare" u="1"/>
        <s v="Shakespeare, the Sea and the Stage" u="1"/>
        <s v="Four Stories From Shakespeare - Ober - Level 4" u="1"/>
        <s v="Aeolian Sand and Sand Dunes" u="1"/>
        <s v="Sand Dune Stabilization, Shelterbelts and Afforestation in Dry Zones" u="1"/>
        <s v="The Ecological Relations of the Vegetation on the Sand Dunes of Lake Michigan" u="1"/>
        <s v="Coastal Dunes of California" u="1"/>
        <s v="The Ecology of Pacific Northwest Coastal Sand Dunes" u="1"/>
        <s v="Foundation of Education II" u="1"/>
        <s v="Foundations In English Course Book - 8 (Revised Edition), 2/E" u="1"/>
        <s v="Pearson NEET Foundation Series Class 9 | Physics, Chemistry, Biology | Based on NCERT Curriculum | First Edition | By Pearson" u="1"/>
        <s v="Foundations of Accounting" u="1"/>
        <s v="Physical Properties of Some Typical Foundation Rocks" u="1"/>
        <s v="Foundations and Foundation Walls" u="1"/>
        <s v="Philosophical Foundation Of Education" u="1"/>
        <s v="The Girl with the Dragon Tattoo" u="1"/>
        <s v="Fifty Shades of Grey - 101 Amazing Facts &amp; Trivia King!" u="1"/>
        <s v="Fifty Shades of Grey - Trivia King!" u="1"/>
        <s v="Glimpses in the Twilight" u="1"/>
        <s v="Twilight Exposed! The Inside Story of a Billion Dollar Franchise" u="1"/>
        <s v="The Twilight of Human Rights Law" u="1"/>
        <s v="Twilight Sleep" u="1"/>
        <s v="Hunger Games: Study Guide and Student Workbook" u="1"/>
        <s v="Divergent Evolution Through Cumulative Segregation" u="1"/>
        <s v="Internal Performance of Several Divergent-shroud Ejector Nozzles with High Divergence Angles" u="1"/>
        <s v="Some Theorems on the Summation of Divergent Series" u="1"/>
        <s v="Internal Performance Characteristics of Short Convergent-divergent Exhaust Nozzles Designed by the Method of Characteristics" u="1"/>
        <s v="Non-divergent Wind Analysis Algorithm for the St. Louis Raps Network" u="1"/>
        <s v="The Complete Alice in Wonderland" u="1"/>
        <s v="DIGITAL FORTRESS" u="1"/>
        <s v="Great Expectations" u="1"/>
        <s v="A Christmas Carol" u="1"/>
        <s v="A Tale of Two Cities" u="1"/>
        <s v="Alice's Adventures in Wonderland" u="1"/>
        <s v="Number the Stars" u="1"/>
        <s v="The Worlds of George RR Martin" u="1"/>
        <s v="Interior, Environment, and Related Agencies Appropriations for 2009" u="1"/>
        <s v="Interior, Environment, and Related Agencies Appropriations For 2008, Part 4, FY 2008, 110-1 Hearings, *" u="1"/>
        <s v="Alabama Women" u="1"/>
        <s v="The Big Read" u="1"/>
        <s v="Focus On: 100 Most Popular United States National Film Registry Films" u="1"/>
        <s v="Focus On: 100 Most Popular United States National Medal of Arts Recipients" u="1"/>
        <s v="Bulletin Index-digest System" u="1"/>
        <s v="Supplement to Employment, Hours, and Earnings, States and Areas, Data for ..." u="1"/>
        <s v="Patent and Trademark Office Notices" u="1"/>
        <s v="ICC Register" u="1"/>
        <s v="The Department of State Bulletin" u="1"/>
        <s v="Weekly Weather and Crop Bulletin" u="1"/>
        <s v="Savings &amp; Home Financing Source Book" u="1"/>
        <s v="Office of Surface Mining Reclamation and Enforcement Budget Request for Fiscal Year 1988" u="1"/>
        <s v="Monthly Statement of the Public Debt of the United States" u="1"/>
        <s v="Index-digest" u="1"/>
        <s v="Oil and Gas Field Code Master List" u="1"/>
        <s v="Psychopharmacology Bulletin" u="1"/>
        <s v="NASA Reference Publication" u="1"/>
        <s v="Selected Essays" u="1"/>
        <s v="Animal Farm" u="1"/>
        <s v="Down and Out in Paris and London" u="1"/>
        <s v="David Copperfield" u="1"/>
        <s v="Oliver Twist" u="1"/>
        <s v="The Personal History and Experience of David Copperfield, the Younger" u="1"/>
        <s v="HOUSEHOLD WORDS CHRISTMAS STORIES" u="1"/>
        <s v="Christmas Festivities" u="1"/>
        <s v="Comedy of As You Like it" u="1"/>
        <s v="Focus On: 100 Most Popular New Line Cinema Films" u="1"/>
        <s v="Hearings, Reports and Prints of the Senate Committee on the Judiciary" u="1"/>
        <s v="Organized Subversion in the U.S. Armed Forces" u="1"/>
        <s v="Oversight of Civil Aeronautics Board Practices and Procedures" u="1"/>
        <s v="Focus On: 100 Most Popular 2010s Adventure Films" u="1"/>
        <s v="Reports of cases argued and determined in Ohio courts of record except Supreme and Circuit" u="1"/>
        <s v="Florida Shore Protection Project Review Study, Brevard County" u="1"/>
        <s v="Hitchhikers Guide to Evangelism" u="1"/>
        <s v="Luckiest Girl Alive: A Novel by Jessica Knoll (Trivia-On-Books)" u="1"/>
        <s v="Focus On: 100 Most Popular 21St-century English Actresses" u="1"/>
        <s v="Smart Pop Preview 2012" u="1"/>
        <s v="Focus On: 100 Most Popular English-language Film Directors" u="1"/>
        <s v="Unknown Title" u="1"/>
        <s v="Focus On: 100 Most Popular American Romantic Drama Films" u="1"/>
        <s v="Focus On: 100 Most Popular Films Based on British Novels" u="1"/>
        <s v="Smart Pop Preview 2013" u="1"/>
        <s v="Dirty Words: How I Learned to Stop Worrying and Love the F-Bomb" u="1"/>
        <s v="The J.A. Konrath Reading Order Checklist" u="1"/>
        <s v="Focus On: 100 Most Popular American Science Fiction Films" u="1"/>
        <s v="Real Analysis (As per UGC &amp; CBCS)  Eastern India Universities" u="1"/>
        <s v="Algebra &amp; Trigonometry" u="1"/>
        <s v="Monthly Weather Review" u="1"/>
        <s v="Focus On: 100 Most Popular American 3D Films" u="1"/>
        <s v="Manual of Classification" u="1"/>
        <s v="Narnia Chronicles: A study of Prince Caspian" u="1"/>
      </sharedItems>
    </cacheField>
    <cacheField name="AUTHOR" numFmtId="0">
      <sharedItems containsBlank="1" count="1451" longText="1">
        <s v="Peter Lamarque"/>
        <s v="R. Reginald, Douglas Menville, Mary A. Burgess"/>
        <s v="Carl Darryl Malmgren"/>
        <s v="Robert Con Davis-Undiano"/>
        <s v="Timothy Dow Adams"/>
        <s v="Teacher Created Resources, Inc"/>
        <s v="Mary Flanagan, Austin Booth"/>
        <s v="Olga Pilkington"/>
        <s v="Paul Schellinger"/>
        <s v="Tyron Goldschmidt, Kenneth L. Pearce"/>
        <s v="Simon Riches"/>
        <s v="Europa Publications"/>
        <s v="Mark Siegel"/>
        <s v="Barbara deRubertis"/>
        <s v="Benjamin de Carvalho, Julia Costa Lopez, Halvard Leira"/>
        <s v="E. Wayne Ross"/>
        <s v="Rufus Bird, Simon Thurley, Michael Turner"/>
        <s v="Armin Lange, Kerstin Mayerhofer, Dina Porat, Lawrence H. Schiffman"/>
        <s v="Various"/>
        <s v="Michael C. Thomsett, Jean Freestone Thomsett"/>
        <s v="T. F. Leong"/>
        <s v="Vasily Sesemann"/>
        <s v="Helen Gibbon, Ben Golder, Lucas Lixinski, Marina Nehme, Prue Vines"/>
        <s v="Anonymous"/>
        <s v="Howard Malcom"/>
        <s v="M. Epstein"/>
        <s v="Edward Gibbon"/>
        <s v="Jan Young"/>
        <s v="Samuel Abbott Green"/>
        <s v="Carl Rollyson"/>
        <s v="William H. Epstein"/>
        <s v="Ann Jefferson"/>
        <s v="Wilhelm Hemecker, Edward Saunders"/>
        <s v="Christian Forstner, Mark Walker"/>
        <s v="Tomas Hägg"/>
        <s v="David Suchoff, Mary Rhiel"/>
        <s v="Prue Chamberlayne, Joanna Bornat, Tom Wengraf"/>
        <s v="Brenda Ayres"/>
        <s v="Richard Bradford"/>
        <s v="Monique Jones"/>
        <s v="Kerry Brown"/>
        <s v="Malin Lidström Brock"/>
        <s v="Harry L. Munsinger J.D. Ph.D."/>
        <s v="Thomas Hatina"/>
        <s v="Charles H. Talbert"/>
        <s v="Nikos Miltsios, Melina Tamiolaki"/>
        <s v="Catherine  Earl, Philip  Taylor"/>
        <s v="Neville Kirk"/>
        <s v="Gregory M. Hasty"/>
        <s v="Mauricio Tenorio-Trillo"/>
        <s v="Paschalis M. Kitromilides"/>
        <s v="John Charles, Joanna Morrison, Candace Clark"/>
        <s v="Enid Blyton"/>
        <s v="Roy R. Jeal"/>
        <s v="Blake Pierce"/>
        <s v="William F. Deeck"/>
        <s v="Jacob Agner, Harriet Pollack"/>
        <s v="Jonathan Cahn"/>
        <s v="Paul Moxham"/>
        <s v="Carole Marsh"/>
        <s v="Louise Hathaway"/>
        <s v="Hermann Beckh"/>
        <s v="Mark Moonsamy"/>
        <s v="Fiona Grace"/>
        <s v="John Michael Greer"/>
        <s v="Hugh B. Cave, Victor Rousseau, Atwater, Norman A. Daniels, Ellery Watson Calder"/>
        <s v="Daphne Du Maurier, Harold R. Daniels"/>
        <s v="Jack Zevin, David Gerwin"/>
        <s v="John Charles Dent"/>
        <s v="Rhiannon Purdie"/>
        <s v="Ben E. Perry"/>
        <s v="Lynne Pearce"/>
        <s v="Michael O'Neill"/>
        <s v="Marijane Osborn"/>
        <s v="Yan-kit Ingrid Leung"/>
        <s v="William Frawley"/>
        <s v="Pamela Fox"/>
        <s v="Valerie Estelle Frankel"/>
        <s v="Sudha Shastri"/>
        <s v="Michael McKeon"/>
        <s v="Yolanda van Ede"/>
        <s v="Maud Burnett McInerney"/>
        <s v="Brian Attebery"/>
        <s v="Janet G. Casey"/>
        <s v="W. M. Verhoeven"/>
        <s v="Albrecht Classen"/>
        <s v="Christine Gerhardt"/>
        <s v="Velma Bourgeois Richmond"/>
        <s v="Michael Johnston, Kathryn Kerby-Fulton, Derek Pearsall"/>
        <s v="Paola Cotticelli-Kurras, Eystein Dahl, Jelena Živojinović"/>
        <s v="Debapriya Sarkar"/>
        <s v="J. Reid"/>
        <s v="C. Relihan, G. Stanivukovic"/>
        <s v="Jodi McAlister"/>
        <s v="Karen O'Connor"/>
        <s v="M. Ruth Noriega Sánchez"/>
        <s v="Richard Mathews"/>
        <s v="Andrew Billings, Brody Ruihley"/>
        <s v="Andre Nusselder"/>
        <s v="Dan Flockhart"/>
        <s v="Square Enix"/>
        <s v="Y. Chung"/>
        <s v="Helen Young"/>
        <s v="Robert Zarzycki"/>
        <s v="Paula Guran"/>
        <s v="Lois Oppenheim"/>
        <s v="Edward James, Farah Mendlesohn"/>
        <s v="Allen Stroud"/>
        <s v="Colin N. Manlove"/>
        <s v="Florent Gorges, Luc Petronille"/>
        <s v="Jude Roberts, Esther MacCallum-Stewart"/>
        <s v="Yu Tsurusaki, Shin Ikezawa"/>
        <s v="Nakoa Rainfall, AI"/>
        <s v="Sam Hendricks"/>
        <s v="Barrett Williams, ChatGPT"/>
        <s v="S. Elizabeth"/>
        <s v="Logan Rodriguez, AI"/>
        <s v="Farah Mendlesohn"/>
        <s v="Rosalind Gould"/>
        <s v="Jane Moseley, Jackie Strachan"/>
        <s v="Bruce Cassiday"/>
        <s v="David Cassady"/>
        <s v="Aisha Khan, AI"/>
        <s v="John Fraser"/>
        <s v="Gregory G. Sarno"/>
        <s v="Pablo Castrillo Maortua"/>
        <s v="Saurabh Chawla, Pria Raiyani"/>
        <s v="Kate Bold"/>
        <s v="Andreas Masouras"/>
        <s v="Rylie Dark"/>
        <s v="John Scaggs"/>
        <s v="Katherine Lindberg"/>
        <s v="Svetlana S. Bodrunova"/>
        <s v="Molly Black"/>
        <s v="Ken Dancyger, Jeff Rush"/>
        <s v="Jack Mars"/>
        <s v="Altan Löker"/>
        <s v="Dr Warren Brodsky"/>
        <s v="All India Radio (AIR), New Delhi"/>
        <s v="Ray Broadus Browne, Marshall William Fishwick"/>
        <s v="David S. Kidder, Noah D. Oppenheim"/>
        <s v="Matthew Gumpert"/>
        <s v="Wise Publications"/>
        <s v="CJ Lyons"/>
        <s v="Maria Mellins, Rachael Wheatley, Caroline Flowers"/>
        <s v="Martin McQuillan"/>
        <s v="Ivan King, christianity"/>
        <s v="Ivan King, Bestsellers"/>
        <s v="Bhagirathi Sahu"/>
        <s v="James A. Marcum"/>
        <s v="David W. Hamlyn"/>
        <s v="Naomi Zack"/>
        <s v="Rajendra Prasad"/>
        <s v="V.P. Salnikov, S.I. Zakhartsev"/>
        <s v="Sharon Kaye"/>
        <s v="Arran Gare"/>
        <s v="Thomas H Brobjer"/>
        <s v="Justin Smith-Ruiu"/>
        <s v="Kenneth Hart Green"/>
        <s v="Britannica Educational Publishing"/>
        <s v="Joseph Agassi"/>
        <s v="Hilary Putnam"/>
        <s v="Jeremy Stangroom, James Garvey"/>
        <s v="Richard Gilmore"/>
        <s v="A. P. Martinich"/>
        <s v="William G. Lycan"/>
        <s v="Julie K. Ward, Tommy L. Lott"/>
        <s v="John Hick"/>
        <s v="Drew A. Hyland"/>
        <s v="Anja Steinbauer"/>
        <s v="M?che?l Houlahan, Philip Tacka"/>
        <s v="Friedrich Wilhelm Joseph von Schelling"/>
        <s v="C. R. Snyder"/>
        <s v="David H. Barlow"/>
        <s v="Charles Hubbard Judd"/>
        <s v="Philip Banyard, Gayle Dillon, Christine Norman, Belinda Winder"/>
        <s v="Dorothy K. Kagehiro, William S. Laufer"/>
        <s v="Timothy M. Lionetti, Edward P. Snyder, Ray W. Christner"/>
        <s v="Rowan Bayne, Ian Horton"/>
        <s v="Mark Muse, Bret A. Moore"/>
        <s v="Ellen E. Pastorino, Susann M. Doyle-Portillo"/>
        <s v="Rubén Ardila"/>
        <s v="Erik Bijleveld, Henk Aarts"/>
        <s v="Richard Cooke"/>
        <s v="Sergio Salvatore, Barbara Cordella"/>
        <s v="A. Jordan Wright"/>
        <s v="John Peter Anton, George L. Kustas, Anthony Preus"/>
        <s v="Edward Chace Tolman"/>
        <s v="R. Kathryn McHugh, David H. Barlow"/>
        <s v="Douglas A. Bernstein, Julie Ann Pooley, Lynne Cohen, Steve Provost, Jacquelyn Cranney, Bethanie Gouldthorp, Neil Drew"/>
        <s v="Marc J. Ackerman"/>
        <s v="W. Gerrod Parrott"/>
        <s v="Douglas A. Bernstein, Julie Ann Pooley, Lynne Cohen, Steve Provost, Jacquelyn Cranney, Neil Drew"/>
        <s v="William T. O'Donohue, Jane E. Fisher"/>
        <s v="Mr. Rohit Manglik"/>
        <s v="Edmund Husserl"/>
        <s v="Irving B. Weiner, Roger L. Greene"/>
        <s v="Lynne Roberts"/>
        <s v="Sujeev Shakya"/>
        <s v="James Sonhill DBA, Sun Tzu"/>
        <s v="Alastair M. Morrison"/>
        <s v="Kathie Hightower, Holly Scherer"/>
        <s v="Mark Fisher, Medi Houghton, Veenu Jain"/>
        <s v="Jack T. Marchewka"/>
        <s v="Susan G. Forman, Jeffrey D. Shahidullah"/>
        <s v="Institute of Medicine, Roundtable on Evidence-Based Medicine"/>
        <s v="Lisa Famiglietti, Mark Scott"/>
        <s v="Wickramasinghe, Nilmini"/>
        <s v="Marcia Stanhope, Jeanette Lancaster"/>
        <s v="William Charney, Anne Hudson"/>
        <s v="Ian Norman"/>
        <s v="Audry Berman, Shirlee J. Snyder, Barbara Kozier, Glenora Lea Erb, Tracy Levett-Jones, Trudy Dwyer, Majella Hales, Nichole Harvey, Lorna Moxham, Tanya Park, Barbara Parker, Kerry Reid-Searl, David Stanley"/>
        <s v="Bette R Bonder, Vanina Dal Bello-Haas"/>
        <s v="Cook's Illustrated, Guy Crosby, Ph.D"/>
        <s v="Janet Macdonald"/>
        <s v="Dr. Bimal Chhajer"/>
        <s v="Balram Chugh"/>
        <s v="B. K. Dadzie, J. E. Orchard"/>
        <s v="Junaid Ahmad Malik, Megh R. Goyal, Preeti Birwal, Ritesh B. Watharkar"/>
        <s v="J. Andrew Overman, Daniel N. Schowalter, Michael C. Nelson"/>
        <s v="Michael Mayor"/>
        <s v="Christine Leitner, Jens Neuhüttler, Clara Bassano and Debra Satterfield"/>
        <s v="N. Rukma Reddy, Shridhar K. Sathe"/>
        <s v="Özge Zeytin Bildirici"/>
        <s v="Karen Eich Drummond, Mary Cooley, Thomas J. Cooley"/>
        <s v="Leslie Preston Day, Kevin T. Glowacki"/>
        <s v="Russell E. Glasgow, Samantha M. Harden, Bridget Gaglio, Borsika Adrienn Rabin, Marcia G. Ory, Matthew Lee Smith, Paul A. Estabrooks"/>
        <s v="Oswaal Editorial Board"/>
        <s v="Thomas H. Applewhite"/>
        <s v="Jens-Henrik Bech, Kristian Kristiansen, Berit Valentin Eriksen"/>
        <s v="Muzaffar Alam, Sanjay Subrahmanyam"/>
        <s v="David Horner, Peter Strutt"/>
        <s v="Alan J. Horowitz, National Cooperative Highway Research Program"/>
        <s v="B. Prideaux, Gianna Moscardo, Eric Laws"/>
        <s v="Ahmed Musa"/>
        <s v="Michael J. Lennon"/>
        <s v="Mary Ann Devine, Lynn Anderson"/>
        <s v="Al Lieberman, Pat Esgate"/>
        <s v="Wang, Shuyan, Hartsell, Taralynn"/>
        <s v="Vandercasteelen, Joachim, Minten, Bart, Tamru, Seneshaw"/>
        <s v="Elliot W. Eisner, Michael D. Day"/>
        <s v="Francis Edward Sparshott"/>
        <s v="Andrea Biondi, Piet Eeckhout, Stefanie Ripley"/>
        <s v="Clive Nicholls QC, Clive Nicholls, Clare Montgomery QC, Clare Montgomery, Julian B. Knowles, Julian B. Knowles QC, Anand Doobay, Mark Summers"/>
        <s v="Damian Chalmers, Gareth Davies, Giorgio Monti"/>
        <s v="Judith Dinham"/>
        <s v="Pat  Treacy"/>
        <s v="Andreas Schloenhardt, Francesco Calderoni, Joseph Lelliott, Bettina Weißer"/>
        <s v="Stephen Swann, Christian von Bar"/>
        <s v="Martin Dockray"/>
        <s v="Larissa van den Herik, Carsten Stahn"/>
        <s v="William G. Andrews"/>
        <s v="Graeme T. Laurie, Shawn Harmon, John Kenyon Mason, Gerard Porter, Alexander McCall Smith"/>
        <s v="Pieter E. Vermaas"/>
        <s v="Andrzej Piotr Wierzbicki"/>
        <s v="Peter H. Martorella"/>
        <s v="Mtenzi, Fredrick Japhet, Oreku, George S., Lupiana, Dennis M."/>
        <s v="Beth Keser, Steffen Kröhnert"/>
        <s v="Chilamkurti, Naveen"/>
        <s v="Göran Bolin"/>
        <s v="National Research Council, Division on Engineering and Physical Sciences, Commission on Engineering and Technical Systems, Committee on Electric Power for the Dismounted Soldier"/>
        <s v="Braman, James, Brown, Alexis, Richards, Mary Jo"/>
        <s v="Savvas Papagiannidis, Eleftherios Alamanos, Suraksha Gupta, Yogesh K. Dwivedi, Matti Mäntymäki, Ilias O. Pappas"/>
        <s v="Pierre-Emmanuel Gaillardon, Ian O’Connor, Fabien Clermidy"/>
        <s v="Sara Arezki, Mariya Ouaissa, Mariyam Ouaissa, Moez Krichen, Anand Nayyar"/>
        <s v="José L. Risco Martín, Saurabh Mittal, Tuncer Ören"/>
        <s v="Bayar, Yilmaz, Karabetyan, Lina"/>
        <s v="Constantin Volosencu"/>
        <s v="Gary Ivory, Dana Christman"/>
        <s v="Lianqing Liu, Yifeng Niu, Wenxing Fu, Yi Qu"/>
        <s v="Robert J. Taylor, Susan B. Taylor"/>
        <s v="Jack W. Plunkett"/>
        <s v="Adedeji B. Badiru"/>
        <s v="Management Association, Information Resources"/>
        <s v="Marquidia Pacheco"/>
        <s v="Vivek Sehgal"/>
        <s v="National Research Council, Division on Engineering and Physical Sciences, Space Studies Board, Committee on Earth Studies"/>
        <s v="Caroline Mutuku"/>
        <s v="Patricia A. Alexander, PHILIP H WINNE"/>
        <s v="Eugenie A. Samier, Eman S. ElKaleh"/>
        <s v="Eugenie A. Samier, Michèle Schmidt"/>
        <s v="Robert Aman, Timothy Ireland"/>
        <s v="Ronald Gulliford, Graham Upton"/>
        <s v="Nancy Law, Allan Yuen, Robert Fox"/>
        <s v="Paul J. Ramsey"/>
        <s v="Anton McLean"/>
        <s v="Dr. Shauli Mukherjee, Dr. Prarthita Biswas, Mr. Pranay Pandey &amp; Mr. MAM Sameem"/>
        <s v="Arthur Francis Leach"/>
        <s v="World Bank"/>
        <s v="Eric C. K. Cheng"/>
        <s v="Susan Echaore-McDavid"/>
        <s v="Jisun Jung, Hugo Horta, Akiyoshi Yonezawa"/>
        <s v="Claire Howell Major, Michael S. Harris, Todd D. Zakrajsek"/>
        <s v="Jerome G. Delaney"/>
        <s v="Morton Wilfred Bloomfield, Charles William Dunn"/>
        <s v="Michael La Ronn"/>
        <s v="Octavio Paz"/>
        <s v="G. N. Devy"/>
        <s v="Madeleine Callaghan"/>
        <s v="Nicholas Gayle"/>
        <s v="Ruth J. Owen"/>
        <s v="Korina M. Jocson"/>
        <s v="Thomas Hyde"/>
        <s v="Dr. Shiva Kant Tripathi, Dr. Ravi Kumar Yadav"/>
        <s v="Marc-Lee Tierney"/>
        <s v="ohne Autor"/>
        <s v="Kamran Talattof"/>
        <s v="Maturin Murray Ballou"/>
        <s v="Gülru Necipoğlu, Cemal Kafadar, Cornell H. Fleischer"/>
        <s v="Ms. Arpita Roy"/>
        <s v="Wesley McNair"/>
        <s v="Peter Robinson"/>
        <s v="Michel Chaouli, Jan Lietz, Jutta Müller-Tamm, Simon Schleusener"/>
        <s v="Billy Collins"/>
        <s v="Mary McAvoy, Peter O'Connor"/>
        <s v="Nigel Toye, Francis Prendiville"/>
        <s v="Michael Fleming"/>
        <s v="Guerin Moorman"/>
        <s v="Esta de Fossard"/>
        <s v="Nigel Griffin"/>
        <s v="Brian Edmiston"/>
        <s v="Roger Allen"/>
        <s v="Wilga M. Rivers"/>
        <s v="Frances Reed"/>
        <s v="Youna Kim"/>
        <s v="Thomas H. Dickinson"/>
        <s v="Martin Harrison"/>
        <s v="Herry Nur Hidayat , Pramono, Eka Meigalia, Kundharu Saddhono, Khairil Anwar"/>
        <s v="Normand Berlin"/>
        <s v="Chang-tai Hung"/>
        <s v="Stavros Boinodiris PHD"/>
        <s v="Simon Dunmore"/>
        <s v="Miriam Ben-Peretz, Sally Brown, Bob Moon"/>
        <s v="Gill Pomfret, Adele Doran, Carl Cater"/>
        <s v="Manoj Nakra"/>
        <s v="Janice L. DeLucia-Waack, Deborah A. Gerrity, Cynthia R. Kalodner, Maria Riva"/>
        <s v="Zamfir Iacob"/>
        <s v="Arthur Conan Doyle"/>
        <s v="Gary Saul Morson, Caryl Emerson"/>
        <s v="Christine Schwab"/>
        <s v="David Kirk, Doune Macdonald, Mary O′Sullivan"/>
        <s v="David Marcum"/>
        <s v="A. K. Bhatia"/>
        <s v="Nicky Huys"/>
        <s v="David A. Fennell"/>
        <s v="Glyn Thomas, Janet Dyment, Heather Prince"/>
        <s v="Doris Pronin Fromberg, Doris Bergen"/>
        <s v="Elie Ayache"/>
        <s v="Mona Leung"/>
        <s v="John S. C. Abbott"/>
        <s v="Tom Baum, Ann Ndiuini"/>
        <s v="Mohan Chute"/>
        <s v="Sunshine Mechtenberg"/>
        <s v="Yusef Waghid"/>
        <s v="John Elzinga"/>
        <s v="Paulette Bourgeois"/>
        <s v="Jon Helgason, Sara Kärrholm, Ann Steiner"/>
        <s v="J.D. Biersdorfer, David Pogue"/>
        <s v="Peter Shelley"/>
        <s v="Adrian Wallwork"/>
        <s v="Katherine Ulrich"/>
        <s v="Katie Salen Tekinbas, Eric Zimmerman"/>
        <s v="Daniel Bell"/>
        <s v="Jeff Gamet"/>
        <s v="Jeffrey R. Parsons"/>
        <s v="Richard Oliver Brooks"/>
        <s v="Jan Gorak"/>
        <s v="Roger Anyon, Steven A. LeBlanc"/>
        <s v="Therese J Bocklage, Robert Quinn, Berndt Schmit, Claire Verschraegen"/>
        <s v="Robert S. Santley"/>
        <s v="Morris Nitsun"/>
        <s v="Hannah Whitall Smith"/>
        <s v="Alex T. Borgida, Vinay Chaudhri, Paolo Giorgini, Eric Yu"/>
        <s v="Moe Rahnema"/>
        <s v="Austin Harrington, Barbara L. Marshall, Hans-Peter Müller"/>
        <s v="Barbara Ann Kipfer"/>
        <s v="Christopher Carr, D. Troy Case"/>
        <s v="William E. Walsh"/>
        <s v="C. J. W.-L. Wee"/>
        <s v="G. Browning, R. Prokhovnik, M. Dimova-Cookson"/>
        <s v="Duane Champagne"/>
        <s v="P. Bayapa Reddy"/>
        <s v="Jennifer Milioto Matsue"/>
        <s v="Jonathan D. London"/>
        <s v="Charlotte Beyer"/>
        <s v="Ronald R. Bernier, Rachel Hostetter Smith"/>
        <s v="Eamonn Jordan, Eric Weitz"/>
        <s v="Hongyu Wang"/>
        <s v="Varaprasad S. Dolla"/>
        <s v="Daniel Makina, Dominic Pasura"/>
        <s v="Paola Pucci, Matteo Colleoni"/>
        <s v="Demetra Sfendoni-Mentzou"/>
        <s v="Sandro Segre"/>
        <s v="Josep M. Armengol"/>
        <s v="Annelies Van Assche"/>
        <s v="Heike Schaefer, Alexander Starre"/>
        <s v="Robert M. Grant"/>
        <s v="Sabrina DeTurk"/>
        <s v="Sebastian Balfour"/>
        <s v="Don Rubin, Carlos Solorzano"/>
        <s v="Michael Thomas"/>
        <s v="Peter Brooker, Peter Widdowson"/>
        <s v="JONES"/>
        <s v="Gerard Delanty, Stephen P. Turner"/>
        <s v="Tareq Y. Ismael, Jacqueline S. Ismael"/>
        <s v="Amy Erdman Farrell"/>
        <s v="Peter Timms"/>
        <s v="Richlyn Siaw"/>
        <s v="Louis E. Boone, David L. Kurtz, Brahm Canzer"/>
        <s v="Emilie Dufresne"/>
        <s v="Michael Cart"/>
        <s v="Friedrich Lösel, Anthony Bottoms, David P. Farrington"/>
        <s v="Nancy Marrocco"/>
        <s v="Deborah Halverson"/>
        <s v="Elizabeth Laugeson"/>
        <s v="Arthur David Canales"/>
        <s v="Thomas W. Bean, Judith Dunkerly-Bean, Helen J. Harper"/>
        <s v="Archie W. Bleyer, Ronald Duncan Barr"/>
        <s v="Cindy Klick"/>
        <s v="Pia Riis Olsen, Sam Smith"/>
        <s v="Elizabeth D. Hutchison"/>
        <s v="Crag Hill"/>
        <s v="Clifton D. Bryant"/>
        <s v="Furlong, Andy, Cartmel, Fred"/>
        <s v="Kimberly Bolan Taney, Kimberly Bolan"/>
        <s v="Samantha Punch, Kay Tisdall"/>
        <s v="Alan Booth, Susan L. Brown, Nancy S Landale, Wendy D. Manning, Susan M McHale"/>
        <s v="Michael Planty, William J. Hussar, Thomas D. Snyder"/>
        <s v="Angelos P. Kassianos"/>
        <s v="Kimberly Karshner"/>
        <s v="Vincent M. Azevedo"/>
        <s v="Adele L. Martel, D. Catherine Fuchs"/>
        <s v="Elizabeth Gormley-Fleming, Sheila Roberts"/>
        <s v="Hadley Irwin, Jeannette Eyerly"/>
        <s v="Calvin A. Colarusso"/>
        <s v="Don M. Roberton, M. J. South"/>
        <s v="Carl M. Tomlinson, Carol Lynch-Brown"/>
        <s v="Chin-Chun Yi, Ming-Chang Tsai"/>
        <s v="Edward Alan Glasper, James Richardson"/>
        <s v="Mary Ashworth, Patricia Wakefield"/>
        <s v="Ian Hutchby, Jo Moran-Ellis"/>
        <s v="Mary Baginsky"/>
        <s v="Alexander William Gordon Ewing"/>
        <s v="Marvin Klepsch, Laura Logie"/>
        <s v="Tony Fahey, Liam Delaney, Brenda Gannon"/>
        <s v="Anthony M. Graziano"/>
        <s v="Brendan Hyde"/>
        <s v="Alicia Davids"/>
        <s v="Catholic Relief Services"/>
        <s v="Elizabeth Lennox Keyser, Julie Pfeiffer"/>
        <s v="Joseph A. Durlak"/>
        <s v="Great Britain: Parliament: Joint Committee on Human Rights"/>
        <s v="Ronald D. Cohen"/>
        <s v="Beate Leopold, Elfriede Steffan"/>
        <s v="Mary Higgins Clark"/>
        <s v="Jean Marie Stine"/>
        <s v="Purnima Banerjee"/>
        <s v="Paul M.G. Emmelkamp"/>
        <s v="Judith A. Houck"/>
        <s v="Hannah Kyong-Jin Cho"/>
        <s v="Morley D. Glicken"/>
        <s v="Edward K. Rynearson"/>
        <s v="Scott O. Lilienfeld, Steven Jay Lynn, Jeffrey M. Lohr"/>
        <s v="Tarek Sobh"/>
        <s v="Paul Elliott Rock"/>
        <s v="Constance Stellas"/>
        <s v="János Mátyás Kovács"/>
        <s v="H. Häfner, G. Moschel, N. Sartorius"/>
        <s v="Dr. Alf H. Walle"/>
        <s v="Carl Leukefeld, Theodore Godlaski, James Clark, Cynthia Brown, Lon Hays"/>
        <s v="W. Stewart Agras"/>
        <s v="Eric C. Miller, Jonathan J. Edwards"/>
        <s v="Esther Urdang"/>
        <s v="Jack Turner"/>
        <s v="Megan Sweeney"/>
        <s v="Astrid Ley"/>
        <s v="Thurstine Basset, Theo Stickley"/>
        <s v="William T Cavanaugh"/>
        <s v="Abby Day"/>
        <s v="P. H. Brazier"/>
        <s v="Peter S. Henne"/>
        <s v="Peter B Clarke"/>
        <s v="Gerald Robert McDermott, Harold A. Netland"/>
        <s v="Todd M. Johnson, Brian J. Grim"/>
        <s v="Frank B. Cross"/>
        <s v="Roger A. Johnson"/>
        <s v="Harper Lee"/>
        <s v="Suzanne Collins"/>
        <s v="Jane Austen"/>
        <s v="Jane Austen, Alex Williams, Eric Williams, 5310 Publishing"/>
        <s v="F. Scott Fitzgerald"/>
        <s v="F. Scott Fitzgerald, The Anglo Egyptian Bookshop  مكتبة الأنجلو المصرية"/>
        <s v="Agatha Christie"/>
        <s v="Dan Brown"/>
        <s v="J.K. Rowling"/>
        <s v="William Irwin, Gregory Bassham"/>
        <s v="Francis Scott Fitzgerald"/>
        <s v="George A. Dunn, Nicolas Michaud"/>
        <s v="Suzanne Collins, Emily Seife"/>
        <s v="Neil Mulholland"/>
        <s v="Jack Goldstein, Frankie Taylor"/>
        <s v="Nikita Agarwal, Chitra Agarwal"/>
        <s v="Scholastic"/>
        <s v="Willow Polson, Jody Revenson"/>
        <s v="Richard A. Spencer"/>
        <s v="NARAYAN CHANGDER"/>
        <s v="EZ Summary"/>
        <s v="Daniel Mitchell"/>
        <s v="Lana A. Whited"/>
        <s v="Luke Bell"/>
        <s v="Insight Editions"/>
        <s v="Christopher E. Bell"/>
        <s v="Holger Weßling, Archie Thomas"/>
        <s v="Elizabeth E. Heilman"/>
        <s v="Emily Lauer, Balaka Basu"/>
        <s v="Joanna Farrow"/>
        <s v="Lindsay Gilbert"/>
        <s v="Jennifer Hunsicker"/>
        <s v="J. A. Sykley, Dr Julie Sykley"/>
        <s v="Jody Revenson"/>
        <s v="David Baggett"/>
        <s v="Sarah Park Dahlen, Ebony Elizabeth Thomas"/>
        <s v="Amanda Firestone, Leisa A. Clark"/>
        <s v="Cath Senker"/>
        <s v="Ernest Mathijs"/>
        <s v="Harold Bloom"/>
        <s v="Robert Eaglestone"/>
        <s v="Gregory Bassham, Eric Bronson"/>
        <s v="Angie Errigo, Paul Simpson"/>
        <s v="J.R.R. Tolkien"/>
        <s v="Anna Dawson"/>
        <s v="Marion Klotz"/>
        <s v="Kurt Bruner, Jim Ware"/>
        <s v="Leslie A. Donovan"/>
        <s v="Anna Marie Gazzolo"/>
        <s v="Insights"/>
        <s v="Jane Chance"/>
        <s v="Rose A. Zimbardo, Neil D. Isaacs"/>
        <s v="J. R. R. Tolkien"/>
        <s v="Deborah Riley, Jody Revenson"/>
        <s v="Laura D. Young, Ñusta Carranza Ko"/>
        <s v="Bryan Cogman"/>
        <s v="Wikipedia Contributors"/>
        <s v="Henry Jacoby"/>
        <s v="Jes Battis, Susan Johnston"/>
        <s v="George R. R. Martin"/>
        <s v="Gina McIntyre"/>
        <s v="Scott Ambrose"/>
        <s v="William Simpson, Michael Kogge"/>
        <s v="Kim Renfro"/>
        <s v="Brian A. Pavlac"/>
        <s v="Ken Mondschein"/>
        <s v="Bill Scollon, Barbara Montini"/>
        <s v="Moore, Fiona"/>
        <s v="Cassandra Reeder, Joanne Bourne"/>
        <s v="Kavita Mudan Finn"/>
        <s v="Brigitte Biehl"/>
        <s v="Alfonso Álvarez-Ossorio, Fernando Lozano, Rosario Moreno Soldevila, Cristina Rosillo-López"/>
        <s v="A. Keith Kelly"/>
        <s v="Alfonso Álvarez-Ossorio, Fernando Lozano, Rosario Moreno Soldevila, Cristina Rosillo-Lopez"/>
        <s v="Remy J. Verhoeve"/>
        <s v="Fact Bomb Company Limited"/>
        <s v="C. A. Taylor"/>
        <s v="Lea M. Peters"/>
        <s v="Onno Thießen"/>
        <s v="Matthew William Brake"/>
        <s v="Jane. Austen"/>
        <s v="Hanne Birk, Marion Gymnich"/>
        <s v="Robert Morrison"/>
        <s v="Fiona Gregory"/>
        <s v="Paul Bramley"/>
        <s v="BMI Staff"/>
        <s v="The Editors of LIFE"/>
        <s v="Online Digital Centre"/>
        <s v="Robert Plank"/>
        <s v="John Rodden, John Rossi"/>
        <s v="Ronald Berman"/>
        <s v="LessonCaps"/>
        <s v="Smith Ashley"/>
        <s v="Vittoria Guarino, Friederike Lang, Emilie Platt, Julia Straub"/>
        <s v="Cristina Smith, Chef Ron Oliver"/>
        <s v="Charlotte Brontë"/>
        <s v="John Seelye"/>
        <s v="Timothy Roberts"/>
        <s v="Anna Claybourne"/>
        <s v="Robert Johanson"/>
        <s v="Charlotte Bronte"/>
        <s v="Paola Bertolino"/>
        <s v="Amy Corzine, Charlotte Brontë"/>
        <s v="Mary Ellen Snodgrass, Karin Jacobson"/>
        <s v="Charlotte Brontë, Emily Brontë"/>
        <s v="Jennifer Adams"/>
        <s v="Pat Macpherson"/>
        <s v="Catharina Kern"/>
        <s v="Steven Doyle, David A. Crowder"/>
        <s v="Sir Arthur Conan Doyle"/>
        <s v="Sir Arthur Conan Doyle, Arthur Conan Doyle"/>
        <s v="Nadine Farghaly"/>
        <s v="Amanda J Field"/>
        <s v="Stephen Knight"/>
        <s v="Stewart Ross"/>
        <s v="Jon Jory"/>
        <s v="Marlow Anderson, Victor Katz, Robin Wilson"/>
        <s v="John Heywood"/>
        <s v="Philip Tallon, David Baggett"/>
        <s v="Josef Steiff"/>
        <s v="Meghan Engsberg Cunningham"/>
        <s v="Russell H. Fitzgibbon"/>
        <s v="John Escott"/>
        <s v="William Augel"/>
        <s v="James Zemboy"/>
        <s v="J.C. Bernthal"/>
        <s v="Meg Hafdahl, Kelly Florence"/>
        <s v="Bruce Pendergast"/>
        <s v="Sally and Tony Hope"/>
        <s v="M. Makinen"/>
        <s v="Marjolijn Storm"/>
        <s v="Judith Hurdle"/>
        <s v="Debbie Olson"/>
        <s v="Gary Hoppenstand, Ray Broadus Browne"/>
        <s v="Tony Magistrale, Anthony Magistrale"/>
        <s v="Michael R. Collings"/>
        <s v="Jonathan P. Davis"/>
        <s v="Graham Thomas"/>
        <s v="Jeff Dunn, Craig Bubeck"/>
        <s v="D. M. Brown"/>
        <s v="Aydin Turkgucu"/>
        <s v="Aydın Türkgücü"/>
        <s v="Gale, Cengage Learning"/>
        <s v="Timothy A. Wolf"/>
        <s v="Philip Nel"/>
        <s v="Vandana Saxena"/>
        <s v="Fame Life Bios"/>
        <s v="lePetitLitteraire,, Youri Panneel"/>
        <s v="Mrs Shringar Tiwari"/>
        <s v="Isabel Zosig"/>
        <s v="Marina Lenti"/>
        <s v="Beatrice Groves"/>
        <s v="John Rodden"/>
        <s v="Adibur Rahman"/>
        <s v="George Orwell"/>
        <s v="Stephen Ingle"/>
        <s v="Anita Croy"/>
        <s v="Michael Carter"/>
        <s v="David Ryan"/>
        <s v="Christopher Hollis"/>
        <s v="InRead Team"/>
        <s v="Peter Brian Barry"/>
        <s v="Shortcut Edition"/>
        <s v="Loraine Saunders"/>
        <s v="Michael Slater"/>
        <s v="James E. Marlow"/>
        <s v="Charles Dickens"/>
        <s v="Thomas Alfred Jackson"/>
        <s v="Rod Mengham"/>
        <s v="Pete Orford"/>
        <s v="Helena Kelly"/>
        <s v="John Forster"/>
        <s v="Sir Frank Thomas Marzials"/>
        <s v="Richard Wilson"/>
        <s v="Samuel Schoenbaum"/>
        <s v="Park Honan"/>
        <s v="Jonathan Dollimore, Alan Sinfield"/>
        <s v="Todd Howard James Pettigrew"/>
        <s v="Joseph M. Ortiz"/>
        <s v="Samuel Taylor Coleridge"/>
        <s v="Dympna Callaghan"/>
        <s v="Margreta De Grazia, Stanley Wells"/>
        <s v="Naomi J. Miller"/>
        <s v="Philip Brockbank"/>
        <s v="Michael Dobson"/>
        <s v="Sunil Kumar Sarker"/>
        <s v="Patrick Cheney"/>
        <s v="Lloyd Davis"/>
        <s v="Professor Stephen Cohen"/>
        <s v="Patricia A. Parker"/>
        <s v="Don Zolidis"/>
        <s v="Stefani Brusberg-Kiermeier"/>
        <s v="Russell Jackson, Robert Smallwood"/>
        <s v="Brian Sibley"/>
        <s v="Jude Fisher"/>
        <s v="Paddy Kempshall"/>
        <s v="Bradford Lee Eden"/>
        <s v="Damien Bador, Vivien Stocker, Coralie Potot, Dominique Vigot"/>
        <s v="Devin Brown"/>
        <s v="Maciej Henneberg, Robert B Eckhardt, John Schofield"/>
        <s v="Robert T. Tally Jr."/>
        <s v="Nancy R. Reagin, Janice Liedl"/>
        <s v="John Carratello, Patty Carratello"/>
        <s v="Gene B Hardy"/>
        <s v="Corey Olsen"/>
        <s v="Jonathan Witt, Jay Richards"/>
        <s v="Kevin R. Grazier"/>
        <s v="Andrew Warren"/>
        <s v="M. L. Martínez, Norbert P. Psuty"/>
        <s v="Elizabeth Andrews"/>
        <s v="Jim DuFresne"/>
        <s v="R. A. Bagnold"/>
        <s v="J. Patrick Doody"/>
        <s v="Ralph D. Lorenz, James R. Zimbelman"/>
        <s v="Kevin J. Anderson, Brian Herbert"/>
        <s v="Thomas Wolf"/>
        <s v="Griselda Sprigg, Rod Maclean"/>
        <s v="Karl F. Nordstrom, Nancy L. Jackson"/>
        <s v="Nicholas Lancaster"/>
        <s v="Yves Earhart, AI"/>
        <s v="M. Anwar Maun"/>
        <s v="Francisco García Novo"/>
        <s v="Qi Lu, Mahesh K. Gaur, Victor R. Squires"/>
        <s v="Nicholas Lancaster, Patrick Hesp"/>
        <s v="Karl F. Nordstrom"/>
        <s v="J.R. Packham, A. J. Willis"/>
        <s v="Luisa M Martínez, Juan B. Gallego-Fernández, Patrick A. Hesp"/>
        <s v="Wolfgang Schirmer"/>
        <s v="Edwin Dinwiddie McKee"/>
        <s v="Lu Qi, Mahesh K. Gaur, Victor R. Squires"/>
        <s v="Elizabeth F. Henrickson, I. Thuesen"/>
        <s v="Dhiraj Sharma"/>
        <s v="Robert Dransfield"/>
        <s v="William R. Wiener, Richard L. Welsh, Bruce B. Blasch"/>
        <s v="Joseph G. Schloss"/>
        <s v="M. Cay Holbrook, Alan J. Koenig"/>
        <s v="Manjriker Gunaratne"/>
        <s v="GHOSH, KARUNA MOY"/>
        <s v="N. S. V. Kamesware Rao"/>
        <s v="Gerhard Paaß, Sven Giesselbach"/>
        <s v="Frank L. Ellsworth, Joe Lumarda"/>
        <s v="Rolando P. Orense, Nawawi Chouw, Michael J. Pender"/>
        <s v="John Vince"/>
        <s v="Hsai-Yang Fang"/>
        <s v="Dee McGonigle, Kathleen Mastrian"/>
        <s v="Mohammad Yamin"/>
        <s v="Ellen Condliffe Lagemann"/>
        <s v="N.E. Simons, B.K. Menzies"/>
        <s v="N. E. Simons, Bruce Menzies"/>
        <s v="Braja M. Das"/>
        <s v="Dan H. McCormick, David G. Bauer, Daryl E. Ferguson"/>
        <s v="Fr. Joseph Clifford Fenton, S.T.D."/>
        <s v="James Ambrose"/>
        <s v="W. G. Curtin, Gerry Shaw, Gary Parkinson, J. Golding, Norman Seward"/>
        <s v="Prof. (Dr.) Manjubala Dash, Prof. (Dr.) Sandeep Kumar Choubisa"/>
        <s v="Srinibas Bhattacharya"/>
        <s v="Ian Wilkinson"/>
        <s v="Kenneth Reitz, Tanya Schlusser"/>
        <s v="Xinghua Liu, Michael Hebert, Rui A. Alves"/>
        <s v="David Hatcher Childress"/>
        <s v="Arthur Goldstuck"/>
        <s v="Christopher S. Frings"/>
        <s v="Michael Spivak"/>
        <s v="Shrey Gandhi, Vinod Scaria"/>
        <s v="Karen McMenemy, Robin Stuart Ferguson"/>
        <s v="Atif Qasim"/>
        <s v="frank taddei"/>
        <s v="Christian Schlegel"/>
        <s v="Frederick L. Kiechle, Rhonda Ingram Main"/>
        <s v="Charlie Gifford"/>
        <s v="John Carnell"/>
        <s v="Kevin R. Smith"/>
        <s v="Peter Blackburn, William R. Vaughn"/>
        <s v="Devin Schumacher, Francis LaBounty Jr."/>
        <s v="Milkyway Media"/>
        <s v="Gillian Flynn"/>
        <s v="Sylvain Runberg, Stieg Larsson"/>
        <s v="Denise Mina"/>
        <s v="Eric Bronson"/>
        <s v="Robin S. Rosenberg, Shannon O'Neill"/>
        <s v="Shirley Bell"/>
        <s v="Christopher H.K. Persaud"/>
        <s v="Nicky Gumbel"/>
        <s v="Michael J. Easley, John Ankerberg"/>
        <s v="Robin Griffith-Jones"/>
        <s v="Darrell L. Bock"/>
        <s v="Richard Abanes"/>
        <s v="James L. Garlow"/>
        <s v="Jean-Paul Michaud"/>
        <s v="Lee Strobel, Garry Poole"/>
        <s v="Lisa Rogak"/>
        <s v="William Gay"/>
        <s v="Kristen Heitzmann"/>
        <s v="Natalie Wilson"/>
        <s v="Sarah Elizabeth Gallagher"/>
        <s v="Melissa A. Click, Jennifer Stevens Aubrey, Elizabeth Behm-Morawitz"/>
        <s v="Maggie Parke, Natalie Wilson"/>
        <s v="Frank Danby"/>
        <s v="Professor Anne Morey"/>
        <s v="John Severin Green"/>
        <s v="Nancy Pickard"/>
        <s v="Daisy Sunshine"/>
        <s v="Elie Wiesel"/>
        <s v="Alex Ling"/>
        <s v="G. Anatol"/>
        <s v="David Herbert Lawrence"/>
        <s v="Kim Sherman, Ryan Burton"/>
        <s v="Rev. Jim Hall"/>
        <s v="Rachel Zimny"/>
        <s v="Mariah Larsson, Ann Steiner"/>
        <s v="Julie-Anne Sykley"/>
        <s v="E. David Klonsky, Alexis Black"/>
        <s v="Grzegorz V. Rozenberg"/>
        <s v="Mary F. Pharr, Leisa A. Clark, Donald E. Palumbo"/>
        <s v="Caroline Carpenter"/>
        <s v="Sara Gundell"/>
        <s v="Kate Egan"/>
        <s v="Gary Wiener"/>
        <s v="Tom Henthorne"/>
        <s v="Deidre Anne Evans Garriott, Whitney Elaine Jones, Julie Elizabeth Tyler"/>
        <s v="Suzanne Collinsová"/>
        <s v="Martin Howden"/>
        <s v="Charles Aracich"/>
        <s v="Jamey Heit"/>
        <s v="Zhange Ni"/>
        <s v="Godfrey Harold Hardy"/>
        <s v="Orin Brightfield, AI"/>
        <s v="Walter B. Ford"/>
        <s v="Jesse Omoregie"/>
        <s v="National Research Council, Division of Behavioral and Social Sciences and Education, Committee on Population, Panel on Understanding Divergent Trends in Longevity in High-Income Countries"/>
        <s v="Mia Chung"/>
        <s v="Franco Oboni, Cesar H. Oboni"/>
        <s v="Robert C. Feenstra, Gary G. Hamilton"/>
        <s v="C.S.Lewis"/>
        <s v="C. S. Lewis"/>
        <s v="Elizabeth Baird Hardy"/>
        <s v="Gregory Bassham, Jerry L. Walls, William Irwin"/>
        <s v="C.S. Lewis"/>
        <s v="Christin Ditchfield"/>
        <s v="Clive Staples Lewis"/>
        <s v="Lenka Šerešová"/>
        <s v="Eleanor Hersey Nickel"/>
        <s v="Lewis Carroll"/>
        <s v="Antonio Sanna"/>
        <s v="Eva Mason, Lewis Carroll"/>
        <s v="Alice Gerstenberg"/>
        <s v="William Irwin, Richard Brian Davis"/>
        <s v="Lewis Carroll, Retold by Martin Powell"/>
        <s v="Kristen Doherty"/>
        <s v="Mary Shelley"/>
        <s v="Stephen Bann"/>
        <s v="Mary W. Shelley"/>
        <s v="Mary Wollstonecraft Shelley"/>
        <s v="David Higgins"/>
        <s v="Kris Hirschmann"/>
        <s v="Shelly M"/>
        <s v="Stephen King"/>
        <s v="George R.R. Martin"/>
        <s v="George R.R. Martin, Elio M. García Jr., Linda Antonsson"/>
        <s v="Karin Smirnoff"/>
        <s v="Gareth and Louise Ward"/>
        <s v="The Harvard Lampoon"/>
        <s v="Christopher Rowe, Carrie Vaughn, Cherie Priest, William F. Wu, Walter Jon Williams, Stephen Leigh, Mary Anne Mohanraj, Max Gladstone"/>
        <s v="Kathryn N. McDaniel, Emily Strand"/>
        <s v="Ernest Mathijs, Murray Pomerance"/>
        <s v="Paul E. Kerry"/>
        <s v="Kristin Thompson"/>
        <s v="Jared Lobdell"/>
        <s v="Sarah Arthur"/>
        <s v="Joseph Pearce"/>
        <s v="Susana Polo"/>
        <s v="Fleming Rutledge"/>
        <s v="John G. West, Jr."/>
        <s v="Tanis Gray"/>
        <s v="Jeffrey L. Morrow"/>
        <s v="Max Brooks, John Amble, ML Cavanaugh, Jaym Gates"/>
        <s v="Rebecca C. Thompson"/>
        <s v="Lindsey Mantoan, Sara Brady"/>
        <s v="Zita Eva Rohr, Lisa Benz"/>
        <s v="James Lowder"/>
        <s v="Christopher Golden"/>
        <s v="Pasquale De Marco"/>
        <s v="Kathryn Erskine"/>
        <s v="Elizabeth Schmermund"/>
        <s v="Monroe County Heritage Museums"/>
        <s v="Sam Morgan"/>
        <s v="Mark Seal"/>
        <s v="Sharon Brown Keith"/>
        <s v="Cris Tovani"/>
        <s v="Gary Richards"/>
        <s v="Alexis Burling"/>
        <s v="Megan Hunt"/>
        <s v="Elizabeth James, B.H. James"/>
        <s v="Sacvan Bercovitch, Cyrus R. K. Patell"/>
        <s v="Jeffry John Stein"/>
        <s v="Joseph M. Flora, Lucinda Hardwick MacKethan"/>
        <s v="Mary Welek Atwell"/>
        <s v="James A. Miller"/>
        <s v="Alice Hall Petry"/>
        <s v="Sarah Colvin, Stephanie Galasso"/>
        <s v="Grace Ann Hovet"/>
        <s v="Walter Omar Kohan, Barbara Weber"/>
        <s v="Amy Lawrence"/>
        <s v="David Francois"/>
        <s v="Richard A. Diem, Michael J. Berson"/>
        <s v="G. Pattenden"/>
        <s v="Benjamin R. Barber"/>
        <s v="Leslie Iversen, Solomon H. Snyder"/>
        <s v="Anthony Giddens"/>
        <s v="Ann Tompert"/>
        <s v="Susan Cheever"/>
        <s v="R. W. Ogden"/>
        <s v="William H. Pritchard"/>
        <s v="Williams"/>
        <s v="Elizabeth Wright"/>
        <s v="F. Belfiore, A. M. Rabuazzo"/>
        <s v="Jacqueline Rose"/>
        <s v="M. Paul"/>
        <s v="Alan R. Katritzky, Stanley M. Roberts, Otto Meth-Cohn, Charles Wayne Rees"/>
        <s v="M. Nazif Shahrani, Louis Dupree, David J. Katz, R. Lincoln Keiser, Thomas J. Barfield, Hugh Beattie, Jon W. Anderson, Richard Tapper, Bahram Tavakolian"/>
        <s v="Horst H. Kruse"/>
        <s v="Margarete Rubik, Elke Mettinger-Schartmann"/>
        <s v="Charlotte Brontë, Emily Brontë, Anne Brontë"/>
        <s v="A. Conan Doyle"/>
        <s v="Patricia D. Maida, Nicholas B. Spornick"/>
        <s v="Ron Riekki"/>
        <s v="Michael Haag"/>
        <s v="W. Frederick Zimmerman"/>
        <s v="Cari Meister"/>
        <s v="Colleen A. Sexton"/>
        <s v="District Court S Us District Court Sdny"/>
        <s v="Bonalletra Alcompàs"/>
        <s v="J. K. Rowling"/>
        <s v="John Granger"/>
        <s v="Tracy Vyas, JK Rowling"/>
        <s v="Dona Herweck Rice"/>
        <s v="Joanne Mattern"/>
        <s v="Charles J. Shields"/>
        <s v="Victoria Peterson-Hilleque"/>
        <s v="Keridiana Chez"/>
        <s v="William Shakespeare"/>
        <s v="Matthew Dickerson"/>
        <s v="Anne E. Neimark"/>
        <s v="Tom Shippey"/>
        <s v="Michael D. C. Drout"/>
        <s v="Stuart D. Lee"/>
        <s v="Paul Dale Roberts"/>
        <s v="Matthew Saxton"/>
        <s v="Hourly History"/>
        <s v="Jill C. Wheeler"/>
        <s v="Gregory S. Baker, Harry M. Jol"/>
        <s v="Anthony J. Parsons, A. D. Abrahams"/>
        <s v="Paul Tawrell"/>
        <s v="Dennis Albert"/>
        <s v="M. Schwartz"/>
        <s v="Patricia A. Potter, Anne G. Perry, Patricia A. Stockert, Amy Hall"/>
        <s v="Yeliz Yesilada, Simon Harper"/>
        <s v="Alain Badiou"/>
        <s v="Charalambos D. Aliprantis, Kim C. Border"/>
        <s v="Cisco Kid"/>
        <s v="Artur Krukowski"/>
        <s v="Ron Forth"/>
        <s v="Quick Savant"/>
        <s v="Stephen Statler"/>
        <s v="Alena Ledeneva"/>
        <s v="Marcus S. Vannini"/>
        <s v="M. J. Simpson"/>
        <s v="David Manners"/>
        <s v="Mr.Evan C Tanner"/>
        <s v="Mr.Serhan Cevik, Ms.Katerina Teksoz"/>
        <s v="Melanie Haas, N. A. Pierce, Gretchen Busl"/>
        <s v="Laura Joyce, Henry Sutton"/>
        <s v="Dianne Powell-Eddings"/>
        <s v="David Bordwell"/>
        <s v="Bill Phillips"/>
        <s v="Susana Nicolás Román"/>
        <s v="Rossella Valdrè"/>
        <s v="Luke Reynolds"/>
        <s v="Jessica Knoll"/>
        <s v="Haniyah Jahra Yadi Putri , M. Riski Oktaberi, Zenya Alia Zahra, Rana Alfiyyah, Thirza Ishfahany Zatilaqmar, Nada Faradila, Zulfan Azra, Kusmarwanto, Riri Nadya Yuliana, Kenny Luis Manuputty, Ananda Marsya Permata, Lola Nurmala, Resa Adi Ahiria, Amanda Parmata Siregar, Lia Fatimah Azzarah, Pricilla Firly, Imas Kamaliyatuzahroh, Ahmad Rafi Mauludi, Chandra Ayu Martiza Ashadira, Bala Putra Dewa, Kamila Mutiara Sari, Fitri Dewi Aryanti, Jihan Naura Salsabila, Savina Raina Novianti, Tasya Puteri Subowo, Olivia Natalie Budhiarto, Siti Noer Ramadhani"/>
        <s v="Tammy Amiel Houser"/>
        <s v="Corinna Assmann, Jan Rupp, Christine Schwanecke"/>
        <s v="Taylor Nygaard, Jorie Lagerwey"/>
        <s v="Mitchum Huehls, Rachel Greenwald Smith"/>
        <s v="Dimitris Akrivos, Alexandros K. Antoniou"/>
        <s v="Sibylle Baumbach, Lena Henningsen, Klaus Oschema"/>
        <s v="Jeremy Tambling"/>
        <s v="Elizabeth Foxwell"/>
        <s v="Tahneer Oksman"/>
        <s v="Mindy Mejia"/>
        <s v="Martins, Constantino, Damásio, Manuel"/>
        <s v="Catherine Ryan Howard"/>
        <s v="Emma Roche"/>
        <s v="Abigail Boucher, Tim Grant, Daniel Jenkin-Smith, Emily Powell"/>
        <s v="Juri Nummelin"/>
        <s v="Graham Wilson"/>
        <s v="Pam Pastor"/>
        <s v="Sabine Durrant"/>
        <s v="Sue Short"/>
        <s v="Stieg Larsson"/>
        <s v="B. Åström, K. Gregersdotter, T. Horeck"/>
        <s v="David Lagercranz"/>
        <s v="Karl Fugelso"/>
        <s v="Diego Bonelli, Alfio Leotta"/>
        <s v="Dave Chaffey, PR Smith"/>
        <s v="Stan Goff"/>
        <s v="Francis Mickus"/>
        <s v="Richard R. Ness"/>
        <s v="Chris Chan, Patricia Meyer Chan"/>
        <s v="S.E. Green"/>
        <s v="Roger Ebert"/>
        <s v="Maria Tatar"/>
        <s v="Susan Redington Bobby, Eileen M. Harney"/>
        <s v="Barry Forshaw"/>
        <s v="Leslie Gardner, Frances Gray"/>
        <s v="Laurence F. Knapp"/>
        <s v="Laurie McMillan"/>
        <s v="Alexandra Heller-Nicholas"/>
        <s v="Jake Grogan"/>
        <s v="Julie Chappell, Mallory Young"/>
        <s v="Melissa Dearey, Susana Nicolás, Roger Davis"/>
        <s v="Zara Dinnen"/>
        <s v="S. Peacock"/>
        <s v="Clive Davies"/>
        <s v="Peter Lehman, William Luhr"/>
        <s v="Mary R. Thompson"/>
        <s v="Emma Dickens"/>
        <s v="David A. Shugarts"/>
        <s v="Josh McDowell"/>
        <s v="James M. Lawler"/>
        <s v="Erwin W. Lutzer, Tyndale House Publishers"/>
        <s v="Simon Cox"/>
        <s v="John Olsson"/>
        <s v="Alex Raynham"/>
        <s v="Carl E. Olson, Sandra Miesel"/>
        <s v="L. E. Cooper"/>
        <s v="AA.VV."/>
        <s v="Margaret Bald"/>
        <s v="Kevin J. Harty"/>
        <s v="Maurice Casey"/>
        <s v="Eva Illouz"/>
        <s v="Ε. Λ. Τζέιμς"/>
        <s v="Marc Shapiro"/>
        <s v="Sarah McFarland Taylor"/>
        <s v="Adrienne Trier-Bieniek"/>
        <s v="Laurie Essig"/>
        <s v="Gilad Padva, Nurit Buchweitz"/>
        <s v="Jill D. Weinberg"/>
        <s v="Paul Booth"/>
        <s v="Susanna Paasonen"/>
        <s v="Dana Percec"/>
        <s v="Steve Hoberman"/>
        <s v="Nora J. Rifon, Marla B. Royne, Les Carlson"/>
        <s v="Kristin Haltinner, Ryanne Pilgeram"/>
        <s v="Julie M. Still, Zara T. Wilkinson"/>
        <s v="Anne Jamison"/>
        <s v="Clayton Childress"/>
        <s v="Miguel Angel Gonzalez-Torres"/>
        <s v="Kalish, Rachel"/>
        <s v="Desrochers, Nadine"/>
        <s v="Astrid M. Fellner, Marta Fernández-Morales, Martina Martausová"/>
        <s v="Rod Bennison, Alma Massaro, Jessica Ullrich"/>
        <s v="James Blasingame, Jr., Kathleen Deakin, Laura A. Walsh"/>
        <s v="James Blasingame, Kathleen Deakin, Laura A. Walsh"/>
        <s v="Liv Spencer"/>
        <s v="Katherine Krohn"/>
        <s v="Darryl Dee"/>
        <s v="Michelle Pan"/>
        <s v="Jane Wells"/>
        <s v="Mick O'Shea"/>
        <s v="V. Arrow"/>
        <s v="Jody Jensen Shaffer"/>
        <s v="Thomas W. Paradis"/>
        <s v="Sean P. Connors"/>
        <s v="Matthew Wilhelm Kapell, Ace G. Pilkington"/>
        <s v="Heather E. Schwartz"/>
        <s v="William Bray, Caslav Stanojevic"/>
        <s v="Kent V. Flannery, Joyce Marcus"/>
        <s v="Michael Lynn Arnold"/>
        <s v="Mark A. Runco, Steven R. Pritzker"/>
        <s v="Ramalingam Shanmugam"/>
        <s v="Fred Selnes, Even J. Lanseng"/>
        <s v="Wayne Grennan"/>
        <s v="Felix Hausdorff"/>
        <s v="M.D.Raisinghania"/>
        <s v="Riccardo D'Auria, Mario Trigiante"/>
        <s v="Nicolas Gravier, Herbert Kaufmann, Heimo Steffen"/>
        <s v="Michael D. Mumford"/>
        <s v="Anatoliy V. Kharkhurin"/>
        <s v="Olivia Saracho"/>
        <s v="H K Dass"/>
        <s v="Shanna Caughey"/>
        <s v="David C. Downing"/>
        <s v="Herbie Brennan"/>
        <s v="Richard Wagner"/>
        <s v="Douglas Wilson"/>
        <s v="Paul A. Karkainen"/>
        <s v="Gina Burkart"/>
        <s v="Rowan Williams"/>
        <s v="Michael Coren"/>
        <s v="Elaine Murray Stone"/>
        <s v="Leah Boden"/>
        <s v="Theodore Brun"/>
        <s v="George RR Martin"/>
        <s v="George R.R Martin"/>
        <s v="Conn Iggulden, Charlaine Harris, Diana Gabaldon, Patricia Briggs, S.M Stirling"/>
        <s v="조지 R. R. 마틴 (George R. R. Martin), 이수현 역"/>
        <s v="Morgan Housel"/>
        <s v="Robert Kiyosaki"/>
        <s v="Vicki Robin, Joe Dominguez"/>
        <s v="Ramit Sethi"/>
        <s v="Thomas J. Stanley, William D. Danko"/>
        <s v="Dave Ramsey"/>
        <s v="Napoleon Hill"/>
        <s v="Benjamin Graham"/>
        <s v="James Clear"/>
        <s v="George S. Clason"/>
        <s v="Burton G. Malkiel"/>
        <s v="Jen Sincero"/>
        <s v="JL Collins"/>
        <s v="Tiffany Aliche"/>
        <s v="Stephen R. Covey"/>
        <s v="MJ DeMarco"/>
        <s v="Erin Lowry"/>
        <s v="Scott Pape"/>
        <s v="Maria Nemeth"/>
        <s v="Nassim Nicholas Taleb"/>
        <s v="Paco de Leon"/>
        <s v="David McKnight"/>
        <s v="Vivian Tu"/>
        <s v="Jannese Torres"/>
        <s v="Taylor Larimore, Mel Lindauer, Michael LeBoeuf"/>
        <s v="Carl Richards"/>
        <s v="Gary Keller, Dave Jenks, Jay Papasan"/>
        <s v="Monika Halan"/>
        <s v="Tony Robbins"/>
        <s v="David Bach"/>
        <s v="John C. Bogle"/>
        <s v="Carol S. Dweck"/>
        <s v="Chelsea Fagan, Lauren Ver Hage"/>
        <s v="David Chilton"/>
        <s v="Wallace D. Wattles"/>
        <s v="Suze Orman"/>
        <s v="Darren Hardy"/>
        <s v="Timothy Ferriss"/>
        <s v="Thomas J. Stanley"/>
        <s v="Dennis Kimbro"/>
        <s v="Kimberly Seals-Allers"/>
        <s v="Bari Tessler"/>
        <s v="Helaine Olen, Harold Pollack"/>
        <s v="Jack Canfield"/>
        <s v="Tonya Rapley"/>
        <s v="R.K." u="1"/>
        <s v="Sophia Institute for Teachers" u="1"/>
        <s v="Navneet Singh" u="1"/>
        <s v="Wesley K. Wark, Brian E. Crim" u="1"/>
        <s v="Wayne Allyn Root" u="1"/>
        <s v="Abdulkader Tayob, Wolfram Weisse" u="1"/>
        <s v="Gilad James, PhD" u="1"/>
        <s v="Murtono, Moh Kanzunnudin, Fina Fakhriyah , Ratri Rahayu, Robbi Rahim" u="1"/>
        <s v="Suzy Hawley" u="1"/>
        <s v="Fitzgerald F.S." u="1"/>
        <s v="Charlotte Bronte, Crystal S.Chan" u="1"/>
        <s v="Daniel McGee" u="1"/>
        <s v="Edited By S.E. Paces" u="1"/>
        <s v="Dwight MacDonald" u="1"/>
        <s v="Raymond Blaine Fosdick" u="1"/>
        <s v="O.p.dhiman" u="1"/>
        <s v="William Badke" u="1"/>
        <s v="EL. James, Andini Citra" u="1"/>
        <s v="Lewis Carroll, Nik Marcel" u="1"/>
        <s v="Jason Pizzarello" u="1"/>
        <s v="Saraswati Experts" u="1"/>
        <s v="Agatha Christie, Bill Peschel" u="1"/>
        <s v="J.K.Rowling" u="1"/>
        <s v="Dr. M. Kanika Priya" u="1"/>
        <s v="Bikas Chandra Bhui, Dipak Chatterjee &amp; Prasun Chatterjee" u="1"/>
        <s v="B. R. THAKUR, HARI KISHAN" u="1"/>
        <s v="George R. R. Martin, Lisa Tuttle" u="1"/>
        <s v="Library of Congress. Cataloging Policy and Support Office" u="1"/>
        <s v="Library of Congress" u="1"/>
        <m u="1"/>
        <s v="Oakland Free Library" u="1"/>
        <s v="New Jersey. Legislature" u="1"/>
        <s v="American Library Association. Conference" u="1"/>
        <s v="Trustees of the Public Library of the City of Boston" u="1"/>
        <s v="Frank Northen Magill" u="1"/>
        <s v="Edinburgh publ. libr" u="1"/>
        <s v="St. Louis Public Library" u="1"/>
        <s v="The Review of reviews" u="1"/>
        <s v="Boston Public Library" u="1"/>
        <s v="Pomona Public Library (Pomona, Calif.)" u="1"/>
        <s v="John Koren" u="1"/>
        <s v="Henry Thomas Buckle" u="1"/>
        <s v="Illinois State Library" u="1"/>
        <s v="John E. Jessup, Robert W. Coakley" u="1"/>
        <s v="Caesar Augustus Rodney Janvier" u="1"/>
        <s v="Herbert Baxter Adams" u="1"/>
        <s v="Connecticut. State Board of Education" u="1"/>
        <s v="Ontario. Department of Education" u="1"/>
        <s v="Thomas Erskine May (Baron Farnborough.)" u="1"/>
        <s v="James Hadden Smith, Hume H. Cale, William E. Roscoe" u="1"/>
        <s v="Stanley" u="1"/>
        <s v="S. Hubert Burke" u="1"/>
        <s v="Vanderbilt University" u="1"/>
        <s v="John Knox" u="1"/>
        <s v="William Williams Keen, John Chalmers Da Costa" u="1"/>
        <s v="W. K. McNeil" u="1"/>
        <s v="Joseph Thomas" u="1"/>
        <s v="William Chambers" u="1"/>
        <s v="Leslie Stephen, Sir Sidney Lee" u="1"/>
        <s v="James Edward Homans, Herbert M. Linen, L. E. Dearborn" u="1"/>
        <s v="James Duff Brown, Stephen Samuel Stratton" u="1"/>
        <s v="Library of Congress, Library of Congress. Subject Cataloging Division" u="1"/>
        <s v="George Elliott Howard" u="1"/>
        <s v="Ottawa Public Library" u="1"/>
        <s v="Lewis Publishing Company" u="1"/>
        <s v="Guildhall (London). - Library" u="1"/>
        <s v="Sir James Stephen" u="1"/>
        <s v="Brooklyn Public Library" u="1"/>
        <s v="United States. Congress. Senate. Committee on Armed Services" u="1"/>
        <s v="Increase Mather" u="1"/>
        <s v="Edward Eggleston" u="1"/>
        <s v="Lord Pimlico" u="1"/>
        <s v="John Cuming Walters" u="1"/>
        <s v="JULIAN HAWTHORNE" u="1"/>
        <s v="Wells Hastings, Brian Hooker" u="1"/>
        <s v="Library of Congress, Library of Congress. Subject Cataloging Division, Library of Congress. Office for Subject Cataloging Policy" u="1"/>
        <s v="Newark Public Library" u="1"/>
        <s v="Charles William Domville-Fife" u="1"/>
        <s v="Guillaume Libri" u="1"/>
        <s v="Michael Andrew Young" u="1"/>
        <s v="Hercules Ellis" u="1"/>
        <s v="Thomas Warton" u="1"/>
        <s v="thomas thorpe" u="1"/>
        <s v="Bob Lung" u="1"/>
        <s v="Tudor Jenks" u="1"/>
        <s v="Brander Matthews" u="1"/>
        <s v="Thomas Bailey Aldrich" u="1"/>
        <s v="Oliphant Down" u="1"/>
        <s v="Mary Washington Smith McLaughlin" u="1"/>
        <s v="Michael Monahan" u="1"/>
        <s v="Edgar Allan Poe" u="1"/>
        <s v="Anthony Boucher, J. Francis McComas" u="1"/>
        <s v="Frederick Erastus Pierce, Carl Frederick Schreiber" u="1"/>
        <s v="George Trumbull Ladd" u="1"/>
        <s v="William Angus Knight" u="1"/>
        <s v="Columbia University" u="1"/>
        <s v="Henry Louis Mencken" u="1"/>
        <s v="Benjamin Chapman Burt" u="1"/>
        <s v="Eduard Zeller, Sarah Frances Alleyne" u="1"/>
        <s v="Hodgson" u="1"/>
        <s v="Brooklyn Ethical Association" u="1"/>
        <s v="James Tift Champlin" u="1"/>
        <s v="John Thomas Driscoll" u="1"/>
        <s v="University of Michigan--Dearborn" u="1"/>
        <s v="Granville Stanley Hall, Edward Bradford Titchener, Karl M. Dallenbach, Madison Bentley, Edwin Garrigues Boring, Margaret Floy Washburn" u="1"/>
        <s v="Paul Janet, Gabriel Séailles" u="1"/>
        <s v="Parklawn Health Library" u="1"/>
        <s v="National Library of Medicine (U.S.)" u="1"/>
        <s v="Scranton Public Library" u="1"/>
        <s v="Ram Nath Sharma, Rachana Sharma" u="1"/>
        <s v="United States. National Labor Relations Board" u="1"/>
        <s v="United States. Congress" u="1"/>
        <s v="United States. Congress. House. Committee on Veterans' Affairs" u="1"/>
        <s v="United States. Congress. House. Office of the Clerk" u="1"/>
        <s v="United States. Superintendent of Documents" u="1"/>
        <s v="United States. Internal Revenue Service" u="1"/>
        <s v="United States" u="1"/>
        <s v="United States. Congress. House. Committee on Ways and Means" u="1"/>
        <s v="United States. Department of Defense" u="1"/>
        <s v="United States. Congress. House. Committee on the Judiciary. Subcommittee No. 4" u="1"/>
        <s v="United States. General Accounting Office" u="1"/>
        <s v="United States. Congress. House. Ways and Means" u="1"/>
        <s v="United States. Outdoor Recreation Resources Review Commission" u="1"/>
        <s v="Illinois State Board of Health" u="1"/>
        <s v="Wisconsin. State Board of Health" u="1"/>
        <s v="Michigan. State Board of Health" u="1"/>
        <s v="United States. Health Resources Administration" u="1"/>
        <s v="Armed Forces Medical Library (U.S.), National Library of Medicine (U.S.), Library of the Surgeon-General's Office (U.S.)" u="1"/>
        <s v="Army Medical Library (U.S.), National Library of Medicine (U.S.)" u="1"/>
        <s v="United States. Small Business Administration" u="1"/>
        <s v="United States. Environmental Protection Agency" u="1"/>
        <s v="Supplies and Accounts Bureau (Navy Department)." u="1"/>
        <s v="United States. War Department" u="1"/>
        <s v="United States. Patent and Trademark Office" u="1"/>
        <s v="United States. Patent Office" u="1"/>
        <s v="Rebecca Koonce Pecot" u="1"/>
        <s v="Jessup Whitehead" u="1"/>
        <s v="Food and Nutrition Information Center (U.S.)" u="1"/>
        <s v="United States. Congress. House. Committee on Appropriations" u="1"/>
        <s v="Alexander Swantz, Benjamin Carlisle Haynes, Bryce M. Masters, Dale Lambert Anderson, Dehard Bruce Johnson, James Arthur Bayton, John Norman Efferson, Patrick Edward O'Donnell, Philip Ben Dwoskin, V. L. Browner, Valentine John Brensike, Roane Hathorn, Arthur Raymond Gerlow, William Sherrill Hoofnagle" u="1"/>
        <s v="Jo Brice Wilmeth, Charles Dickerson Bolt" u="1"/>
        <s v="Edith Greer" u="1"/>
        <s v="Ontario. Department of Agriculture and Food" u="1"/>
        <s v="National Electric Light Association" u="1"/>
        <s v="United States. Bureau of the Census" u="1"/>
        <s v="Jiba Lamichhane" u="1"/>
        <s v="John R. Walker, Josielyn T. Walker" u="1"/>
        <s v="United States. Defense Civil Preparedness Agency" u="1"/>
        <s v="Hoa Quyen" u="1"/>
        <s v="United States. Congress. House" u="1"/>
        <s v="United States. Office of Education" u="1"/>
        <s v="United States. Foreign and Domestic Commerce Bureau" u="1"/>
        <s v="United States. Department of Commerce" u="1"/>
        <s v="United States. Department of State" u="1"/>
        <s v="South Australia" u="1"/>
        <s v="National Science Foundation (U.S.)" u="1"/>
        <s v="United States. National Tourism Resources Review Commission" u="1"/>
        <s v="California. Adjutant General's Office" u="1"/>
        <s v="Stephen C. McCaffrey" u="1"/>
        <s v="Ademola Abass" u="1"/>
        <s v="Great Britain. Army" u="1"/>
        <s v="United States. Adjutant-General's Office" u="1"/>
        <s v="A. Larsen" u="1"/>
        <s v="Massachusetts. General Court. Senate" u="1"/>
        <s v="Johann Wolfgang von Goethe" u="1"/>
        <s v="Harlan Page Hubbard" u="1"/>
        <s v="Robert Kirkup Dent" u="1"/>
        <s v="Alexander Glen" u="1"/>
        <s v="[Anonymus AC10343482]" u="1"/>
        <s v="Manchester (Greater Manchester) College of Science and Technology" u="1"/>
        <s v="Educational Research Information Center (U.S.)." u="1"/>
        <s v="Fred Francis Beach" u="1"/>
        <s v="Great Britain. Board of Education. Committee on education rates" u="1"/>
        <s v="Massachusetts. Department of Education" u="1"/>
        <s v="Great Britain. Board of Education" u="1"/>
        <s v="DOROTA SIEMIENIECKA, BRONISŁAW SIEMIENIECKI, KERRY RICE, PHIL KELLY" u="1"/>
        <s v="National Education Association of the United States. Department of Superintendence" u="1"/>
        <s v="Nicholas Murray Butler, Frank Pierrepont Graves, William McAndrew" u="1"/>
        <s v="Charles Augustus Harris" u="1"/>
        <s v="Peter Josephson" u="1"/>
        <s v="West Virginia University" u="1"/>
        <s v="Georgia. Comptroller General's Office" u="1"/>
        <s v="Frederick Converse Beach, George Edwin Rines" u="1"/>
        <s v="University of Oklahoma" u="1"/>
        <s v="California Code Commission" u="1"/>
        <s v="Robert A. Huff, Marjorie Olsen Chandler" u="1"/>
        <s v="Warren A. Donaldson" u="1"/>
        <s v="National Education Association of the United States" u="1"/>
        <s v="James Silk Buckingham, John Sterling, Frederick Denison Maurice, Henry Stebbing, Charles Wentworth Dilke, Thomas Kibble Hervey, William Hepworth Dixon, Norman Maccoll, Vernon Horace Rendall, John Middleton Murry" u="1"/>
        <s v="University of Sind. Institute of Education and Research" u="1"/>
        <s v="Great Britain. Department of Education and Science" u="1"/>
        <s v="Illinois State Board of Education (1973- ). Department of Regional Services. Program Planning and Development Section" u="1"/>
        <s v="Minnesota. Department of Education. Community Education Section" u="1"/>
        <s v="William Francis Cunningham" u="1"/>
        <s v="Laurie Magnus" u="1"/>
        <s v="John William Mackail" u="1"/>
        <s v="John Vance Cheney, Sir Charles G. D. Roberts, Charles Francis Richardson, Francis Hovey Stoddard, John Raymond Howard" u="1"/>
        <s v="Stephen Phillips, Galloway Kyle, Harold Monro" u="1"/>
        <s v="Johann Hoffmann" u="1"/>
        <s v="William Basil Worsfold" u="1"/>
        <s v="L. Parry Truscott" u="1"/>
        <s v="Alfred Bates, James Penny Boyd, John Porter Lamberton" u="1"/>
        <s v="Denton Jaques Snider" u="1"/>
        <s v="John Alexander Pierce" u="1"/>
        <s v="James Lukens McConaughy" u="1"/>
        <s v="Edmund Kerchever Chambers" u="1"/>
        <s v="Charles Hubbard Sergei, William Norman Guthrie, Theodore B. Hinckley" u="1"/>
        <s v="Library of Congress, Library of Congress. Office for Subject Cataloging Policy" u="1"/>
        <s v="South Bend Public Library (South Bend, Ind.)" u="1"/>
        <s v="Albert Harris Tolman" u="1"/>
        <s v="Chusna Apriyanti, Amelia Hafizhah Ningrum, Anastasia Gracia, Anastasya Putri Aziza, Angel Agustin Darmawan, Aprilia Fatikasari Hamel, Arin Evita Juniar, Audry Putri Callista, Barlan Izzulhaq, Cahyani Dara, Clara Kalyana Ayusya, Dea Agetia Noviana, Dea Bella Indriani, Dielarenza Destelita Wahana Putri, Dyah Kristyowati, Ely Haryanti, Erina Wachidatul Insani, Fakhirah Nur Inayyah, Gevin Rayhan Gumilar, Grace Abeliani Saragih, Gilang Rahmadi Putra Damanik, Gusti Nur Muhammad Febriansyah, Hana Zhafira Maulita, Hazim Adji Prabowo, Inten Permatasari, Ira Resmayasari, Irma Rasita Gloria Barus, Jasmine Nurkamila, Jannatul Firdaus, Josephine  Elvira, Kurmia Damayanti, Liliyanasari Indrayana, M. Dean Rakly Adani, Marudut Bernadtua Simanjuntak, Meilisa Tria Hapsari, Meira Lihani Husnul Khuluq, Muhamad Jidan Kustridana, Muhammad Raihan Pusponingtyas Bawono, Muhammad Zidan, Neila Asvilla Sophia, Nidia Sulistyowati, Nita Fadhila, Nur Ikhsan Mukhammad, Nursita Fathicatul Ulfiah, Prima Danti Aulia, Priscilia Juniar, Putri Sarah Yusran, Quinn Amanda Balqis, Rahma Elva Dilla, Rahma Nuranisa Zahra, Raisa Amanda Putri, Reindy Aziqar Pasya, Risdha Hafni Syafira, Rizka Wulandari, Roza Khairani L, Ruli Ajeng Kartini, Septia Auliani, Syehan Septiandika, Siti Kurnia Hesya Nugraha, Syafa Zhafira Putriyanda, Syalwa Bella Sopian, Tengku Sausan Athaya Witri, Tiwi Venta Putri, Tri Afriani, Vanessa Meuti, Wahyu Mitasari, Penerbit Pustaka Rumah C1nta" u="1"/>
        <s v="afterwards VALENTINE JEWRY (Laura)" u="1"/>
        <s v="Allen Upward" u="1"/>
        <s v="Prescott Holmes" u="1"/>
        <s v="Henry Stevens" u="1"/>
        <s v="Derek Paterson" u="1"/>
        <s v="Buckley, R." u="1"/>
        <s v="Jane Cosby" u="1"/>
        <s v="William Tarn Pritchard" u="1"/>
        <s v="Causey Enterprises, LLC" u="1"/>
        <s v="Paul Emerson Titsworth" u="1"/>
        <s v="Charles William Eliot" u="1"/>
        <s v="University of Pennsylvania, Philadelphia society for the promotion of liberal studies" u="1"/>
        <s v="United States. Federal Communications Commission" u="1"/>
        <s v="R. A. PADMANABHA RAO" u="1"/>
        <s v="Timothy Dwight, Julian Hawthorne" u="1"/>
        <s v="Isabelle Torrance, Donncha O'Rourke" u="1"/>
        <s v="James Legge" u="1"/>
        <s v="Henry St. John Thackeray" u="1"/>
        <s v="Albert Frederick Pollard" u="1"/>
        <s v="Taine" u="1"/>
        <s v="Library of Congress. Subject Cataloging Division" u="1"/>
        <s v="Great Britain. Parliament. House of Commons" u="1"/>
        <s v="Marc Marschark" u="1"/>
        <s v="William Fleetwood" u="1"/>
        <s v="George Edward Shuttleworth, William Alexander Potts, W. A. Potts" u="1"/>
        <s v="Illinois. Department of Visitation of Children Placed in Family Homes" u="1"/>
        <s v="Massachusetts Society for the Prevention of Cruelty to Children" u="1"/>
        <s v="Charles William Wallace, Myron Harmon Swenk" u="1"/>
        <s v="Henry Moule (Vicar of Fordington.)" u="1"/>
        <s v="Michael S. Pritchard" u="1"/>
        <s v="Henry Ditton NEWMAN" u="1"/>
        <s v="Edric Vredenburg" u="1"/>
        <s v="Herbert Edward Ryle" u="1"/>
        <s v="Ohio" u="1"/>
        <s v="New York (State). Department of Social Welfare" u="1"/>
        <s v="William Mack, William Benjamin Hale" u="1"/>
        <s v="Boston Children's Aid Society" u="1"/>
        <s v="New York (N.Y.). Department of Health" u="1"/>
        <s v="Nebraska. Department of Public Welfare. Division of Research and Statistics" u="1"/>
        <s v="Great Britain. High Court of Justice. Chancery Division" u="1"/>
        <s v="Jeevan Kumar Prasain" u="1"/>
        <s v="Commonwealth Shipping Committee" u="1"/>
        <s v="United States. Congress. House. Committee on Armed Services" u="1"/>
        <s v="United States. Congress. House. Committee on Appropriations. Subcommittee on VA, HUD, and Independent Agencies" u="1"/>
        <s v="Utah" u="1"/>
        <s v="United States. Congress. House. Committee on Appropriations. Subcommittee on the Departments of Labor, Health and Human Services, Education, and Related Agencies" u="1"/>
        <s v="Faye G. Abdellah, Steven R. Moore" u="1"/>
        <s v="United States. Congress. Senate. Committee on Appropriations. Subcommittee on Agriculture and Related Agencies" u="1"/>
        <s v="United States. Congress. House. Committee on Appropriations. Subcommittee on Agriculture, Rural Development, Food and Drug Administration, and Related Agencies" u="1"/>
        <s v="United States. Department of Housing and Urban Development" u="1"/>
        <s v="James Wilson (Wesleyan Minister.)" u="1"/>
        <s v="United States. Congress. House. Committee on Foreign Affairs" u="1"/>
        <s v="Greg Soros" u="1"/>
        <s v="Currer Bell" u="1"/>
        <s v="John BROUGHAM (Comedian.)" u="1"/>
        <s v="Aiping Zhang, Zhenwu Zhu" u="1"/>
        <s v="Satyabrata Das" u="1"/>
        <s v="George Augustus Sala" u="1"/>
        <s v="Edwin Percy Whipple" u="1"/>
        <s v="Stanley Wells" u="1"/>
        <s v="David M. Bergeron, Geraldo U. de Sousa" u="1"/>
        <s v="William Shakespeare, Samuel Ayscough" u="1"/>
        <s v="Peter Womack" u="1"/>
        <s v="Henry Chandler Cowles" u="1"/>
        <s v="Alfred M. Wiedemann" u="1"/>
        <s v="Chadha Tara" u="1"/>
        <s v="Pearson" u="1"/>
        <s v="George T. Powell" u="1"/>
        <s v="Y.k Singh" u="1"/>
        <s v="G Whiz" u="1"/>
        <s v="Frederick George Lee" u="1"/>
        <s v="Annette M. Lyster" u="1"/>
        <s v="Julia Frankau" u="1"/>
        <s v="Helen Shipton" u="1"/>
        <s v="Alexander Mackenzie Lamb" u="1"/>
        <s v="Eric A. Posner" u="1"/>
        <s v="Henry Smith Williams" u="1"/>
        <s v="John Thomas Gulick" u="1"/>
        <s v="Arthur M. Trout, S. Stephen Papell, John H. Povolny" u="1"/>
        <s v="Glenn James" u="1"/>
        <s v="H. George Krull" u="1"/>
        <s v="Terry Lee Clark, Robert E. Eskridge" u="1"/>
        <s v="Lewis Carroll, Eduard Jose, Francesc Rovira" u="1"/>
        <s v="Scholastic, Inc. Staff, Scholastic Professional Books" u="1"/>
        <s v="Tom Huddleston" u="1"/>
        <s v="United States. Congress. House. Committee on Appropriations. Subcommittee on Interior, Environment, and Related Agencies" u="1"/>
        <s v="Lisa Lindquist Dorr, Susan Youngblood Ashmore" u="1"/>
        <s v="United States. Federal Home Loan Bank Board" u="1"/>
        <s v="United States. Congress. House. Committee on Interior and Insular Affairs. Subcommittee on Energy and the Environment" u="1"/>
        <s v="United States. Department of the Treasury. Bureau of Accounts" u="1"/>
        <s v="United States. Department of the Interior. Office of Hearings and Appeals" u="1"/>
        <s v="United States. Congress. Senate. Committee on the Judiciary" u="1"/>
        <s v="United States. Congress. Senate. Committee on the Judiciary. Subcommittee to Investigate the Administration of the Internal Security Act and Other Internal Security Laws" u="1"/>
        <s v="United States. Congress. Senate. Committee on the Judiciary. Subcommittee on Administrative Practice and Procedure" u="1"/>
        <s v="Trivion Books" u="1"/>
        <s v="Michael Craig Campbell" u="1"/>
        <s v="Paul Hobday" u="1"/>
        <s v="J.A. Konrath" u="1"/>
        <s v="MD Raisinghania" u="1"/>
        <s v="A. R. Vasishtha" u="1"/>
        <s v="" u="1"/>
        <s v="Unknown Author" u="1"/>
      </sharedItems>
    </cacheField>
    <cacheField name="PAGES" numFmtId="0">
      <sharedItems containsString="0" containsBlank="1" containsNumber="1" containsInteger="1" minValue="8" maxValue="8114"/>
    </cacheField>
    <cacheField name="GENRE" numFmtId="0">
      <sharedItems containsBlank="1" count="264">
        <s v="Literary Criticism"/>
        <s v="Reference"/>
        <s v="Fiction"/>
        <s v="History"/>
        <s v="Activity programs in education"/>
        <s v="Social Science"/>
        <s v="Language Arts &amp; Disciplines"/>
        <s v="Philosophy"/>
        <s v="Biography &amp; Autobiography"/>
        <s v="Juvenile Fiction"/>
        <s v="Political Science"/>
        <s v="Education"/>
        <s v="Religion"/>
        <s v="Law"/>
        <s v="Groton (Mass. : Town)"/>
        <s v="Science"/>
        <s v="Young Adult Nonfiction"/>
        <s v="Medical"/>
        <s v="Literary Collections"/>
        <s v="Music"/>
        <s v="Juvenile Nonfiction"/>
        <s v="Body, Mind &amp; Spirit"/>
        <s v="Canadian fiction"/>
        <s v="Poetry"/>
        <s v="Family &amp; Relationships"/>
        <s v="Business &amp; Economics"/>
        <s v="Sports &amp; Recreation"/>
        <s v="Games &amp; Activities"/>
        <s v="Psychology"/>
        <s v="Comics &amp; Graphic Novels"/>
        <s v="Art"/>
        <s v="Performing Arts"/>
        <s v="Computers"/>
        <s v="Architecture"/>
        <s v="Technology &amp; Engineering"/>
        <s v="Antiques &amp; Collectibles"/>
        <s v="Young Adult Fiction"/>
        <s v="Ethics"/>
        <s v="Nature"/>
        <s v="Self-Help"/>
        <s v="Health &amp; Fitness"/>
        <s v="Cooking"/>
        <s v="Cooking, Indic"/>
        <s v="Travel"/>
        <s v="Bananas"/>
        <s v="Foreign Language Study"/>
        <s v="Study Aids"/>
        <s v="Mathematics"/>
        <s v="Hospitality industry"/>
        <s v="Drama"/>
        <s v="Dance"/>
        <s v="American literature"/>
        <s v="Cape Town (South Africa)"/>
        <s v="Children's stories, English"/>
        <s v="Crafts &amp; Hobbies"/>
        <s v="Children"/>
        <s v="Criticism"/>
        <s v="Dystopias in literature"/>
        <s v="Humor"/>
        <s v="Humanism in literature"/>
        <s v="English literature"/>
        <s v="Africans in literature"/>
        <s v="Sonnets, English"/>
        <s v="Electronic data processing"/>
        <s v="Children with visual disabilities"/>
        <s v="Cell phones"/>
        <s v="Children's stories"/>
        <s v="Monsters in literature"/>
        <s v="Creation in literature"/>
        <s v="Fantasy fiction, English"/>
        <s v="Photography"/>
        <s v="Authors, English"/>
        <s v="Personal Finance"/>
        <s v="Investing"/>
        <s v="Apartheid" u="1"/>
        <s v="Transportation" u="1"/>
        <s v="Subject headings, Library of Congress" u="1"/>
        <s v="English fiction" u="1"/>
        <m u="1"/>
        <s v="Library catalogs" u="1"/>
        <s v="Science fiction" u="1"/>
        <s v="New Jersey" u="1"/>
        <s v="Library science" u="1"/>
        <s v="Literature" u="1"/>
        <s v="Libraries" u="1"/>
        <s v="Cattle" u="1"/>
        <s v="Catholic literature" u="1"/>
        <s v="Indexes" u="1"/>
        <s v="Statistics" u="1"/>
        <s v="France" u="1"/>
        <s v="Catalogs, Dictionary" u="1"/>
        <s v="Electronic government information" u="1"/>
        <s v="Missions" u="1"/>
        <s v="Local government" u="1"/>
        <s v="Great Britain" u="1"/>
        <s v="Reformation" u="1"/>
        <s v="Biography" u="1"/>
        <s v="America" u="1"/>
        <s v="Subject headings" u="1"/>
        <s v="United States" u="1"/>
        <s v="Pennsylvania" u="1"/>
        <s v="Christian biography" u="1"/>
        <s v="Censorship" u="1"/>
        <s v="Deep diving" u="1"/>
        <s v="English poetry" u="1"/>
        <s v="Fantasy fiction, American" u="1"/>
        <s v="Hamlet (Legendary character)" u="1"/>
        <s v="Albany (N.Y.)" u="1"/>
        <s v="American prose literature" u="1"/>
        <s v="Fantasy fiction" u="1"/>
        <s v="Aesthetics" u="1"/>
        <s v="Philosophy, Ancient" u="1"/>
        <s v="Evolution" u="1"/>
        <s v="God" u="1"/>
        <s v="Mental health" u="1"/>
        <s v="Psychology, Pathological" u="1"/>
        <s v="Public health" u="1"/>
        <s v="Index medicus" u="1"/>
        <s v="Classified catalogs (Dewey decimal)" u="1"/>
        <s v="Accounting" u="1"/>
        <s v="Retail trade" u="1"/>
        <s v="Labor laws and legislation" u="1"/>
        <s v="Administrative law" u="1"/>
        <s v="Occupations" u="1"/>
        <s v="Korean War, 1950-1953" u="1"/>
        <s v="Exports" u="1"/>
        <s v="Government publications" u="1"/>
        <s v="Income tax" u="1"/>
        <s v="Administrative agencies" u="1"/>
        <s v="Agroforestry" u="1"/>
        <s v="Government purchasing" u="1"/>
        <s v="Jury" u="1"/>
        <s v="Trademarks" u="1"/>
        <s v="Feed industry" u="1"/>
        <s v="Labor" u="1"/>
        <s v="Accidents" u="1"/>
        <s v="Health promotion" u="1"/>
        <s v="Charitable uses, trusts, and foundations" u="1"/>
        <s v="Incunabula" u="1"/>
        <s v="Medicine" u="1"/>
        <s v="Communicable diseases" u="1"/>
        <s v="Economic development" u="1"/>
        <s v="Environmental protection" u="1"/>
        <s v="Industrial hygiene" u="1"/>
        <s v="Economic assistance, Domestic" u="1"/>
        <s v="Cooking for military personnel" u="1"/>
        <s v="Patents" u="1"/>
        <s v="Agriculture" u="1"/>
        <s v="Food" u="1"/>
        <s v="Bread" u="1"/>
        <s v="Washington (D.C.)" u="1"/>
        <s v="Apples" u="1"/>
        <s v="Industrial statistics" u="1"/>
        <s v="Cotton baling" u="1"/>
        <s v="Cooking, American" u="1"/>
        <s v="Gas" u="1"/>
        <s v="Electric lighting" u="1"/>
        <s v="Housing" u="1"/>
        <s v="Expense accounts and taxation" u="1"/>
        <s v="Sports" u="1"/>
        <s v="Civil defense" u="1"/>
        <s v="Finance, Public" u="1"/>
        <s v="Agricultural colleges" u="1"/>
        <s v="Consular reports" u="1"/>
        <s v="Commercial statistics" u="1"/>
        <s v="Diplomatic and consular service, American" u="1"/>
        <s v="Gazettes" u="1"/>
        <s v="Federal aid to research" u="1"/>
        <s v="Tourism" u="1"/>
        <s v="Deficit financing" u="1"/>
        <s v="California" u="1"/>
        <s v="Materials handling" u="1"/>
        <s v="Delegated legislation" u="1"/>
        <s v="Monographic series" u="1"/>
        <s v="Streets" u="1"/>
        <s v="Retired military personnel" u="1"/>
        <s v="Massachusetts" u="1"/>
        <s v="Comets" u="1"/>
        <s v="Banks and banking" u="1"/>
        <s v="Technology" u="1"/>
        <s v="Chemical agents (Munitions)" u="1"/>
        <s v="Entrepreneurship" u="1"/>
        <s v="Comparative education" u="1"/>
        <s v="Educational exchanges" u="1"/>
        <s v="Educational planning" u="1"/>
        <s v="Universities and colleges" u="1"/>
        <s v="Finance" u="1"/>
        <s v="Encyclopedias and dictionaries" u="1"/>
        <s v="Educational law and legislation" u="1"/>
        <s v="Classification of sciences" u="1"/>
        <s v="Health" u="1"/>
        <s v="Art in education" u="1"/>
        <s v="Adult education" u="1"/>
        <s v="English language" u="1"/>
        <s v="American poetry" u="1"/>
        <s v="English periodicals" u="1"/>
        <s v="Folk poetry, Mundari" u="1"/>
        <s v="Latter Day Saints" u="1"/>
        <s v="Poetry, Modern" u="1"/>
        <s v="England" u="1"/>
        <s v="Battle Creek (Mich.)" u="1"/>
        <s v="American drama" u="1"/>
        <s v="College and school drama" u="1"/>
        <s v="Drama, Medieval" u="1"/>
        <s v="English drama" u="1"/>
        <s v="Adventure stories" u="1"/>
        <s v="Africa" u="1"/>
        <s v="Admiralty" u="1"/>
        <s v="French drama" u="1"/>
        <s v="Compact discs" u="1"/>
        <s v="Classical education" u="1"/>
        <s v="Telecommunication" u="1"/>
        <s v="Older people" u="1"/>
        <s v="Chinese literature" u="1"/>
        <s v="Bible" u="1"/>
        <s v="Children's libraries" u="1"/>
        <s v="Australian drama" u="1"/>
        <s v="Health facilities" u="1"/>
        <s v="Children's periodicals, American" u="1"/>
        <s v="Duty" u="1"/>
        <s v="Child welfare" u="1"/>
        <s v="Child actors" u="1"/>
        <s v="Press" u="1"/>
        <s v="New South Wales" u="1"/>
        <s v="Dressmaking" u="1"/>
        <s v="Charities" u="1"/>
        <s v="Foster children" u="1"/>
        <s v="Equity" u="1"/>
        <s v="Shipping" u="1"/>
        <s v="Legislative hearings" u="1"/>
        <s v="Session laws" u="1"/>
        <s v="Courts-martial and courts of inquiry" u="1"/>
        <s v="Crime" u="1"/>
        <s v="Aging" u="1"/>
        <s v="Alcoholism" u="1"/>
        <s v="Grants-in-aid" u="1"/>
        <s v="Freedom of religion" u="1"/>
        <s v="Courtship" u="1"/>
        <s v="Galvanic skin response" u="1"/>
        <s v="Novelists, English" u="1"/>
        <s v="Dramatists, English" u="1"/>
        <s v="Botany" u="1"/>
        <s v="Coastal ecology" u="1"/>
        <s v="Foundations" u="1"/>
        <s v="Supernatural" u="1"/>
        <s v="Anesthesia in obstetrics" u="1"/>
        <s v="Airplanes" u="1"/>
        <s v="Divergent series" u="1"/>
        <s v="Charts, diagrams, etc" u="1"/>
        <s v="Alice (Fictitious character : Carroll)" u="1"/>
        <s v="Christmas stories" u="1"/>
        <s v="Hours of labor" u="1"/>
        <s v="Transportation, Automotive" u="1"/>
        <s v="Crops and climate" u="1"/>
        <s v="Savings and loan associations" u="1"/>
        <s v="Natural resources" u="1"/>
        <s v="Gas reservoirs" u="1"/>
        <s v="Psychopharmacology" u="1"/>
        <s v="Astronautics" u="1"/>
        <s v="Administrative procedure" u="1"/>
        <s v="Subversive activities" u="1"/>
        <s v="Meteorology" u="1"/>
        <s v="" u="1"/>
        <s v="Unknown Genre" u="1"/>
      </sharedItems>
    </cacheField>
    <cacheField name="PUBLISHED DATE" numFmtId="0">
      <sharedItems/>
    </cacheField>
    <cacheField name="PUBLISHER" numFmtId="0">
      <sharedItems/>
    </cacheField>
    <cacheField name="LANGUAGE" numFmtId="0">
      <sharedItems count="24">
        <s v="en"/>
        <s v="ne"/>
        <s v="id"/>
        <s v="tr"/>
        <s v="it"/>
        <s v="ms"/>
        <s v="pt"/>
        <s v="fr"/>
        <s v="hi"/>
        <s v="no"/>
        <s v="cs"/>
        <s v="es"/>
        <s v="zh-TW"/>
        <s v="pl"/>
        <s v="mr"/>
        <s v="hu"/>
        <s v="el"/>
        <s v="sv"/>
        <s v="ko"/>
        <s v="ru" u="1"/>
        <s v="vi" u="1"/>
        <s v="th" u="1"/>
        <s v="gl" u="1"/>
        <s v="eu" u="1"/>
      </sharedItems>
    </cacheField>
    <cacheField name="AVERAGE RATING" numFmtId="0">
      <sharedItems containsSemiMixedTypes="0" containsString="0" containsNumber="1" minValue="0" maxValue="5"/>
    </cacheField>
    <cacheField name="RATINGS COUNT" numFmtId="0">
      <sharedItems containsSemiMixedTypes="0" containsString="0" containsNumber="1" containsInteger="1" minValue="0" maxValue="1000000"/>
    </cacheField>
    <cacheField name="YEAR" numFmtId="0">
      <sharedItems containsSemiMixedTypes="0" containsString="0" containsNumber="1" containsInteger="1" minValue="101" maxValue="2025" count="170">
        <n v="1996"/>
        <n v="2010"/>
        <n v="1985"/>
        <n v="2017"/>
        <n v="1990"/>
        <n v="2008"/>
        <n v="2002"/>
        <n v="2018"/>
        <n v="2014"/>
        <n v="2012"/>
        <n v="2003"/>
        <n v="1988"/>
        <n v="2021"/>
        <n v="2022"/>
        <n v="2015"/>
        <n v="2007"/>
        <n v="2024"/>
        <n v="2020"/>
        <n v="2016"/>
        <n v="1910"/>
        <n v="2019"/>
        <n v="1900"/>
        <n v="2004"/>
        <n v="2000"/>
        <n v="2006"/>
        <n v="2005"/>
        <n v="2023"/>
        <n v="2011"/>
        <n v="2013"/>
        <n v="2009"/>
        <n v="1994"/>
        <n v="1888"/>
        <n v="2001"/>
        <n v="1993"/>
        <n v="2025"/>
        <n v="1972"/>
        <n v="1999"/>
        <n v="1967"/>
        <n v="1983"/>
        <n v="1978"/>
        <n v="1907"/>
        <n v="1971"/>
        <n v="1997"/>
        <n v="1989"/>
        <n v="1911"/>
        <n v="1986"/>
        <n v="1987"/>
        <n v="1998"/>
        <n v="1992"/>
        <n v="1982"/>
        <n v="1995"/>
        <n v="1970"/>
        <n v="1894"/>
        <n v="1980"/>
        <n v="1887"/>
        <n v="1991"/>
        <n v="1960"/>
        <n v="1977"/>
        <n v="1969"/>
        <n v="1902"/>
        <n v="1937"/>
        <n v="1949"/>
        <n v="1926"/>
        <n v="1973"/>
        <n v="101" u="1"/>
        <n v="1885" u="1"/>
        <n v="1913" u="1"/>
        <n v="1897" u="1"/>
        <n v="1903" u="1"/>
        <n v="1914" u="1"/>
        <n v="1909" u="1"/>
        <n v="1883" u="1"/>
        <n v="1984" u="1"/>
        <n v="1891" u="1"/>
        <n v="1908" u="1"/>
        <n v="1919" u="1"/>
        <n v="1895" u="1"/>
        <n v="1890" u="1"/>
        <n v="1918" u="1"/>
        <n v="1905" u="1"/>
        <n v="1931" u="1"/>
        <n v="1872" u="1"/>
        <n v="1950" u="1"/>
        <n v="1963" u="1"/>
        <n v="1975" u="1"/>
        <n v="1976" u="1"/>
        <n v="1964" u="1"/>
        <n v="1962" u="1"/>
        <n v="1938" u="1"/>
        <n v="1923" u="1"/>
        <n v="1965" u="1"/>
        <n v="1941" u="1"/>
        <n v="1947" u="1"/>
        <n v="1968" u="1"/>
        <n v="1874" u="1"/>
        <n v="1981" u="1"/>
        <n v="1940" u="1"/>
        <n v="1877" u="1"/>
        <n v="1912" u="1"/>
        <n v="1979" u="1"/>
        <n v="1901" u="1"/>
        <n v="1886" u="1"/>
        <n v="1896" u="1"/>
        <n v="1871" u="1"/>
        <n v="1882" u="1"/>
        <n v="1879" u="1"/>
        <n v="1899" u="1"/>
        <n v="1929" u="1"/>
        <n v="1906" u="1"/>
        <n v="1873" u="1"/>
        <n v="1966" u="1"/>
        <n v="1904" u="1"/>
        <n v="1889" u="1"/>
        <n v="1875" u="1"/>
        <n v="1669" u="1"/>
        <n v="1861" u="1"/>
        <n v="1851" u="1"/>
        <n v="1840" u="1"/>
        <n v="1839" u="1"/>
        <n v="1892" u="1"/>
        <n v="1956" u="1"/>
        <n v="1927" u="1"/>
        <n v="1898" u="1"/>
        <n v="1893" u="1"/>
        <n v="1881" u="1"/>
        <n v="1878" u="1"/>
        <n v="1959" u="1"/>
        <n v="1957" u="1"/>
        <n v="1917" u="1"/>
        <n v="1955" u="1"/>
        <n v="1936" u="1"/>
        <n v="1942" u="1"/>
        <n v="1944" u="1"/>
        <n v="1855" u="1"/>
        <n v="1948" u="1"/>
        <n v="1974" u="1"/>
        <n v="1920" u="1"/>
        <n v="1954" u="1"/>
        <n v="1915" u="1"/>
        <n v="1928" u="1"/>
        <n v="1930" u="1"/>
        <n v="1864" u="1"/>
        <n v="1961" u="1"/>
        <n v="1953" u="1"/>
        <n v="1880" u="1"/>
        <n v="1925" u="1"/>
        <n v="1916" u="1"/>
        <n v="1958" u="1"/>
        <n v="1836" u="1"/>
        <n v="1876" u="1"/>
        <n v="1854" u="1"/>
        <n v="1722" u="1"/>
        <n v="1884" u="1"/>
        <n v="1939" u="1"/>
        <n v="1837" u="1"/>
        <n v="1869" u="1"/>
        <n v="1823" u="1"/>
        <n v="1850" u="1"/>
        <n v="1865" u="1"/>
        <n v="1868" u="1"/>
        <n v="1867" u="1"/>
        <n v="1870" u="1"/>
        <n v="1805" u="1"/>
        <n v="1832" u="1"/>
        <n v="1828" u="1"/>
        <n v="1821" u="1"/>
        <n v="1765" u="1"/>
        <n v="1807" u="1"/>
        <n v="1858" u="1"/>
        <n v="1863" u="1"/>
      </sharedItems>
    </cacheField>
    <cacheField name="RATING TIER" numFmtId="0">
      <sharedItems count="3">
        <s v="Low"/>
        <s v="Medium"/>
        <s v="High"/>
      </sharedItems>
    </cacheField>
    <cacheField name="POPULARITY" numFmtId="0">
      <sharedItems/>
    </cacheField>
    <cacheField name="ENGAGEMENT SCORE" numFmtId="0">
      <sharedItems containsSemiMixedTypes="0" containsString="0" containsNumber="1" minValue="0" maxValue="4099999.9999999995"/>
    </cacheField>
  </cacheFields>
  <extLst>
    <ext xmlns:x14="http://schemas.microsoft.com/office/spreadsheetml/2009/9/main" uri="{725AE2AE-9491-48be-B2B4-4EB974FC3084}">
      <x14:pivotCacheDefinition pivotCacheId="619560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3">
  <r>
    <x v="0"/>
    <x v="0"/>
    <n v="252"/>
    <x v="0"/>
    <s v="01-01-1996"/>
    <s v="Cornell University Press"/>
    <x v="0"/>
    <n v="0"/>
    <n v="0"/>
    <x v="0"/>
    <x v="0"/>
    <s v="Average"/>
    <n v="0"/>
  </r>
  <r>
    <x v="1"/>
    <x v="1"/>
    <n v="802"/>
    <x v="1"/>
    <s v="01-09-2010"/>
    <s v="Wildside Press LLC"/>
    <x v="0"/>
    <n v="0"/>
    <n v="0"/>
    <x v="1"/>
    <x v="0"/>
    <s v="Average"/>
    <n v="0"/>
  </r>
  <r>
    <x v="2"/>
    <x v="2"/>
    <n v="248"/>
    <x v="2"/>
    <s v="01-01-1985"/>
    <s v="Bucknell University Press"/>
    <x v="0"/>
    <n v="0"/>
    <n v="0"/>
    <x v="2"/>
    <x v="0"/>
    <s v="Average"/>
    <n v="0"/>
  </r>
  <r>
    <x v="3"/>
    <x v="3"/>
    <n v="337"/>
    <x v="3"/>
    <s v="30-03-2017"/>
    <s v="University of Oklahoma Press"/>
    <x v="0"/>
    <n v="0"/>
    <n v="0"/>
    <x v="3"/>
    <x v="0"/>
    <s v="Average"/>
    <n v="0"/>
  </r>
  <r>
    <x v="4"/>
    <x v="4"/>
    <n v="230"/>
    <x v="0"/>
    <s v="01-01-1990"/>
    <s v="UNC Press Books"/>
    <x v="0"/>
    <n v="0"/>
    <n v="0"/>
    <x v="4"/>
    <x v="0"/>
    <s v="Average"/>
    <n v="0"/>
  </r>
  <r>
    <x v="5"/>
    <x v="5"/>
    <n v="178"/>
    <x v="4"/>
    <s v="01-12-2008"/>
    <s v="Teacher Created Resources"/>
    <x v="0"/>
    <n v="0"/>
    <n v="0"/>
    <x v="5"/>
    <x v="0"/>
    <s v="Average"/>
    <n v="0"/>
  </r>
  <r>
    <x v="6"/>
    <x v="6"/>
    <n v="604"/>
    <x v="5"/>
    <s v="03-05-2002"/>
    <s v="MIT Press"/>
    <x v="0"/>
    <n v="0"/>
    <n v="0"/>
    <x v="6"/>
    <x v="0"/>
    <s v="Average"/>
    <n v="0"/>
  </r>
  <r>
    <x v="7"/>
    <x v="7"/>
    <n v="206"/>
    <x v="6"/>
    <s v="03-07-2018"/>
    <s v="BRILL"/>
    <x v="0"/>
    <n v="0"/>
    <n v="0"/>
    <x v="7"/>
    <x v="0"/>
    <s v="Average"/>
    <n v="0"/>
  </r>
  <r>
    <x v="8"/>
    <x v="8"/>
    <n v="838"/>
    <x v="0"/>
    <s v="08-04-2014"/>
    <s v="Routledge"/>
    <x v="0"/>
    <n v="3"/>
    <n v="2"/>
    <x v="8"/>
    <x v="1"/>
    <s v="Average"/>
    <n v="6"/>
  </r>
  <r>
    <x v="9"/>
    <x v="9"/>
    <n v="314"/>
    <x v="7"/>
    <s v="01-01-2017"/>
    <s v="Oxford University Press"/>
    <x v="0"/>
    <n v="0"/>
    <n v="0"/>
    <x v="3"/>
    <x v="0"/>
    <s v="Average"/>
    <n v="0"/>
  </r>
  <r>
    <x v="10"/>
    <x v="10"/>
    <n v="234"/>
    <x v="7"/>
    <s v="20-04-2012"/>
    <s v="University Press of Kentucky"/>
    <x v="0"/>
    <n v="0"/>
    <n v="0"/>
    <x v="9"/>
    <x v="0"/>
    <s v="Average"/>
    <n v="0"/>
  </r>
  <r>
    <x v="11"/>
    <x v="11"/>
    <n v="644"/>
    <x v="8"/>
    <s v="01-01-2003"/>
    <s v="Psychology Press"/>
    <x v="0"/>
    <n v="0"/>
    <n v="0"/>
    <x v="10"/>
    <x v="0"/>
    <s v="Average"/>
    <n v="0"/>
  </r>
  <r>
    <x v="12"/>
    <x v="12"/>
    <n v="104"/>
    <x v="0"/>
    <s v="01-01-1988"/>
    <s v="Millefleurs"/>
    <x v="0"/>
    <n v="0"/>
    <n v="0"/>
    <x v="11"/>
    <x v="0"/>
    <s v="Average"/>
    <n v="0"/>
  </r>
  <r>
    <x v="13"/>
    <x v="13"/>
    <n v="32"/>
    <x v="9"/>
    <s v="13-12-2017"/>
    <s v="Triangle Interactive, Inc. "/>
    <x v="0"/>
    <n v="0"/>
    <n v="0"/>
    <x v="3"/>
    <x v="0"/>
    <s v="Average"/>
    <n v="0"/>
  </r>
  <r>
    <x v="14"/>
    <x v="14"/>
    <n v="886"/>
    <x v="10"/>
    <s v="28-06-2021"/>
    <s v="Taylor &amp; Francis"/>
    <x v="0"/>
    <n v="0"/>
    <n v="0"/>
    <x v="12"/>
    <x v="0"/>
    <s v="Average"/>
    <n v="0"/>
  </r>
  <r>
    <x v="15"/>
    <x v="15"/>
    <n v="370"/>
    <x v="11"/>
    <s v="01-02-2012"/>
    <s v="State University of New York Press"/>
    <x v="0"/>
    <n v="0"/>
    <n v="0"/>
    <x v="9"/>
    <x v="0"/>
    <s v="Average"/>
    <n v="0"/>
  </r>
  <r>
    <x v="16"/>
    <x v="16"/>
    <n v="290"/>
    <x v="3"/>
    <s v="01-01-2022"/>
    <s v="Yale University Press"/>
    <x v="0"/>
    <n v="0"/>
    <n v="0"/>
    <x v="13"/>
    <x v="0"/>
    <s v="Average"/>
    <n v="0"/>
  </r>
  <r>
    <x v="17"/>
    <x v="17"/>
    <n v="332"/>
    <x v="3"/>
    <s v="23-08-2021"/>
    <s v="Walter de Gruyter GmbH &amp; Co KG"/>
    <x v="0"/>
    <n v="0"/>
    <n v="0"/>
    <x v="12"/>
    <x v="0"/>
    <s v="Average"/>
    <n v="0"/>
  </r>
  <r>
    <x v="18"/>
    <x v="18"/>
    <n v="2131"/>
    <x v="2"/>
    <s v="02-06-2022"/>
    <s v="DigiCat"/>
    <x v="0"/>
    <n v="0"/>
    <n v="0"/>
    <x v="13"/>
    <x v="0"/>
    <s v="Average"/>
    <n v="0"/>
  </r>
  <r>
    <x v="19"/>
    <x v="19"/>
    <n v="303"/>
    <x v="3"/>
    <s v="02-09-2015"/>
    <s v="McFarland"/>
    <x v="0"/>
    <n v="0"/>
    <n v="0"/>
    <x v="14"/>
    <x v="0"/>
    <s v="Average"/>
    <n v="0"/>
  </r>
  <r>
    <x v="20"/>
    <x v="20"/>
    <n v="267"/>
    <x v="12"/>
    <s v="11-08-2022"/>
    <s v="Wipf and Stock Publishers"/>
    <x v="0"/>
    <n v="0"/>
    <n v="0"/>
    <x v="13"/>
    <x v="0"/>
    <s v="Average"/>
    <n v="0"/>
  </r>
  <r>
    <x v="21"/>
    <x v="21"/>
    <n v="309"/>
    <x v="5"/>
    <s v="01-01-2007"/>
    <s v="BRILL"/>
    <x v="0"/>
    <n v="0"/>
    <n v="0"/>
    <x v="15"/>
    <x v="0"/>
    <s v="Average"/>
    <n v="0"/>
  </r>
  <r>
    <x v="22"/>
    <x v="22"/>
    <n v="250"/>
    <x v="13"/>
    <s v="16-10-2015"/>
    <s v="Taylor &amp; Francis"/>
    <x v="0"/>
    <n v="0"/>
    <n v="0"/>
    <x v="14"/>
    <x v="0"/>
    <s v="Average"/>
    <n v="0"/>
  </r>
  <r>
    <x v="23"/>
    <x v="23"/>
    <n v="222"/>
    <x v="2"/>
    <s v="28-08-2024"/>
    <s v="BoD – Books on Demand"/>
    <x v="0"/>
    <n v="0"/>
    <n v="0"/>
    <x v="16"/>
    <x v="0"/>
    <s v="Average"/>
    <n v="0"/>
  </r>
  <r>
    <x v="24"/>
    <x v="24"/>
    <n v="490"/>
    <x v="2"/>
    <s v="23-09-2020"/>
    <s v="BoD – Books on Demand"/>
    <x v="0"/>
    <n v="0"/>
    <n v="0"/>
    <x v="17"/>
    <x v="0"/>
    <s v="Average"/>
    <n v="0"/>
  </r>
  <r>
    <x v="25"/>
    <x v="25"/>
    <n v="1525"/>
    <x v="10"/>
    <s v="26-12-2016"/>
    <s v="Springer"/>
    <x v="0"/>
    <n v="0"/>
    <n v="0"/>
    <x v="18"/>
    <x v="0"/>
    <s v="Average"/>
    <n v="0"/>
  </r>
  <r>
    <x v="26"/>
    <x v="26"/>
    <n v="538"/>
    <x v="3"/>
    <s v="01-01-1910"/>
    <s v="Weidenfeld &amp; Nicolson"/>
    <x v="0"/>
    <n v="0"/>
    <n v="0"/>
    <x v="19"/>
    <x v="0"/>
    <s v="Average"/>
    <n v="0"/>
  </r>
  <r>
    <x v="27"/>
    <x v="27"/>
    <n v="64"/>
    <x v="1"/>
    <s v="17-11-2019"/>
    <s v="Lulu.com"/>
    <x v="0"/>
    <n v="0"/>
    <n v="0"/>
    <x v="20"/>
    <x v="0"/>
    <s v="Average"/>
    <n v="0"/>
  </r>
  <r>
    <x v="28"/>
    <x v="28"/>
    <n v="368"/>
    <x v="14"/>
    <s v="01-01-1900"/>
    <s v="Groton, Mass. [Cambridge, Mass., University Press"/>
    <x v="0"/>
    <n v="0"/>
    <n v="0"/>
    <x v="21"/>
    <x v="0"/>
    <s v="Average"/>
    <n v="0"/>
  </r>
  <r>
    <x v="29"/>
    <x v="29"/>
    <n v="85"/>
    <x v="8"/>
    <s v="01-01-2004"/>
    <s v="iUniverse"/>
    <x v="0"/>
    <n v="0"/>
    <n v="0"/>
    <x v="22"/>
    <x v="0"/>
    <s v="Average"/>
    <n v="0"/>
  </r>
  <r>
    <x v="30"/>
    <x v="30"/>
    <n v="244"/>
    <x v="0"/>
    <s v="15-11-2017"/>
    <s v="University of Pennsylvania Press"/>
    <x v="0"/>
    <n v="0"/>
    <n v="0"/>
    <x v="3"/>
    <x v="0"/>
    <s v="Average"/>
    <n v="0"/>
  </r>
  <r>
    <x v="31"/>
    <x v="31"/>
    <n v="440"/>
    <x v="0"/>
    <s v="04-01-2007"/>
    <s v="OUP Oxford"/>
    <x v="0"/>
    <n v="0"/>
    <n v="0"/>
    <x v="15"/>
    <x v="0"/>
    <s v="Average"/>
    <n v="0"/>
  </r>
  <r>
    <x v="32"/>
    <x v="32"/>
    <n v="416"/>
    <x v="0"/>
    <s v="07-08-2017"/>
    <s v="Walter de Gruyter GmbH &amp; Co KG"/>
    <x v="0"/>
    <n v="0"/>
    <n v="0"/>
    <x v="3"/>
    <x v="0"/>
    <s v="Average"/>
    <n v="0"/>
  </r>
  <r>
    <x v="33"/>
    <x v="33"/>
    <n v="316"/>
    <x v="15"/>
    <s v="22-07-2020"/>
    <s v="Springer Nature"/>
    <x v="0"/>
    <n v="0"/>
    <n v="0"/>
    <x v="17"/>
    <x v="0"/>
    <s v="Average"/>
    <n v="0"/>
  </r>
  <r>
    <x v="34"/>
    <x v="34"/>
    <n v="513"/>
    <x v="8"/>
    <s v="05-04-2012"/>
    <s v="Cambridge University Press"/>
    <x v="0"/>
    <n v="0"/>
    <n v="0"/>
    <x v="9"/>
    <x v="0"/>
    <s v="Average"/>
    <n v="0"/>
  </r>
  <r>
    <x v="35"/>
    <x v="35"/>
    <n v="234"/>
    <x v="5"/>
    <s v="04-02-2016"/>
    <s v="Routledge"/>
    <x v="0"/>
    <n v="1"/>
    <n v="1"/>
    <x v="18"/>
    <x v="0"/>
    <s v="Average"/>
    <n v="1"/>
  </r>
  <r>
    <x v="36"/>
    <x v="36"/>
    <n v="372"/>
    <x v="1"/>
    <s v="01-01-2000"/>
    <s v="Psychology Press"/>
    <x v="0"/>
    <n v="0"/>
    <n v="0"/>
    <x v="23"/>
    <x v="0"/>
    <s v="Average"/>
    <n v="0"/>
  </r>
  <r>
    <x v="37"/>
    <x v="37"/>
    <n v="296"/>
    <x v="0"/>
    <s v="08-11-2017"/>
    <s v="Springer"/>
    <x v="0"/>
    <n v="0"/>
    <n v="0"/>
    <x v="3"/>
    <x v="0"/>
    <s v="Average"/>
    <n v="0"/>
  </r>
  <r>
    <x v="38"/>
    <x v="38"/>
    <n v="628"/>
    <x v="8"/>
    <s v="28-11-2018"/>
    <s v="John Wiley &amp; Sons"/>
    <x v="0"/>
    <n v="0"/>
    <n v="0"/>
    <x v="7"/>
    <x v="0"/>
    <s v="Average"/>
    <n v="0"/>
  </r>
  <r>
    <x v="39"/>
    <x v="39"/>
    <n v="189"/>
    <x v="16"/>
    <s v="14-01-2020"/>
    <s v="Mango Media Inc."/>
    <x v="0"/>
    <n v="0"/>
    <n v="0"/>
    <x v="17"/>
    <x v="0"/>
    <s v="Average"/>
    <n v="0"/>
  </r>
  <r>
    <x v="40"/>
    <x v="40"/>
    <n v="1735"/>
    <x v="3"/>
    <s v="27-12-2017"/>
    <s v="Berkshire Publishing Group"/>
    <x v="0"/>
    <n v="0"/>
    <n v="0"/>
    <x v="3"/>
    <x v="0"/>
    <s v="Average"/>
    <n v="0"/>
  </r>
  <r>
    <x v="41"/>
    <x v="41"/>
    <n v="243"/>
    <x v="0"/>
    <s v="05-05-2017"/>
    <s v="Springer"/>
    <x v="0"/>
    <n v="0"/>
    <n v="0"/>
    <x v="3"/>
    <x v="0"/>
    <s v="Average"/>
    <n v="0"/>
  </r>
  <r>
    <x v="42"/>
    <x v="42"/>
    <n v="304"/>
    <x v="17"/>
    <s v="20-10-2022"/>
    <s v="Archway Publishing"/>
    <x v="0"/>
    <n v="0"/>
    <n v="0"/>
    <x v="13"/>
    <x v="0"/>
    <s v="Average"/>
    <n v="0"/>
  </r>
  <r>
    <x v="43"/>
    <x v="43"/>
    <n v="223"/>
    <x v="12"/>
    <s v="23-06-2006"/>
    <s v="A&amp;C Black"/>
    <x v="0"/>
    <n v="0"/>
    <n v="0"/>
    <x v="24"/>
    <x v="0"/>
    <s v="Average"/>
    <n v="0"/>
  </r>
  <r>
    <x v="44"/>
    <x v="44"/>
    <n v="168"/>
    <x v="8"/>
    <s v="01-01-1985"/>
    <s v="Mercer University Press"/>
    <x v="0"/>
    <n v="0"/>
    <n v="0"/>
    <x v="2"/>
    <x v="0"/>
    <s v="Average"/>
    <n v="0"/>
  </r>
  <r>
    <x v="45"/>
    <x v="45"/>
    <n v="466"/>
    <x v="0"/>
    <s v="19-03-2018"/>
    <s v="Walter de Gruyter GmbH &amp; Co KG"/>
    <x v="0"/>
    <n v="0"/>
    <n v="0"/>
    <x v="7"/>
    <x v="0"/>
    <s v="Average"/>
    <n v="0"/>
  </r>
  <r>
    <x v="46"/>
    <x v="46"/>
    <n v="329"/>
    <x v="5"/>
    <s v="05-06-2024"/>
    <s v="Edward Elgar Publishing"/>
    <x v="0"/>
    <n v="0"/>
    <n v="0"/>
    <x v="16"/>
    <x v="0"/>
    <s v="Average"/>
    <n v="0"/>
  </r>
  <r>
    <x v="47"/>
    <x v="29"/>
    <n v="161"/>
    <x v="18"/>
    <s v="21-10-2005"/>
    <s v="iUniverse"/>
    <x v="0"/>
    <n v="0"/>
    <n v="0"/>
    <x v="25"/>
    <x v="0"/>
    <s v="Average"/>
    <n v="0"/>
  </r>
  <r>
    <x v="48"/>
    <x v="47"/>
    <n v="304"/>
    <x v="8"/>
    <s v="01-01-2017"/>
    <s v="Oxford University Press"/>
    <x v="0"/>
    <n v="0"/>
    <n v="0"/>
    <x v="3"/>
    <x v="0"/>
    <s v="Average"/>
    <n v="0"/>
  </r>
  <r>
    <x v="49"/>
    <x v="48"/>
    <n v="522"/>
    <x v="3"/>
    <s v="23-08-2023"/>
    <s v="Archway Publishing"/>
    <x v="0"/>
    <n v="0"/>
    <n v="0"/>
    <x v="26"/>
    <x v="0"/>
    <s v="Average"/>
    <n v="0"/>
  </r>
  <r>
    <x v="50"/>
    <x v="49"/>
    <n v="271"/>
    <x v="3"/>
    <s v="16-12-2019"/>
    <s v="University of Texas Press"/>
    <x v="0"/>
    <n v="0"/>
    <n v="0"/>
    <x v="20"/>
    <x v="0"/>
    <s v="Average"/>
    <n v="0"/>
  </r>
  <r>
    <x v="51"/>
    <x v="50"/>
    <n v="234"/>
    <x v="3"/>
    <s v="14-07-2014"/>
    <s v="Princeton University Press"/>
    <x v="0"/>
    <n v="0"/>
    <n v="0"/>
    <x v="8"/>
    <x v="0"/>
    <s v="Average"/>
    <n v="0"/>
  </r>
  <r>
    <x v="52"/>
    <x v="51"/>
    <n v="244"/>
    <x v="6"/>
    <s v="01-01-2002"/>
    <s v="American Library Association"/>
    <x v="0"/>
    <n v="0"/>
    <n v="0"/>
    <x v="6"/>
    <x v="0"/>
    <s v="Average"/>
    <n v="0"/>
  </r>
  <r>
    <x v="53"/>
    <x v="52"/>
    <n v="156"/>
    <x v="2"/>
    <s v="01-08-2022"/>
    <s v="DigiCat"/>
    <x v="0"/>
    <n v="0"/>
    <n v="0"/>
    <x v="13"/>
    <x v="0"/>
    <s v="Average"/>
    <n v="0"/>
  </r>
  <r>
    <x v="54"/>
    <x v="53"/>
    <n v="161"/>
    <x v="12"/>
    <s v="08-03-2010"/>
    <s v="Wipf and Stock Publishers"/>
    <x v="0"/>
    <n v="0"/>
    <n v="0"/>
    <x v="1"/>
    <x v="0"/>
    <s v="Average"/>
    <n v="0"/>
  </r>
  <r>
    <x v="55"/>
    <x v="54"/>
    <n v="517"/>
    <x v="2"/>
    <s v="01-06-2022"/>
    <s v="Blake Pierce"/>
    <x v="0"/>
    <n v="0"/>
    <n v="0"/>
    <x v="13"/>
    <x v="0"/>
    <s v="Average"/>
    <n v="0"/>
  </r>
  <r>
    <x v="56"/>
    <x v="55"/>
    <n v="186"/>
    <x v="1"/>
    <s v="01-08-2008"/>
    <s v="Wildside Press LLC"/>
    <x v="0"/>
    <n v="0"/>
    <n v="0"/>
    <x v="5"/>
    <x v="0"/>
    <s v="Average"/>
    <n v="0"/>
  </r>
  <r>
    <x v="57"/>
    <x v="56"/>
    <n v="165"/>
    <x v="0"/>
    <s v="28-12-2022"/>
    <s v="Univ. Press of Mississippi"/>
    <x v="0"/>
    <n v="0"/>
    <n v="0"/>
    <x v="13"/>
    <x v="0"/>
    <s v="Average"/>
    <n v="0"/>
  </r>
  <r>
    <x v="58"/>
    <x v="57"/>
    <n v="292"/>
    <x v="3"/>
    <s v="01-01-2018"/>
    <s v="Charisma Media"/>
    <x v="0"/>
    <n v="0"/>
    <n v="0"/>
    <x v="7"/>
    <x v="0"/>
    <s v="Average"/>
    <n v="0"/>
  </r>
  <r>
    <x v="59"/>
    <x v="58"/>
    <n v="79"/>
    <x v="9"/>
    <s v="20-07-2014"/>
    <s v="Paul Moxham"/>
    <x v="0"/>
    <n v="0"/>
    <n v="0"/>
    <x v="8"/>
    <x v="0"/>
    <s v="Average"/>
    <n v="0"/>
  </r>
  <r>
    <x v="60"/>
    <x v="59"/>
    <n v="149"/>
    <x v="9"/>
    <s v="01-01-2011"/>
    <s v="Gallopade International"/>
    <x v="0"/>
    <n v="0"/>
    <n v="0"/>
    <x v="27"/>
    <x v="0"/>
    <s v="Average"/>
    <n v="0"/>
  </r>
  <r>
    <x v="61"/>
    <x v="59"/>
    <n v="149"/>
    <x v="9"/>
    <s v="01-01-2011"/>
    <s v="Gallopade International"/>
    <x v="0"/>
    <n v="0"/>
    <n v="0"/>
    <x v="27"/>
    <x v="0"/>
    <s v="Average"/>
    <n v="0"/>
  </r>
  <r>
    <x v="62"/>
    <x v="59"/>
    <n v="148"/>
    <x v="9"/>
    <s v="06-03-2006"/>
    <s v="Gallopade International"/>
    <x v="0"/>
    <n v="0"/>
    <n v="0"/>
    <x v="24"/>
    <x v="0"/>
    <s v="Average"/>
    <n v="0"/>
  </r>
  <r>
    <x v="63"/>
    <x v="60"/>
    <n v="240"/>
    <x v="2"/>
    <s v="17-12-2013"/>
    <s v="Louise Hathaway"/>
    <x v="0"/>
    <n v="0"/>
    <n v="0"/>
    <x v="28"/>
    <x v="0"/>
    <s v="Average"/>
    <n v="0"/>
  </r>
  <r>
    <x v="64"/>
    <x v="54"/>
    <n v="251"/>
    <x v="2"/>
    <s v="11-12-2018"/>
    <s v="Blake Pierce"/>
    <x v="0"/>
    <n v="0"/>
    <n v="0"/>
    <x v="7"/>
    <x v="0"/>
    <s v="Average"/>
    <n v="0"/>
  </r>
  <r>
    <x v="65"/>
    <x v="54"/>
    <n v="250"/>
    <x v="2"/>
    <s v="20-11-2019"/>
    <s v="Blake Pierce"/>
    <x v="0"/>
    <n v="0"/>
    <n v="0"/>
    <x v="20"/>
    <x v="0"/>
    <s v="Average"/>
    <n v="0"/>
  </r>
  <r>
    <x v="66"/>
    <x v="54"/>
    <n v="258"/>
    <x v="2"/>
    <s v="16-04-2019"/>
    <s v="Blake Pierce"/>
    <x v="0"/>
    <n v="0"/>
    <n v="0"/>
    <x v="20"/>
    <x v="0"/>
    <s v="Average"/>
    <n v="0"/>
  </r>
  <r>
    <x v="67"/>
    <x v="59"/>
    <n v="145"/>
    <x v="9"/>
    <s v="01-03-2009"/>
    <s v="Gallopade International"/>
    <x v="0"/>
    <n v="0"/>
    <n v="0"/>
    <x v="29"/>
    <x v="0"/>
    <s v="Average"/>
    <n v="0"/>
  </r>
  <r>
    <x v="68"/>
    <x v="54"/>
    <n v="290"/>
    <x v="2"/>
    <s v="02-10-2018"/>
    <s v="Blake Pierce"/>
    <x v="0"/>
    <n v="4"/>
    <n v="1"/>
    <x v="7"/>
    <x v="2"/>
    <s v="Average"/>
    <n v="4"/>
  </r>
  <r>
    <x v="69"/>
    <x v="61"/>
    <n v="190"/>
    <x v="19"/>
    <s v="06-11-2019"/>
    <s v="Temple Lodge Publishing"/>
    <x v="0"/>
    <n v="0"/>
    <n v="0"/>
    <x v="20"/>
    <x v="0"/>
    <s v="Average"/>
    <n v="0"/>
  </r>
  <r>
    <x v="70"/>
    <x v="54"/>
    <n v="317"/>
    <x v="2"/>
    <s v="26-02-2018"/>
    <s v="Blake Pierce"/>
    <x v="0"/>
    <n v="0"/>
    <n v="0"/>
    <x v="7"/>
    <x v="0"/>
    <s v="Average"/>
    <n v="0"/>
  </r>
  <r>
    <x v="71"/>
    <x v="59"/>
    <n v="145"/>
    <x v="9"/>
    <s v="09-12-2005"/>
    <s v="Gallopade International"/>
    <x v="0"/>
    <n v="0"/>
    <n v="0"/>
    <x v="25"/>
    <x v="0"/>
    <s v="Average"/>
    <n v="0"/>
  </r>
  <r>
    <x v="72"/>
    <x v="59"/>
    <n v="69"/>
    <x v="20"/>
    <s v="01-01-1994"/>
    <s v="Carole Marsh Books"/>
    <x v="0"/>
    <n v="0"/>
    <n v="0"/>
    <x v="30"/>
    <x v="0"/>
    <s v="Average"/>
    <n v="0"/>
  </r>
  <r>
    <x v="73"/>
    <x v="62"/>
    <n v="209"/>
    <x v="12"/>
    <s v="06-08-2013"/>
    <s v="Charisma Media"/>
    <x v="0"/>
    <n v="0"/>
    <n v="0"/>
    <x v="28"/>
    <x v="0"/>
    <s v="Average"/>
    <n v="0"/>
  </r>
  <r>
    <x v="74"/>
    <x v="63"/>
    <n v="225"/>
    <x v="2"/>
    <s v="27-06-2023"/>
    <s v="Fiona Grace"/>
    <x v="0"/>
    <n v="0"/>
    <n v="0"/>
    <x v="26"/>
    <x v="0"/>
    <s v="Average"/>
    <n v="0"/>
  </r>
  <r>
    <x v="75"/>
    <x v="63"/>
    <n v="197"/>
    <x v="2"/>
    <s v="03-11-2023"/>
    <s v="Fiona Grace"/>
    <x v="0"/>
    <n v="0"/>
    <n v="0"/>
    <x v="26"/>
    <x v="0"/>
    <s v="Average"/>
    <n v="0"/>
  </r>
  <r>
    <x v="76"/>
    <x v="54"/>
    <n v="504"/>
    <x v="2"/>
    <s v="22-01-2021"/>
    <s v="Blake Pierce"/>
    <x v="0"/>
    <n v="0"/>
    <n v="0"/>
    <x v="12"/>
    <x v="0"/>
    <s v="Average"/>
    <n v="0"/>
  </r>
  <r>
    <x v="77"/>
    <x v="64"/>
    <n v="162"/>
    <x v="21"/>
    <s v="01-04-2012"/>
    <s v="Weiser Books"/>
    <x v="0"/>
    <n v="0"/>
    <n v="0"/>
    <x v="9"/>
    <x v="0"/>
    <s v="Average"/>
    <n v="0"/>
  </r>
  <r>
    <x v="78"/>
    <x v="59"/>
    <n v="68"/>
    <x v="20"/>
    <s v="01-01-1994"/>
    <s v="Carole Marsh Books"/>
    <x v="0"/>
    <n v="0"/>
    <n v="0"/>
    <x v="30"/>
    <x v="0"/>
    <s v="Average"/>
    <n v="0"/>
  </r>
  <r>
    <x v="79"/>
    <x v="63"/>
    <n v="332"/>
    <x v="2"/>
    <s v="30-09-2021"/>
    <s v="Fiona Grace"/>
    <x v="0"/>
    <n v="0"/>
    <n v="0"/>
    <x v="12"/>
    <x v="0"/>
    <s v="Average"/>
    <n v="0"/>
  </r>
  <r>
    <x v="80"/>
    <x v="65"/>
    <n v="365"/>
    <x v="2"/>
    <s v="27-08-2015"/>
    <s v="Wildside Press LLC"/>
    <x v="0"/>
    <n v="0"/>
    <n v="0"/>
    <x v="14"/>
    <x v="0"/>
    <s v="Average"/>
    <n v="0"/>
  </r>
  <r>
    <x v="81"/>
    <x v="66"/>
    <n v="68"/>
    <x v="0"/>
    <s v="01-09-2010"/>
    <s v="Wildside Press LLC"/>
    <x v="0"/>
    <n v="0"/>
    <n v="0"/>
    <x v="1"/>
    <x v="0"/>
    <s v="Average"/>
    <n v="0"/>
  </r>
  <r>
    <x v="82"/>
    <x v="67"/>
    <n v="460"/>
    <x v="11"/>
    <s v="07-12-2010"/>
    <s v="Routledge"/>
    <x v="0"/>
    <n v="0"/>
    <n v="0"/>
    <x v="1"/>
    <x v="0"/>
    <s v="Average"/>
    <n v="0"/>
  </r>
  <r>
    <x v="83"/>
    <x v="68"/>
    <n v="212"/>
    <x v="22"/>
    <s v="01-01-1888"/>
    <s v="Rose"/>
    <x v="0"/>
    <n v="0"/>
    <n v="0"/>
    <x v="31"/>
    <x v="0"/>
    <s v="Average"/>
    <n v="0"/>
  </r>
  <r>
    <x v="84"/>
    <x v="69"/>
    <n v="286"/>
    <x v="0"/>
    <s v="01-01-2008"/>
    <s v="Boydell &amp; Brewer Ltd"/>
    <x v="0"/>
    <n v="0"/>
    <n v="0"/>
    <x v="5"/>
    <x v="0"/>
    <s v="Average"/>
    <n v="0"/>
  </r>
  <r>
    <x v="85"/>
    <x v="70"/>
    <n v="420"/>
    <x v="0"/>
    <s v="28-07-2023"/>
    <s v="Univ of California Press"/>
    <x v="0"/>
    <n v="0"/>
    <n v="0"/>
    <x v="26"/>
    <x v="0"/>
    <s v="Average"/>
    <n v="0"/>
  </r>
  <r>
    <x v="86"/>
    <x v="71"/>
    <n v="228"/>
    <x v="6"/>
    <s v="05-01-2007"/>
    <s v="Polity"/>
    <x v="0"/>
    <n v="0"/>
    <n v="0"/>
    <x v="15"/>
    <x v="0"/>
    <s v="Average"/>
    <n v="0"/>
  </r>
  <r>
    <x v="87"/>
    <x v="72"/>
    <n v="1117"/>
    <x v="0"/>
    <s v="29-04-2010"/>
    <s v="Cambridge University Press"/>
    <x v="0"/>
    <n v="0"/>
    <n v="0"/>
    <x v="1"/>
    <x v="0"/>
    <s v="Average"/>
    <n v="0"/>
  </r>
  <r>
    <x v="88"/>
    <x v="73"/>
    <n v="263"/>
    <x v="23"/>
    <s v="05-03-2010"/>
    <s v="Broadview Press"/>
    <x v="0"/>
    <n v="0"/>
    <n v="0"/>
    <x v="1"/>
    <x v="0"/>
    <s v="Average"/>
    <n v="0"/>
  </r>
  <r>
    <x v="89"/>
    <x v="74"/>
    <n v="238"/>
    <x v="6"/>
    <s v="01-01-2009"/>
    <s v="Multilingual Matters"/>
    <x v="0"/>
    <n v="0"/>
    <n v="0"/>
    <x v="29"/>
    <x v="0"/>
    <s v="Average"/>
    <n v="0"/>
  </r>
  <r>
    <x v="90"/>
    <x v="75"/>
    <n v="2198"/>
    <x v="6"/>
    <s v="01-05-2003"/>
    <s v="Oxford University Press"/>
    <x v="0"/>
    <n v="5"/>
    <n v="1"/>
    <x v="10"/>
    <x v="2"/>
    <s v="Average"/>
    <n v="5"/>
  </r>
  <r>
    <x v="91"/>
    <x v="76"/>
    <n v="260"/>
    <x v="0"/>
    <s v="21-11-1994"/>
    <s v="Duke University Press"/>
    <x v="0"/>
    <n v="0"/>
    <n v="0"/>
    <x v="30"/>
    <x v="0"/>
    <s v="Average"/>
    <n v="0"/>
  </r>
  <r>
    <x v="92"/>
    <x v="77"/>
    <n v="225"/>
    <x v="0"/>
    <s v="17-02-2016"/>
    <s v="McFarland"/>
    <x v="0"/>
    <n v="0"/>
    <n v="0"/>
    <x v="18"/>
    <x v="0"/>
    <s v="Average"/>
    <n v="0"/>
  </r>
  <r>
    <x v="93"/>
    <x v="78"/>
    <n v="164"/>
    <x v="6"/>
    <s v="01-01-2001"/>
    <s v="Orient Blackswan"/>
    <x v="0"/>
    <n v="0"/>
    <n v="0"/>
    <x v="32"/>
    <x v="0"/>
    <s v="Average"/>
    <n v="0"/>
  </r>
  <r>
    <x v="94"/>
    <x v="79"/>
    <n v="180"/>
    <x v="3"/>
    <s v="14-07-2023"/>
    <s v="Rutgers University Press"/>
    <x v="0"/>
    <n v="0"/>
    <n v="0"/>
    <x v="26"/>
    <x v="0"/>
    <s v="Average"/>
    <n v="0"/>
  </r>
  <r>
    <x v="95"/>
    <x v="80"/>
    <n v="138"/>
    <x v="24"/>
    <s v="01-01-2006"/>
    <s v="LIT Verlag Münster"/>
    <x v="0"/>
    <n v="5"/>
    <n v="1"/>
    <x v="24"/>
    <x v="2"/>
    <s v="Average"/>
    <n v="5"/>
  </r>
  <r>
    <x v="96"/>
    <x v="81"/>
    <n v="243"/>
    <x v="18"/>
    <s v="01-01-2021"/>
    <s v="Boydell &amp; Brewer"/>
    <x v="0"/>
    <n v="0"/>
    <n v="0"/>
    <x v="12"/>
    <x v="0"/>
    <s v="Average"/>
    <n v="0"/>
  </r>
  <r>
    <x v="97"/>
    <x v="82"/>
    <n v="251"/>
    <x v="2"/>
    <s v="01-02-2014"/>
    <s v="Oxford University Press, USA"/>
    <x v="0"/>
    <n v="5"/>
    <n v="1"/>
    <x v="8"/>
    <x v="2"/>
    <s v="Average"/>
    <n v="5"/>
  </r>
  <r>
    <x v="98"/>
    <x v="83"/>
    <n v="247"/>
    <x v="11"/>
    <s v="15-11-2015"/>
    <s v="University of Iowa Press"/>
    <x v="0"/>
    <n v="0"/>
    <n v="0"/>
    <x v="14"/>
    <x v="0"/>
    <s v="Average"/>
    <n v="0"/>
  </r>
  <r>
    <x v="99"/>
    <x v="84"/>
    <n v="230"/>
    <x v="0"/>
    <s v="01-01-1993"/>
    <s v="Rodopi"/>
    <x v="0"/>
    <n v="0"/>
    <n v="0"/>
    <x v="33"/>
    <x v="0"/>
    <s v="Average"/>
    <n v="0"/>
  </r>
  <r>
    <x v="100"/>
    <x v="85"/>
    <n v="2822"/>
    <x v="0"/>
    <s v="29-11-2010"/>
    <s v="Walter de Gruyter"/>
    <x v="0"/>
    <n v="0"/>
    <n v="0"/>
    <x v="1"/>
    <x v="0"/>
    <s v="Average"/>
    <n v="0"/>
  </r>
  <r>
    <x v="101"/>
    <x v="86"/>
    <n v="643"/>
    <x v="0"/>
    <s v="11-06-2018"/>
    <s v="Walter de Gruyter GmbH &amp; Co KG"/>
    <x v="0"/>
    <n v="0"/>
    <n v="0"/>
    <x v="7"/>
    <x v="0"/>
    <s v="Average"/>
    <n v="0"/>
  </r>
  <r>
    <x v="102"/>
    <x v="87"/>
    <n v="271"/>
    <x v="0"/>
    <s v="09-06-2018"/>
    <s v="McFarland"/>
    <x v="0"/>
    <n v="0"/>
    <n v="0"/>
    <x v="7"/>
    <x v="0"/>
    <s v="Average"/>
    <n v="0"/>
  </r>
  <r>
    <x v="103"/>
    <x v="88"/>
    <n v="288"/>
    <x v="0"/>
    <s v="24-10-2023"/>
    <s v="Walter de Gruyter GmbH &amp; Co KG"/>
    <x v="0"/>
    <n v="0"/>
    <n v="0"/>
    <x v="26"/>
    <x v="0"/>
    <s v="Average"/>
    <n v="0"/>
  </r>
  <r>
    <x v="104"/>
    <x v="89"/>
    <n v="527"/>
    <x v="6"/>
    <s v="30-12-2024"/>
    <s v="Walter de Gruyter GmbH &amp; Co KG"/>
    <x v="0"/>
    <n v="0"/>
    <n v="0"/>
    <x v="16"/>
    <x v="0"/>
    <s v="Average"/>
    <n v="0"/>
  </r>
  <r>
    <x v="105"/>
    <x v="90"/>
    <n v="281"/>
    <x v="0"/>
    <s v="04-04-2023"/>
    <s v="University of Pennsylvania Press"/>
    <x v="0"/>
    <n v="0"/>
    <n v="0"/>
    <x v="26"/>
    <x v="0"/>
    <s v="Average"/>
    <n v="0"/>
  </r>
  <r>
    <x v="106"/>
    <x v="91"/>
    <n v="253"/>
    <x v="0"/>
    <s v="28-06-2006"/>
    <s v="Springer"/>
    <x v="0"/>
    <n v="0"/>
    <n v="0"/>
    <x v="24"/>
    <x v="0"/>
    <s v="Average"/>
    <n v="0"/>
  </r>
  <r>
    <x v="107"/>
    <x v="92"/>
    <n v="291"/>
    <x v="0"/>
    <s v="23-09-2016"/>
    <s v="Springer"/>
    <x v="0"/>
    <n v="0"/>
    <n v="0"/>
    <x v="18"/>
    <x v="0"/>
    <s v="Average"/>
    <n v="0"/>
  </r>
  <r>
    <x v="108"/>
    <x v="93"/>
    <n v="282"/>
    <x v="0"/>
    <s v="25-08-2020"/>
    <s v="Springer Nature"/>
    <x v="0"/>
    <n v="0"/>
    <n v="0"/>
    <x v="17"/>
    <x v="0"/>
    <s v="Average"/>
    <n v="0"/>
  </r>
  <r>
    <x v="109"/>
    <x v="94"/>
    <n v="1105"/>
    <x v="25"/>
    <s v="18-08-2010"/>
    <s v="SAGE"/>
    <x v="0"/>
    <n v="0"/>
    <n v="0"/>
    <x v="1"/>
    <x v="0"/>
    <s v="Average"/>
    <n v="0"/>
  </r>
  <r>
    <x v="110"/>
    <x v="95"/>
    <n v="207"/>
    <x v="5"/>
    <s v="28-11-2011"/>
    <s v="Universitat de València"/>
    <x v="0"/>
    <n v="0"/>
    <n v="0"/>
    <x v="27"/>
    <x v="0"/>
    <s v="Average"/>
    <n v="0"/>
  </r>
  <r>
    <x v="111"/>
    <x v="96"/>
    <n v="245"/>
    <x v="0"/>
    <s v="29-01-2016"/>
    <s v="Routledge"/>
    <x v="0"/>
    <n v="0"/>
    <n v="0"/>
    <x v="18"/>
    <x v="0"/>
    <s v="Average"/>
    <n v="0"/>
  </r>
  <r>
    <x v="112"/>
    <x v="97"/>
    <n v="178"/>
    <x v="26"/>
    <s v="24-07-2013"/>
    <s v="Routledge"/>
    <x v="0"/>
    <n v="0"/>
    <n v="0"/>
    <x v="28"/>
    <x v="0"/>
    <s v="Average"/>
    <n v="0"/>
  </r>
  <r>
    <x v="113"/>
    <x v="98"/>
    <n v="185"/>
    <x v="7"/>
    <s v="11-09-2009"/>
    <s v="MIT Press"/>
    <x v="0"/>
    <n v="0"/>
    <n v="0"/>
    <x v="29"/>
    <x v="0"/>
    <s v="Average"/>
    <n v="0"/>
  </r>
  <r>
    <x v="114"/>
    <x v="99"/>
    <n v="225"/>
    <x v="11"/>
    <s v="23-03-2007"/>
    <s v="John Wiley &amp; Sons"/>
    <x v="0"/>
    <n v="0"/>
    <n v="0"/>
    <x v="15"/>
    <x v="0"/>
    <s v="Average"/>
    <n v="0"/>
  </r>
  <r>
    <x v="115"/>
    <x v="100"/>
    <n v="328"/>
    <x v="27"/>
    <s v="18-12-2018"/>
    <s v="Dark Horse Comics"/>
    <x v="0"/>
    <n v="0"/>
    <n v="0"/>
    <x v="7"/>
    <x v="0"/>
    <s v="Average"/>
    <n v="0"/>
  </r>
  <r>
    <x v="116"/>
    <x v="101"/>
    <n v="274"/>
    <x v="6"/>
    <s v="24-10-2013"/>
    <s v="Springer"/>
    <x v="0"/>
    <n v="0"/>
    <n v="0"/>
    <x v="28"/>
    <x v="0"/>
    <s v="Average"/>
    <n v="0"/>
  </r>
  <r>
    <x v="117"/>
    <x v="102"/>
    <n v="239"/>
    <x v="0"/>
    <s v="11-08-2015"/>
    <s v="Routledge"/>
    <x v="0"/>
    <n v="0"/>
    <n v="0"/>
    <x v="14"/>
    <x v="0"/>
    <s v="Average"/>
    <n v="0"/>
  </r>
  <r>
    <x v="118"/>
    <x v="103"/>
    <n v="236"/>
    <x v="27"/>
    <s v="30-07-2008"/>
    <s v="AuthorHouse"/>
    <x v="0"/>
    <n v="3"/>
    <n v="1"/>
    <x v="5"/>
    <x v="1"/>
    <s v="Average"/>
    <n v="3"/>
  </r>
  <r>
    <x v="119"/>
    <x v="104"/>
    <n v="338"/>
    <x v="2"/>
    <s v="20-08-2024"/>
    <s v="Pyr"/>
    <x v="0"/>
    <n v="0"/>
    <n v="0"/>
    <x v="16"/>
    <x v="0"/>
    <s v="Average"/>
    <n v="0"/>
  </r>
  <r>
    <x v="120"/>
    <x v="105"/>
    <n v="242"/>
    <x v="28"/>
    <s v="01-01-2013"/>
    <s v="Routledge"/>
    <x v="0"/>
    <n v="0"/>
    <n v="0"/>
    <x v="28"/>
    <x v="0"/>
    <s v="Average"/>
    <n v="0"/>
  </r>
  <r>
    <x v="121"/>
    <x v="104"/>
    <n v="342"/>
    <x v="2"/>
    <s v="15-10-2024"/>
    <s v="Pyr"/>
    <x v="0"/>
    <n v="0"/>
    <n v="0"/>
    <x v="16"/>
    <x v="0"/>
    <s v="Average"/>
    <n v="0"/>
  </r>
  <r>
    <x v="122"/>
    <x v="106"/>
    <n v="297"/>
    <x v="0"/>
    <s v="26-01-2012"/>
    <s v="Cambridge University Press"/>
    <x v="0"/>
    <n v="0"/>
    <n v="0"/>
    <x v="9"/>
    <x v="0"/>
    <s v="Average"/>
    <n v="0"/>
  </r>
  <r>
    <x v="123"/>
    <x v="107"/>
    <n v="579"/>
    <x v="0"/>
    <s v="12-06-2023"/>
    <s v="Rowman &amp; Littlefield"/>
    <x v="0"/>
    <n v="0"/>
    <n v="0"/>
    <x v="26"/>
    <x v="0"/>
    <s v="Average"/>
    <n v="0"/>
  </r>
  <r>
    <x v="124"/>
    <x v="108"/>
    <n v="231"/>
    <x v="0"/>
    <s v="11-05-2020"/>
    <s v="Wipf and Stock Publishers"/>
    <x v="0"/>
    <n v="0"/>
    <n v="0"/>
    <x v="17"/>
    <x v="0"/>
    <s v="Average"/>
    <n v="0"/>
  </r>
  <r>
    <x v="125"/>
    <x v="109"/>
    <n v="454"/>
    <x v="29"/>
    <s v="11-12-2018"/>
    <s v="Dark Horse Comics"/>
    <x v="0"/>
    <n v="0"/>
    <n v="0"/>
    <x v="7"/>
    <x v="0"/>
    <s v="Average"/>
    <n v="0"/>
  </r>
  <r>
    <x v="126"/>
    <x v="110"/>
    <n v="203"/>
    <x v="5"/>
    <s v="03-06-2016"/>
    <s v="Routledge"/>
    <x v="0"/>
    <n v="0"/>
    <n v="0"/>
    <x v="18"/>
    <x v="0"/>
    <s v="Average"/>
    <n v="0"/>
  </r>
  <r>
    <x v="127"/>
    <x v="111"/>
    <n v="196"/>
    <x v="29"/>
    <s v="13-08-2024"/>
    <s v="Seven Seas Entertainment"/>
    <x v="0"/>
    <n v="0"/>
    <n v="0"/>
    <x v="16"/>
    <x v="0"/>
    <s v="Average"/>
    <n v="0"/>
  </r>
  <r>
    <x v="128"/>
    <x v="112"/>
    <n v="166"/>
    <x v="3"/>
    <s v="19-02-2025"/>
    <s v="Publifye AS"/>
    <x v="0"/>
    <n v="0"/>
    <n v="0"/>
    <x v="34"/>
    <x v="0"/>
    <s v="Average"/>
    <n v="0"/>
  </r>
  <r>
    <x v="129"/>
    <x v="113"/>
    <n v="164"/>
    <x v="27"/>
    <s v="01-01-2009"/>
    <s v="Sam Hendricks"/>
    <x v="0"/>
    <n v="0"/>
    <n v="0"/>
    <x v="29"/>
    <x v="0"/>
    <s v="Average"/>
    <n v="0"/>
  </r>
  <r>
    <x v="130"/>
    <x v="114"/>
    <n v="107"/>
    <x v="26"/>
    <s v="14-03-2025"/>
    <s v="Barrett Williams"/>
    <x v="0"/>
    <n v="0"/>
    <n v="0"/>
    <x v="34"/>
    <x v="0"/>
    <s v="Average"/>
    <n v="0"/>
  </r>
  <r>
    <x v="131"/>
    <x v="115"/>
    <n v="242"/>
    <x v="30"/>
    <s v="07-09-2023"/>
    <s v="Frances Lincoln Children's Books"/>
    <x v="0"/>
    <n v="0"/>
    <n v="0"/>
    <x v="26"/>
    <x v="0"/>
    <s v="Average"/>
    <n v="0"/>
  </r>
  <r>
    <x v="132"/>
    <x v="116"/>
    <n v="156"/>
    <x v="30"/>
    <s v="10-03-2025"/>
    <s v="Publifye AS"/>
    <x v="0"/>
    <n v="0"/>
    <n v="0"/>
    <x v="34"/>
    <x v="0"/>
    <s v="Average"/>
    <n v="0"/>
  </r>
  <r>
    <x v="133"/>
    <x v="117"/>
    <n v="337"/>
    <x v="6"/>
    <s v="30-04-2008"/>
    <s v="Wesleyan University Press"/>
    <x v="0"/>
    <n v="0"/>
    <n v="0"/>
    <x v="5"/>
    <x v="0"/>
    <s v="Average"/>
    <n v="0"/>
  </r>
  <r>
    <x v="134"/>
    <x v="118"/>
    <n v="332"/>
    <x v="28"/>
    <s v="01-01-1972"/>
    <s v="Crown"/>
    <x v="0"/>
    <n v="0"/>
    <n v="0"/>
    <x v="35"/>
    <x v="0"/>
    <s v="Average"/>
    <n v="0"/>
  </r>
  <r>
    <x v="135"/>
    <x v="119"/>
    <n v="195"/>
    <x v="30"/>
    <s v="01-09-2009"/>
    <s v="Chartwell"/>
    <x v="0"/>
    <n v="0"/>
    <n v="0"/>
    <x v="29"/>
    <x v="0"/>
    <s v="Average"/>
    <n v="0"/>
  </r>
  <r>
    <x v="136"/>
    <x v="120"/>
    <n v="710"/>
    <x v="0"/>
    <s v="01-01-1993"/>
    <s v="Burns &amp; Oates"/>
    <x v="0"/>
    <n v="0"/>
    <n v="0"/>
    <x v="33"/>
    <x v="0"/>
    <s v="Average"/>
    <n v="0"/>
  </r>
  <r>
    <x v="137"/>
    <x v="121"/>
    <n v="274"/>
    <x v="27"/>
    <s v="01-01-1999"/>
    <s v="BradyGames"/>
    <x v="0"/>
    <n v="4.5"/>
    <n v="2"/>
    <x v="36"/>
    <x v="2"/>
    <s v="Average"/>
    <n v="9"/>
  </r>
  <r>
    <x v="138"/>
    <x v="122"/>
    <n v="126"/>
    <x v="25"/>
    <s v="19-02-2025"/>
    <s v="Publifye AS"/>
    <x v="0"/>
    <n v="0"/>
    <n v="0"/>
    <x v="34"/>
    <x v="0"/>
    <s v="Average"/>
    <n v="0"/>
  </r>
  <r>
    <x v="139"/>
    <x v="123"/>
    <n v="297"/>
    <x v="0"/>
    <s v="29-04-2015"/>
    <s v="eBookIt.com"/>
    <x v="0"/>
    <n v="0"/>
    <n v="0"/>
    <x v="14"/>
    <x v="0"/>
    <s v="Average"/>
    <n v="0"/>
  </r>
  <r>
    <x v="140"/>
    <x v="124"/>
    <n v="480"/>
    <x v="31"/>
    <s v="28-11-2006"/>
    <s v="iUniverse"/>
    <x v="0"/>
    <n v="0"/>
    <n v="0"/>
    <x v="24"/>
    <x v="0"/>
    <s v="Average"/>
    <n v="0"/>
  </r>
  <r>
    <x v="141"/>
    <x v="125"/>
    <n v="293"/>
    <x v="31"/>
    <s v="29-08-2023"/>
    <s v="Rowman &amp; Littlefield"/>
    <x v="0"/>
    <n v="0"/>
    <n v="0"/>
    <x v="26"/>
    <x v="0"/>
    <s v="Average"/>
    <n v="0"/>
  </r>
  <r>
    <x v="142"/>
    <x v="126"/>
    <n v="74"/>
    <x v="18"/>
    <s v="24-10-2019"/>
    <s v="Storizen Media"/>
    <x v="0"/>
    <n v="0"/>
    <n v="0"/>
    <x v="20"/>
    <x v="0"/>
    <s v="Average"/>
    <n v="0"/>
  </r>
  <r>
    <x v="143"/>
    <x v="127"/>
    <n v="222"/>
    <x v="2"/>
    <s v="07-04-2025"/>
    <s v="Kate Bold"/>
    <x v="0"/>
    <n v="0"/>
    <n v="0"/>
    <x v="34"/>
    <x v="0"/>
    <s v="Average"/>
    <n v="0"/>
  </r>
  <r>
    <x v="144"/>
    <x v="128"/>
    <n v="198"/>
    <x v="25"/>
    <s v="18-09-2015"/>
    <s v="diplom.de"/>
    <x v="0"/>
    <n v="0"/>
    <n v="0"/>
    <x v="14"/>
    <x v="0"/>
    <s v="Average"/>
    <n v="0"/>
  </r>
  <r>
    <x v="145"/>
    <x v="129"/>
    <n v="220"/>
    <x v="2"/>
    <s v="27-06-2023"/>
    <s v="Rylie Dark"/>
    <x v="0"/>
    <n v="0"/>
    <n v="0"/>
    <x v="26"/>
    <x v="0"/>
    <s v="Average"/>
    <n v="0"/>
  </r>
  <r>
    <x v="146"/>
    <x v="130"/>
    <n v="192"/>
    <x v="2"/>
    <s v="01-01-2005"/>
    <s v="Psychology Press"/>
    <x v="0"/>
    <n v="0"/>
    <n v="0"/>
    <x v="25"/>
    <x v="0"/>
    <s v="Average"/>
    <n v="0"/>
  </r>
  <r>
    <x v="147"/>
    <x v="131"/>
    <n v="335"/>
    <x v="31"/>
    <s v="30-06-2025"/>
    <s v="CRC Press"/>
    <x v="0"/>
    <n v="0"/>
    <n v="0"/>
    <x v="34"/>
    <x v="0"/>
    <s v="Average"/>
    <n v="0"/>
  </r>
  <r>
    <x v="148"/>
    <x v="132"/>
    <n v="321"/>
    <x v="32"/>
    <s v="17-10-2018"/>
    <s v="Springer"/>
    <x v="0"/>
    <n v="0"/>
    <n v="0"/>
    <x v="7"/>
    <x v="0"/>
    <s v="Average"/>
    <n v="0"/>
  </r>
  <r>
    <x v="149"/>
    <x v="129"/>
    <n v="232"/>
    <x v="2"/>
    <s v="09-01-2024"/>
    <s v="Rylie Dark"/>
    <x v="0"/>
    <n v="0"/>
    <n v="0"/>
    <x v="16"/>
    <x v="0"/>
    <s v="Average"/>
    <n v="0"/>
  </r>
  <r>
    <x v="150"/>
    <x v="133"/>
    <n v="232"/>
    <x v="2"/>
    <s v="02-05-2023"/>
    <s v="Molly Black"/>
    <x v="0"/>
    <n v="0"/>
    <n v="0"/>
    <x v="26"/>
    <x v="0"/>
    <s v="Average"/>
    <n v="0"/>
  </r>
  <r>
    <x v="151"/>
    <x v="134"/>
    <n v="480"/>
    <x v="31"/>
    <s v="28-10-2013"/>
    <s v="Taylor &amp; Francis"/>
    <x v="0"/>
    <n v="0"/>
    <n v="0"/>
    <x v="28"/>
    <x v="0"/>
    <s v="Average"/>
    <n v="0"/>
  </r>
  <r>
    <x v="152"/>
    <x v="135"/>
    <n v="225"/>
    <x v="2"/>
    <s v="28-02-2025"/>
    <s v="Jack Mars"/>
    <x v="0"/>
    <n v="0"/>
    <n v="0"/>
    <x v="34"/>
    <x v="0"/>
    <s v="Average"/>
    <n v="0"/>
  </r>
  <r>
    <x v="153"/>
    <x v="129"/>
    <n v="233"/>
    <x v="2"/>
    <s v="29-02-2024"/>
    <s v="Rylie Dark"/>
    <x v="0"/>
    <n v="0"/>
    <n v="0"/>
    <x v="16"/>
    <x v="0"/>
    <s v="Average"/>
    <n v="0"/>
  </r>
  <r>
    <x v="154"/>
    <x v="136"/>
    <n v="142"/>
    <x v="33"/>
    <s v="01-01-2005"/>
    <s v="Trafford Publishing"/>
    <x v="0"/>
    <n v="0"/>
    <n v="0"/>
    <x v="25"/>
    <x v="0"/>
    <s v="Average"/>
    <n v="0"/>
  </r>
  <r>
    <x v="155"/>
    <x v="137"/>
    <n v="403"/>
    <x v="34"/>
    <s v="28-04-2015"/>
    <s v="Ashgate Publishing, Ltd."/>
    <x v="0"/>
    <n v="0"/>
    <n v="0"/>
    <x v="14"/>
    <x v="0"/>
    <s v="Average"/>
    <n v="0"/>
  </r>
  <r>
    <x v="156"/>
    <x v="138"/>
    <n v="80"/>
    <x v="35"/>
    <s v="10-12-1967"/>
    <s v="All India Radio (AIR),New Delhi"/>
    <x v="0"/>
    <n v="0"/>
    <n v="0"/>
    <x v="37"/>
    <x v="0"/>
    <s v="Average"/>
    <n v="0"/>
  </r>
  <r>
    <x v="157"/>
    <x v="139"/>
    <n v="332"/>
    <x v="3"/>
    <s v="01-01-1983"/>
    <s v="Popular Press"/>
    <x v="0"/>
    <n v="0"/>
    <n v="0"/>
    <x v="38"/>
    <x v="0"/>
    <s v="Average"/>
    <n v="0"/>
  </r>
  <r>
    <x v="158"/>
    <x v="140"/>
    <n v="387"/>
    <x v="3"/>
    <s v="14-10-2008"/>
    <s v="Rodale"/>
    <x v="0"/>
    <n v="0"/>
    <n v="0"/>
    <x v="5"/>
    <x v="0"/>
    <s v="Average"/>
    <n v="0"/>
  </r>
  <r>
    <x v="159"/>
    <x v="141"/>
    <n v="576"/>
    <x v="0"/>
    <s v="25-04-2012"/>
    <s v="Cambridge Scholars Publishing"/>
    <x v="0"/>
    <n v="0"/>
    <n v="0"/>
    <x v="9"/>
    <x v="0"/>
    <s v="Average"/>
    <n v="0"/>
  </r>
  <r>
    <x v="160"/>
    <x v="142"/>
    <n v="192"/>
    <x v="19"/>
    <s v="13-08-2012"/>
    <s v="Wise Publications"/>
    <x v="0"/>
    <n v="0"/>
    <n v="0"/>
    <x v="9"/>
    <x v="0"/>
    <s v="Average"/>
    <n v="0"/>
  </r>
  <r>
    <x v="161"/>
    <x v="133"/>
    <n v="279"/>
    <x v="2"/>
    <s v="03-09-2024"/>
    <s v="Molly Black"/>
    <x v="0"/>
    <n v="0"/>
    <n v="0"/>
    <x v="16"/>
    <x v="0"/>
    <s v="Average"/>
    <n v="0"/>
  </r>
  <r>
    <x v="162"/>
    <x v="143"/>
    <n v="208"/>
    <x v="2"/>
    <s v="13-08-2017"/>
    <s v="CJ Lyons+ORM"/>
    <x v="0"/>
    <n v="0"/>
    <n v="0"/>
    <x v="3"/>
    <x v="0"/>
    <s v="Average"/>
    <n v="0"/>
  </r>
  <r>
    <x v="163"/>
    <x v="144"/>
    <n v="307"/>
    <x v="5"/>
    <s v="12-09-2023"/>
    <s v="Springer Nature"/>
    <x v="0"/>
    <n v="0"/>
    <n v="0"/>
    <x v="26"/>
    <x v="0"/>
    <s v="Average"/>
    <n v="0"/>
  </r>
  <r>
    <x v="164"/>
    <x v="143"/>
    <n v="290"/>
    <x v="2"/>
    <s v="29-04-2016"/>
    <s v="CJ Lyons+ORM"/>
    <x v="0"/>
    <n v="0"/>
    <n v="0"/>
    <x v="18"/>
    <x v="0"/>
    <s v="Average"/>
    <n v="0"/>
  </r>
  <r>
    <x v="165"/>
    <x v="143"/>
    <n v="347"/>
    <x v="2"/>
    <s v="01-07-2016"/>
    <s v="EdgyReads"/>
    <x v="0"/>
    <n v="0"/>
    <n v="0"/>
    <x v="18"/>
    <x v="0"/>
    <s v="Average"/>
    <n v="0"/>
  </r>
  <r>
    <x v="166"/>
    <x v="145"/>
    <n v="372"/>
    <x v="6"/>
    <s v="01-01-2000"/>
    <s v="Psychology Press"/>
    <x v="0"/>
    <n v="0"/>
    <n v="0"/>
    <x v="23"/>
    <x v="0"/>
    <s v="Average"/>
    <n v="0"/>
  </r>
  <r>
    <x v="167"/>
    <x v="135"/>
    <n v="245"/>
    <x v="2"/>
    <s v="13-05-2024"/>
    <s v="Jack Mars"/>
    <x v="0"/>
    <n v="0"/>
    <n v="0"/>
    <x v="16"/>
    <x v="0"/>
    <s v="Average"/>
    <n v="0"/>
  </r>
  <r>
    <x v="168"/>
    <x v="146"/>
    <n v="41"/>
    <x v="12"/>
    <s v="06-01-2017"/>
    <s v="christianity"/>
    <x v="0"/>
    <n v="0"/>
    <n v="0"/>
    <x v="3"/>
    <x v="0"/>
    <s v="Average"/>
    <n v="0"/>
  </r>
  <r>
    <x v="169"/>
    <x v="147"/>
    <n v="49"/>
    <x v="36"/>
    <s v="04-01-2017"/>
    <s v="bestsellers"/>
    <x v="0"/>
    <n v="0"/>
    <n v="0"/>
    <x v="3"/>
    <x v="0"/>
    <s v="Average"/>
    <n v="0"/>
  </r>
  <r>
    <x v="170"/>
    <x v="148"/>
    <n v="424"/>
    <x v="11"/>
    <s v="01-01-2002"/>
    <s v="Sarup &amp; Sons"/>
    <x v="0"/>
    <n v="4"/>
    <n v="6"/>
    <x v="6"/>
    <x v="2"/>
    <s v="Average"/>
    <n v="24"/>
  </r>
  <r>
    <x v="171"/>
    <x v="149"/>
    <n v="371"/>
    <x v="17"/>
    <s v="07-05-2008"/>
    <s v="Springer Science &amp; Business Media"/>
    <x v="0"/>
    <n v="0"/>
    <n v="0"/>
    <x v="5"/>
    <x v="0"/>
    <s v="Average"/>
    <n v="0"/>
  </r>
  <r>
    <x v="172"/>
    <x v="150"/>
    <n v="161"/>
    <x v="8"/>
    <s v="01-11-2002"/>
    <s v="Routledge"/>
    <x v="0"/>
    <n v="0"/>
    <n v="0"/>
    <x v="6"/>
    <x v="0"/>
    <s v="Average"/>
    <n v="0"/>
  </r>
  <r>
    <x v="173"/>
    <x v="151"/>
    <n v="657"/>
    <x v="7"/>
    <s v="01-01-2017"/>
    <s v="Oxford University Press"/>
    <x v="0"/>
    <n v="0"/>
    <n v="0"/>
    <x v="3"/>
    <x v="0"/>
    <s v="Average"/>
    <n v="0"/>
  </r>
  <r>
    <x v="174"/>
    <x v="152"/>
    <n v="496"/>
    <x v="37"/>
    <s v="01-01-2008"/>
    <s v="Concept Publishing Company"/>
    <x v="0"/>
    <n v="0"/>
    <n v="0"/>
    <x v="5"/>
    <x v="0"/>
    <s v="Average"/>
    <n v="0"/>
  </r>
  <r>
    <x v="175"/>
    <x v="153"/>
    <n v="281"/>
    <x v="13"/>
    <s v="01-10-2018"/>
    <s v="Cambridge Scholars Publishing"/>
    <x v="0"/>
    <n v="0"/>
    <n v="0"/>
    <x v="7"/>
    <x v="0"/>
    <s v="Average"/>
    <n v="0"/>
  </r>
  <r>
    <x v="176"/>
    <x v="154"/>
    <n v="298"/>
    <x v="7"/>
    <s v="22-10-2010"/>
    <s v="Open Court"/>
    <x v="0"/>
    <n v="5"/>
    <n v="1"/>
    <x v="1"/>
    <x v="2"/>
    <s v="Average"/>
    <n v="5"/>
  </r>
  <r>
    <x v="177"/>
    <x v="155"/>
    <n v="271"/>
    <x v="38"/>
    <s v="05-08-2016"/>
    <s v="Routledge"/>
    <x v="0"/>
    <n v="0"/>
    <n v="0"/>
    <x v="18"/>
    <x v="0"/>
    <s v="Average"/>
    <n v="0"/>
  </r>
  <r>
    <x v="178"/>
    <x v="156"/>
    <n v="290"/>
    <x v="7"/>
    <s v="01-10-2010"/>
    <s v="University of Illinois Press"/>
    <x v="0"/>
    <n v="5"/>
    <n v="1"/>
    <x v="1"/>
    <x v="2"/>
    <s v="Average"/>
    <n v="5"/>
  </r>
  <r>
    <x v="179"/>
    <x v="157"/>
    <n v="286"/>
    <x v="7"/>
    <s v="31-10-2017"/>
    <s v="Princeton University Press"/>
    <x v="0"/>
    <n v="0"/>
    <n v="0"/>
    <x v="3"/>
    <x v="0"/>
    <s v="Average"/>
    <n v="0"/>
  </r>
  <r>
    <x v="180"/>
    <x v="158"/>
    <n v="293"/>
    <x v="3"/>
    <s v="01-02-2012"/>
    <s v="State University of New York Press"/>
    <x v="0"/>
    <n v="0"/>
    <n v="0"/>
    <x v="9"/>
    <x v="0"/>
    <s v="Average"/>
    <n v="0"/>
  </r>
  <r>
    <x v="181"/>
    <x v="159"/>
    <n v="259"/>
    <x v="20"/>
    <s v="01-01-2014"/>
    <s v="Britannica Educational Publishing"/>
    <x v="0"/>
    <n v="0"/>
    <n v="0"/>
    <x v="8"/>
    <x v="0"/>
    <s v="Average"/>
    <n v="0"/>
  </r>
  <r>
    <x v="182"/>
    <x v="160"/>
    <n v="402"/>
    <x v="8"/>
    <s v="01-01-2008"/>
    <s v="Rodopi"/>
    <x v="0"/>
    <n v="0"/>
    <n v="0"/>
    <x v="5"/>
    <x v="0"/>
    <s v="Average"/>
    <n v="0"/>
  </r>
  <r>
    <x v="183"/>
    <x v="161"/>
    <n v="334"/>
    <x v="7"/>
    <s v="29-04-1983"/>
    <s v="Cambridge University Press"/>
    <x v="0"/>
    <n v="0"/>
    <n v="0"/>
    <x v="38"/>
    <x v="0"/>
    <s v="Average"/>
    <n v="0"/>
  </r>
  <r>
    <x v="184"/>
    <x v="162"/>
    <n v="131"/>
    <x v="20"/>
    <s v="15-12-2012"/>
    <s v="The Rosen Publishing Group, Inc"/>
    <x v="0"/>
    <n v="0"/>
    <n v="0"/>
    <x v="9"/>
    <x v="0"/>
    <s v="Average"/>
    <n v="0"/>
  </r>
  <r>
    <x v="185"/>
    <x v="163"/>
    <n v="214"/>
    <x v="7"/>
    <s v="31-05-2023"/>
    <s v="Springer Nature"/>
    <x v="0"/>
    <n v="0"/>
    <n v="0"/>
    <x v="26"/>
    <x v="0"/>
    <s v="Average"/>
    <n v="0"/>
  </r>
  <r>
    <x v="186"/>
    <x v="164"/>
    <n v="295"/>
    <x v="7"/>
    <s v="18-09-2024"/>
    <s v="John Wiley &amp; Sons"/>
    <x v="0"/>
    <n v="0"/>
    <n v="0"/>
    <x v="16"/>
    <x v="0"/>
    <s v="Average"/>
    <n v="0"/>
  </r>
  <r>
    <x v="187"/>
    <x v="165"/>
    <n v="264"/>
    <x v="6"/>
    <s v="01-01-2000"/>
    <s v="Psychology Press"/>
    <x v="0"/>
    <n v="0"/>
    <n v="0"/>
    <x v="23"/>
    <x v="0"/>
    <s v="Average"/>
    <n v="0"/>
  </r>
  <r>
    <x v="188"/>
    <x v="166"/>
    <n v="340"/>
    <x v="7"/>
    <s v="01-03-2002"/>
    <s v="John Wiley &amp; Sons"/>
    <x v="0"/>
    <n v="0"/>
    <n v="0"/>
    <x v="6"/>
    <x v="0"/>
    <s v="Average"/>
    <n v="0"/>
  </r>
  <r>
    <x v="189"/>
    <x v="167"/>
    <n v="268"/>
    <x v="12"/>
    <s v="05-07-2011"/>
    <s v="Wipf and Stock Publishers"/>
    <x v="0"/>
    <n v="0"/>
    <n v="0"/>
    <x v="27"/>
    <x v="0"/>
    <s v="Average"/>
    <n v="0"/>
  </r>
  <r>
    <x v="190"/>
    <x v="168"/>
    <n v="338"/>
    <x v="7"/>
    <s v="28-05-2008"/>
    <s v="Indiana University Press"/>
    <x v="0"/>
    <n v="0"/>
    <n v="0"/>
    <x v="5"/>
    <x v="0"/>
    <s v="Average"/>
    <n v="0"/>
  </r>
  <r>
    <x v="191"/>
    <x v="169"/>
    <n v="130"/>
    <x v="7"/>
    <s v="03-11-2022"/>
    <s v="Hachette UK"/>
    <x v="0"/>
    <n v="0"/>
    <n v="0"/>
    <x v="13"/>
    <x v="0"/>
    <s v="Average"/>
    <n v="0"/>
  </r>
  <r>
    <x v="192"/>
    <x v="170"/>
    <n v="629"/>
    <x v="19"/>
    <s v="26-06-2008"/>
    <s v="Oxford University Press"/>
    <x v="0"/>
    <n v="0"/>
    <n v="0"/>
    <x v="5"/>
    <x v="0"/>
    <s v="Average"/>
    <n v="0"/>
  </r>
  <r>
    <x v="193"/>
    <x v="171"/>
    <n v="292"/>
    <x v="7"/>
    <s v="01-01-1978"/>
    <s v="University of Virginia Press"/>
    <x v="0"/>
    <n v="0"/>
    <n v="0"/>
    <x v="39"/>
    <x v="0"/>
    <s v="Average"/>
    <n v="0"/>
  </r>
  <r>
    <x v="194"/>
    <x v="172"/>
    <n v="367"/>
    <x v="17"/>
    <s v="01-01-1999"/>
    <s v="Clarendon Press"/>
    <x v="0"/>
    <n v="0"/>
    <n v="0"/>
    <x v="36"/>
    <x v="0"/>
    <s v="Average"/>
    <n v="0"/>
  </r>
  <r>
    <x v="195"/>
    <x v="173"/>
    <n v="977"/>
    <x v="28"/>
    <s v="01-01-2014"/>
    <s v="Oxford University Press, USA"/>
    <x v="0"/>
    <n v="0"/>
    <n v="0"/>
    <x v="8"/>
    <x v="0"/>
    <s v="Average"/>
    <n v="0"/>
  </r>
  <r>
    <x v="196"/>
    <x v="174"/>
    <n v="410"/>
    <x v="28"/>
    <s v="01-01-1907"/>
    <s v="New York : C. Scribner's sons"/>
    <x v="0"/>
    <n v="0"/>
    <n v="0"/>
    <x v="40"/>
    <x v="0"/>
    <s v="Average"/>
    <n v="0"/>
  </r>
  <r>
    <x v="197"/>
    <x v="175"/>
    <n v="793"/>
    <x v="28"/>
    <s v="19-03-2024"/>
    <s v="SAGE Publications Limited"/>
    <x v="0"/>
    <n v="0"/>
    <n v="0"/>
    <x v="16"/>
    <x v="0"/>
    <s v="Average"/>
    <n v="0"/>
  </r>
  <r>
    <x v="198"/>
    <x v="176"/>
    <n v="640"/>
    <x v="28"/>
    <s v="29-06-2013"/>
    <s v="Springer Science &amp; Business Media"/>
    <x v="0"/>
    <n v="0"/>
    <n v="0"/>
    <x v="28"/>
    <x v="0"/>
    <s v="Average"/>
    <n v="0"/>
  </r>
  <r>
    <x v="199"/>
    <x v="177"/>
    <n v="278"/>
    <x v="11"/>
    <s v="28-10-2010"/>
    <s v="Springer Science &amp; Business Media"/>
    <x v="0"/>
    <n v="0"/>
    <n v="0"/>
    <x v="1"/>
    <x v="0"/>
    <s v="Average"/>
    <n v="0"/>
  </r>
  <r>
    <x v="200"/>
    <x v="178"/>
    <n v="287"/>
    <x v="28"/>
    <s v="24-04-2003"/>
    <s v="SAGE"/>
    <x v="0"/>
    <n v="0"/>
    <n v="0"/>
    <x v="10"/>
    <x v="0"/>
    <s v="Average"/>
    <n v="0"/>
  </r>
  <r>
    <x v="201"/>
    <x v="179"/>
    <n v="532"/>
    <x v="28"/>
    <s v="22-03-2012"/>
    <s v="John Wiley &amp; Sons"/>
    <x v="0"/>
    <n v="0"/>
    <n v="0"/>
    <x v="9"/>
    <x v="0"/>
    <s v="Average"/>
    <n v="0"/>
  </r>
  <r>
    <x v="202"/>
    <x v="180"/>
    <m/>
    <x v="28"/>
    <s v="07-01-2020"/>
    <s v="Cengage Learning"/>
    <x v="0"/>
    <n v="0"/>
    <n v="0"/>
    <x v="17"/>
    <x v="0"/>
    <s v="Average"/>
    <n v="0"/>
  </r>
  <r>
    <x v="203"/>
    <x v="181"/>
    <n v="260"/>
    <x v="28"/>
    <s v="14-03-2025"/>
    <s v="Springer Nature"/>
    <x v="0"/>
    <n v="0"/>
    <n v="0"/>
    <x v="34"/>
    <x v="0"/>
    <s v="Average"/>
    <n v="0"/>
  </r>
  <r>
    <x v="204"/>
    <x v="182"/>
    <n v="267"/>
    <x v="28"/>
    <s v="10-07-2014"/>
    <s v="Springer"/>
    <x v="0"/>
    <n v="0"/>
    <n v="0"/>
    <x v="8"/>
    <x v="0"/>
    <s v="Average"/>
    <n v="0"/>
  </r>
  <r>
    <x v="205"/>
    <x v="183"/>
    <n v="194"/>
    <x v="28"/>
    <s v="23-12-2024"/>
    <s v="Springer Nature"/>
    <x v="0"/>
    <n v="0"/>
    <n v="0"/>
    <x v="16"/>
    <x v="0"/>
    <s v="Average"/>
    <n v="0"/>
  </r>
  <r>
    <x v="206"/>
    <x v="184"/>
    <n v="235"/>
    <x v="28"/>
    <s v="03-04-2024"/>
    <s v="Taylor &amp; Francis"/>
    <x v="0"/>
    <n v="0"/>
    <n v="0"/>
    <x v="16"/>
    <x v="0"/>
    <s v="Average"/>
    <n v="0"/>
  </r>
  <r>
    <x v="207"/>
    <x v="185"/>
    <n v="566"/>
    <x v="28"/>
    <s v="05-11-2024"/>
    <s v="John Wiley &amp; Sons"/>
    <x v="0"/>
    <n v="0"/>
    <n v="0"/>
    <x v="16"/>
    <x v="0"/>
    <s v="Average"/>
    <n v="0"/>
  </r>
  <r>
    <x v="208"/>
    <x v="186"/>
    <n v="572"/>
    <x v="7"/>
    <s v="01-01-1971"/>
    <s v="SUNY Press"/>
    <x v="0"/>
    <n v="0"/>
    <n v="0"/>
    <x v="41"/>
    <x v="0"/>
    <s v="Average"/>
    <n v="0"/>
  </r>
  <r>
    <x v="209"/>
    <x v="187"/>
    <n v="286"/>
    <x v="28"/>
    <s v="15-11-2023"/>
    <s v="Univ of California Press"/>
    <x v="0"/>
    <n v="0"/>
    <n v="0"/>
    <x v="26"/>
    <x v="0"/>
    <s v="Average"/>
    <n v="0"/>
  </r>
  <r>
    <x v="210"/>
    <x v="188"/>
    <n v="289"/>
    <x v="28"/>
    <s v="15-04-2012"/>
    <s v="Oxford University Press"/>
    <x v="0"/>
    <n v="0"/>
    <n v="0"/>
    <x v="9"/>
    <x v="0"/>
    <s v="Average"/>
    <n v="0"/>
  </r>
  <r>
    <x v="211"/>
    <x v="189"/>
    <n v="57"/>
    <x v="28"/>
    <s v="05-10-2020"/>
    <s v="Cengage AU"/>
    <x v="0"/>
    <n v="0"/>
    <n v="0"/>
    <x v="17"/>
    <x v="0"/>
    <s v="Average"/>
    <n v="0"/>
  </r>
  <r>
    <x v="212"/>
    <x v="190"/>
    <n v="357"/>
    <x v="28"/>
    <s v="06-04-2010"/>
    <s v="John Wiley &amp; Sons"/>
    <x v="0"/>
    <n v="0"/>
    <n v="0"/>
    <x v="1"/>
    <x v="0"/>
    <s v="Average"/>
    <n v="0"/>
  </r>
  <r>
    <x v="213"/>
    <x v="191"/>
    <n v="402"/>
    <x v="28"/>
    <s v="01-01-2001"/>
    <s v="Psychology Press"/>
    <x v="0"/>
    <n v="5"/>
    <n v="1"/>
    <x v="32"/>
    <x v="2"/>
    <s v="Average"/>
    <n v="5"/>
  </r>
  <r>
    <x v="214"/>
    <x v="192"/>
    <n v="57"/>
    <x v="28"/>
    <s v="03-11-2023"/>
    <s v="Cengage AU"/>
    <x v="0"/>
    <n v="0"/>
    <n v="0"/>
    <x v="26"/>
    <x v="0"/>
    <s v="Average"/>
    <n v="0"/>
  </r>
  <r>
    <x v="215"/>
    <x v="193"/>
    <n v="674"/>
    <x v="28"/>
    <s v="31-12-2008"/>
    <s v="John Wiley &amp; Sons"/>
    <x v="0"/>
    <n v="0"/>
    <n v="0"/>
    <x v="5"/>
    <x v="0"/>
    <s v="Average"/>
    <n v="0"/>
  </r>
  <r>
    <x v="216"/>
    <x v="194"/>
    <n v="222"/>
    <x v="28"/>
    <s v="29-03-2024"/>
    <s v="EduGorilla Publication"/>
    <x v="0"/>
    <n v="0"/>
    <n v="0"/>
    <x v="16"/>
    <x v="0"/>
    <s v="Average"/>
    <n v="0"/>
  </r>
  <r>
    <x v="217"/>
    <x v="195"/>
    <n v="542"/>
    <x v="7"/>
    <s v="31-10-1997"/>
    <s v="Springer Science &amp; Business Media"/>
    <x v="0"/>
    <n v="0"/>
    <n v="0"/>
    <x v="42"/>
    <x v="0"/>
    <s v="Average"/>
    <n v="0"/>
  </r>
  <r>
    <x v="218"/>
    <x v="196"/>
    <n v="773"/>
    <x v="28"/>
    <s v="03-04-2017"/>
    <s v="John Wiley &amp; Sons"/>
    <x v="0"/>
    <n v="0"/>
    <n v="0"/>
    <x v="3"/>
    <x v="0"/>
    <s v="Average"/>
    <n v="0"/>
  </r>
  <r>
    <x v="219"/>
    <x v="197"/>
    <n v="104"/>
    <x v="28"/>
    <s v="09-11-2016"/>
    <s v="Frontiers Media SA"/>
    <x v="0"/>
    <n v="0"/>
    <n v="0"/>
    <x v="18"/>
    <x v="0"/>
    <s v="Average"/>
    <n v="0"/>
  </r>
  <r>
    <x v="220"/>
    <x v="198"/>
    <n v="348"/>
    <x v="25"/>
    <s v="01-01-2018"/>
    <s v="Publication Nepalaya"/>
    <x v="1"/>
    <n v="0"/>
    <n v="0"/>
    <x v="7"/>
    <x v="0"/>
    <s v="Average"/>
    <n v="0"/>
  </r>
  <r>
    <x v="221"/>
    <x v="199"/>
    <n v="294"/>
    <x v="25"/>
    <s v="28-06-2020"/>
    <s v="Sonhill Publishing LLC"/>
    <x v="0"/>
    <n v="0"/>
    <n v="0"/>
    <x v="17"/>
    <x v="0"/>
    <s v="Average"/>
    <n v="0"/>
  </r>
  <r>
    <x v="222"/>
    <x v="200"/>
    <n v="900"/>
    <x v="25"/>
    <s v="31-07-2023"/>
    <s v="Taylor &amp; Francis"/>
    <x v="0"/>
    <n v="0"/>
    <n v="0"/>
    <x v="26"/>
    <x v="0"/>
    <s v="Average"/>
    <n v="0"/>
  </r>
  <r>
    <x v="223"/>
    <x v="201"/>
    <n v="183"/>
    <x v="39"/>
    <s v="01-09-2013"/>
    <s v="Elva Resa Publishing"/>
    <x v="0"/>
    <n v="0"/>
    <n v="0"/>
    <x v="28"/>
    <x v="0"/>
    <s v="Average"/>
    <n v="0"/>
  </r>
  <r>
    <x v="224"/>
    <x v="202"/>
    <n v="376"/>
    <x v="25"/>
    <s v="29-05-2014"/>
    <s v="Cambridge University Press"/>
    <x v="0"/>
    <n v="4"/>
    <n v="3"/>
    <x v="8"/>
    <x v="2"/>
    <s v="Average"/>
    <n v="12"/>
  </r>
  <r>
    <x v="225"/>
    <x v="203"/>
    <n v="372"/>
    <x v="25"/>
    <s v="08-02-2016"/>
    <s v="John Wiley &amp; Sons"/>
    <x v="0"/>
    <n v="5"/>
    <n v="2"/>
    <x v="18"/>
    <x v="2"/>
    <s v="Average"/>
    <n v="10"/>
  </r>
  <r>
    <x v="226"/>
    <x v="204"/>
    <n v="318"/>
    <x v="28"/>
    <s v="09-11-2018"/>
    <s v="Springer"/>
    <x v="0"/>
    <n v="0"/>
    <n v="0"/>
    <x v="7"/>
    <x v="0"/>
    <s v="Average"/>
    <n v="0"/>
  </r>
  <r>
    <x v="227"/>
    <x v="205"/>
    <n v="374"/>
    <x v="17"/>
    <s v="01-06-2007"/>
    <s v="National Academies Press"/>
    <x v="0"/>
    <n v="0"/>
    <n v="0"/>
    <x v="15"/>
    <x v="0"/>
    <s v="Average"/>
    <n v="0"/>
  </r>
  <r>
    <x v="228"/>
    <x v="206"/>
    <n v="232"/>
    <x v="40"/>
    <s v="30-08-2023"/>
    <s v="McFarland"/>
    <x v="0"/>
    <n v="0"/>
    <n v="0"/>
    <x v="26"/>
    <x v="0"/>
    <s v="Average"/>
    <n v="0"/>
  </r>
  <r>
    <x v="229"/>
    <x v="207"/>
    <n v="632"/>
    <x v="17"/>
    <s v="30-10-2024"/>
    <s v="IGI Global"/>
    <x v="0"/>
    <n v="0"/>
    <n v="0"/>
    <x v="16"/>
    <x v="0"/>
    <s v="Average"/>
    <n v="0"/>
  </r>
  <r>
    <x v="230"/>
    <x v="208"/>
    <n v="1131"/>
    <x v="17"/>
    <s v="15-10-2013"/>
    <s v="Elsevier Health Sciences"/>
    <x v="0"/>
    <n v="0"/>
    <n v="0"/>
    <x v="28"/>
    <x v="0"/>
    <s v="Average"/>
    <n v="0"/>
  </r>
  <r>
    <x v="231"/>
    <x v="209"/>
    <n v="368"/>
    <x v="17"/>
    <s v="28-07-2003"/>
    <s v="CRC Press"/>
    <x v="0"/>
    <n v="5"/>
    <n v="2"/>
    <x v="10"/>
    <x v="2"/>
    <s v="Average"/>
    <n v="10"/>
  </r>
  <r>
    <x v="232"/>
    <x v="210"/>
    <n v="703"/>
    <x v="17"/>
    <s v="01-04-2013"/>
    <s v="McGraw-Hill Education (UK)"/>
    <x v="0"/>
    <n v="0"/>
    <n v="0"/>
    <x v="28"/>
    <x v="0"/>
    <s v="Average"/>
    <n v="0"/>
  </r>
  <r>
    <x v="233"/>
    <x v="211"/>
    <n v="1745"/>
    <x v="17"/>
    <s v="01-12-2014"/>
    <s v="Pearson Higher Education AU"/>
    <x v="0"/>
    <n v="1"/>
    <n v="1"/>
    <x v="8"/>
    <x v="0"/>
    <s v="Average"/>
    <n v="1"/>
  </r>
  <r>
    <x v="234"/>
    <x v="212"/>
    <n v="601"/>
    <x v="17"/>
    <s v="04-12-2017"/>
    <s v="F.A. Davis"/>
    <x v="0"/>
    <n v="0"/>
    <n v="0"/>
    <x v="3"/>
    <x v="0"/>
    <s v="Average"/>
    <n v="0"/>
  </r>
  <r>
    <x v="235"/>
    <x v="213"/>
    <n v="505"/>
    <x v="41"/>
    <s v="04-10-2016"/>
    <s v="America's Test Kitchen"/>
    <x v="0"/>
    <n v="0"/>
    <n v="0"/>
    <x v="18"/>
    <x v="0"/>
    <s v="Average"/>
    <n v="0"/>
  </r>
  <r>
    <x v="236"/>
    <x v="214"/>
    <n v="161"/>
    <x v="41"/>
    <s v="16-04-2008"/>
    <s v="Grub Street Cookery"/>
    <x v="0"/>
    <n v="0"/>
    <n v="0"/>
    <x v="5"/>
    <x v="0"/>
    <s v="Average"/>
    <n v="0"/>
  </r>
  <r>
    <x v="237"/>
    <x v="215"/>
    <n v="232"/>
    <x v="42"/>
    <s v="01-01-2004"/>
    <s v="Diamond Pocket Books (P) Ltd."/>
    <x v="0"/>
    <n v="5"/>
    <n v="2"/>
    <x v="22"/>
    <x v="2"/>
    <s v="Average"/>
    <n v="10"/>
  </r>
  <r>
    <x v="238"/>
    <x v="216"/>
    <n v="229"/>
    <x v="43"/>
    <s v="20-02-2025"/>
    <s v="Educohack Press"/>
    <x v="0"/>
    <n v="0"/>
    <n v="0"/>
    <x v="34"/>
    <x v="0"/>
    <s v="Average"/>
    <n v="0"/>
  </r>
  <r>
    <x v="239"/>
    <x v="217"/>
    <n v="75"/>
    <x v="44"/>
    <s v="01-01-1997"/>
    <s v="Bioversity International"/>
    <x v="0"/>
    <n v="0"/>
    <n v="0"/>
    <x v="42"/>
    <x v="0"/>
    <s v="Average"/>
    <n v="0"/>
  </r>
  <r>
    <x v="240"/>
    <x v="218"/>
    <n v="472"/>
    <x v="34"/>
    <s v="06-02-2024"/>
    <s v="CRC Press"/>
    <x v="0"/>
    <n v="0"/>
    <n v="0"/>
    <x v="16"/>
    <x v="0"/>
    <s v="Average"/>
    <n v="0"/>
  </r>
  <r>
    <x v="241"/>
    <x v="219"/>
    <n v="426"/>
    <x v="5"/>
    <s v="13-09-2021"/>
    <s v="BRILL"/>
    <x v="0"/>
    <n v="0"/>
    <n v="0"/>
    <x v="12"/>
    <x v="0"/>
    <s v="Average"/>
    <n v="0"/>
  </r>
  <r>
    <x v="242"/>
    <x v="220"/>
    <n v="1108"/>
    <x v="45"/>
    <s v="01-01-2010"/>
    <s v="Pearson Education India"/>
    <x v="0"/>
    <n v="0"/>
    <n v="0"/>
    <x v="1"/>
    <x v="0"/>
    <s v="Average"/>
    <n v="0"/>
  </r>
  <r>
    <x v="243"/>
    <x v="221"/>
    <n v="421"/>
    <x v="34"/>
    <s v="19-07-2023"/>
    <s v="AHFE International"/>
    <x v="0"/>
    <n v="0"/>
    <n v="0"/>
    <x v="26"/>
    <x v="0"/>
    <s v="Average"/>
    <n v="0"/>
  </r>
  <r>
    <x v="244"/>
    <x v="222"/>
    <n v="282"/>
    <x v="17"/>
    <s v="20-12-2001"/>
    <s v="CRC Press"/>
    <x v="0"/>
    <n v="0"/>
    <n v="0"/>
    <x v="32"/>
    <x v="0"/>
    <s v="Average"/>
    <n v="0"/>
  </r>
  <r>
    <x v="245"/>
    <x v="223"/>
    <n v="177"/>
    <x v="21"/>
    <s v="22-03-2023"/>
    <s v="Özge Zeytin Bildirici "/>
    <x v="0"/>
    <n v="0"/>
    <n v="0"/>
    <x v="26"/>
    <x v="0"/>
    <s v="Average"/>
    <n v="0"/>
  </r>
  <r>
    <x v="246"/>
    <x v="224"/>
    <n v="781"/>
    <x v="25"/>
    <s v="23-08-2021"/>
    <s v="Jones &amp; Bartlett Learning"/>
    <x v="0"/>
    <n v="0"/>
    <n v="0"/>
    <x v="12"/>
    <x v="0"/>
    <s v="Average"/>
    <n v="0"/>
  </r>
  <r>
    <x v="247"/>
    <x v="225"/>
    <n v="445"/>
    <x v="3"/>
    <s v="31-12-2012"/>
    <s v="INSTAP Academic Press"/>
    <x v="0"/>
    <n v="0"/>
    <n v="0"/>
    <x v="9"/>
    <x v="0"/>
    <s v="Average"/>
    <n v="0"/>
  </r>
  <r>
    <x v="248"/>
    <x v="226"/>
    <n v="198"/>
    <x v="17"/>
    <s v="16-09-2021"/>
    <s v="Frontiers Media SA"/>
    <x v="0"/>
    <n v="0"/>
    <n v="0"/>
    <x v="12"/>
    <x v="0"/>
    <s v="Average"/>
    <n v="0"/>
  </r>
  <r>
    <x v="249"/>
    <x v="227"/>
    <n v="625"/>
    <x v="46"/>
    <s v="09-05-2024"/>
    <s v="Oswaal Books"/>
    <x v="0"/>
    <n v="0"/>
    <n v="0"/>
    <x v="16"/>
    <x v="0"/>
    <s v="Average"/>
    <n v="0"/>
  </r>
  <r>
    <x v="250"/>
    <x v="228"/>
    <n v="594"/>
    <x v="15"/>
    <s v="01-01-1989"/>
    <s v="The American Oil Chemists Society"/>
    <x v="0"/>
    <n v="5"/>
    <n v="1"/>
    <x v="43"/>
    <x v="2"/>
    <s v="Average"/>
    <n v="5"/>
  </r>
  <r>
    <x v="251"/>
    <x v="229"/>
    <n v="863"/>
    <x v="3"/>
    <s v="04-06-2018"/>
    <s v="Aarhus Universitetsforlag"/>
    <x v="0"/>
    <n v="0"/>
    <n v="0"/>
    <x v="7"/>
    <x v="0"/>
    <s v="Average"/>
    <n v="0"/>
  </r>
  <r>
    <x v="252"/>
    <x v="230"/>
    <n v="364"/>
    <x v="3"/>
    <s v="01-02-2007"/>
    <s v="Cambridge University Press"/>
    <x v="0"/>
    <n v="0"/>
    <n v="0"/>
    <x v="15"/>
    <x v="0"/>
    <s v="Average"/>
    <n v="0"/>
  </r>
  <r>
    <x v="253"/>
    <x v="231"/>
    <n v="148"/>
    <x v="25"/>
    <s v="07-11-1996"/>
    <s v="Cambridge University Press"/>
    <x v="0"/>
    <n v="0"/>
    <n v="0"/>
    <x v="0"/>
    <x v="0"/>
    <s v="Average"/>
    <n v="0"/>
  </r>
  <r>
    <x v="254"/>
    <x v="232"/>
    <n v="125"/>
    <x v="47"/>
    <s v="01-01-2006"/>
    <s v="Transportation Research Board"/>
    <x v="0"/>
    <n v="0"/>
    <n v="0"/>
    <x v="24"/>
    <x v="0"/>
    <s v="Average"/>
    <n v="0"/>
  </r>
  <r>
    <x v="255"/>
    <x v="233"/>
    <n v="357"/>
    <x v="48"/>
    <s v="14-09-2006"/>
    <s v="CABI"/>
    <x v="0"/>
    <n v="5"/>
    <n v="2"/>
    <x v="24"/>
    <x v="2"/>
    <s v="Average"/>
    <n v="10"/>
  </r>
  <r>
    <x v="256"/>
    <x v="234"/>
    <n v="153"/>
    <x v="43"/>
    <s v="27-12-2024"/>
    <s v="Recorded Books"/>
    <x v="0"/>
    <n v="0"/>
    <n v="0"/>
    <x v="16"/>
    <x v="0"/>
    <s v="Average"/>
    <n v="0"/>
  </r>
  <r>
    <x v="257"/>
    <x v="235"/>
    <n v="3347"/>
    <x v="13"/>
    <s v="01-01-2007"/>
    <s v="Wolters Kluwer"/>
    <x v="0"/>
    <n v="1"/>
    <n v="1"/>
    <x v="15"/>
    <x v="0"/>
    <s v="Average"/>
    <n v="1"/>
  </r>
  <r>
    <x v="258"/>
    <x v="236"/>
    <n v="449"/>
    <x v="1"/>
    <s v="01-01-2023"/>
    <s v="Human Kinetics"/>
    <x v="0"/>
    <n v="0"/>
    <n v="0"/>
    <x v="26"/>
    <x v="0"/>
    <s v="Average"/>
    <n v="0"/>
  </r>
  <r>
    <x v="259"/>
    <x v="237"/>
    <n v="305"/>
    <x v="25"/>
    <s v="02-07-2013"/>
    <s v="FT Press"/>
    <x v="0"/>
    <n v="0"/>
    <n v="0"/>
    <x v="28"/>
    <x v="0"/>
    <s v="Average"/>
    <n v="0"/>
  </r>
  <r>
    <x v="260"/>
    <x v="238"/>
    <n v="443"/>
    <x v="34"/>
    <s v="31-12-2012"/>
    <s v="IGI Global"/>
    <x v="0"/>
    <n v="0"/>
    <n v="0"/>
    <x v="9"/>
    <x v="0"/>
    <s v="Average"/>
    <n v="0"/>
  </r>
  <r>
    <x v="261"/>
    <x v="239"/>
    <n v="39"/>
    <x v="10"/>
    <s v="11-10-2019"/>
    <s v="Intl Food Policy Res Inst"/>
    <x v="0"/>
    <n v="0"/>
    <n v="0"/>
    <x v="20"/>
    <x v="0"/>
    <s v="Average"/>
    <n v="0"/>
  </r>
  <r>
    <x v="262"/>
    <x v="240"/>
    <n v="888"/>
    <x v="30"/>
    <s v="12-04-2004"/>
    <s v="Routledge"/>
    <x v="0"/>
    <n v="0"/>
    <n v="0"/>
    <x v="22"/>
    <x v="0"/>
    <s v="Average"/>
    <n v="0"/>
  </r>
  <r>
    <x v="263"/>
    <x v="241"/>
    <n v="742"/>
    <x v="30"/>
    <s v="14-07-2014"/>
    <s v="Princeton University Press"/>
    <x v="0"/>
    <n v="0"/>
    <n v="0"/>
    <x v="8"/>
    <x v="0"/>
    <s v="Average"/>
    <n v="0"/>
  </r>
  <r>
    <x v="264"/>
    <x v="242"/>
    <n v="471"/>
    <x v="13"/>
    <s v="05-01-2012"/>
    <s v="Oxford University Press"/>
    <x v="0"/>
    <n v="0"/>
    <n v="0"/>
    <x v="9"/>
    <x v="0"/>
    <s v="Average"/>
    <n v="0"/>
  </r>
  <r>
    <x v="265"/>
    <x v="243"/>
    <n v="877"/>
    <x v="13"/>
    <s v="14-03-2013"/>
    <s v="Oxford University Press, USA"/>
    <x v="0"/>
    <n v="0"/>
    <n v="0"/>
    <x v="28"/>
    <x v="0"/>
    <s v="Average"/>
    <n v="0"/>
  </r>
  <r>
    <x v="266"/>
    <x v="244"/>
    <n v="1209"/>
    <x v="13"/>
    <s v="24-06-2010"/>
    <s v="Cambridge University Press"/>
    <x v="0"/>
    <n v="0"/>
    <n v="0"/>
    <x v="1"/>
    <x v="0"/>
    <s v="Average"/>
    <n v="0"/>
  </r>
  <r>
    <x v="267"/>
    <x v="245"/>
    <n v="442"/>
    <x v="11"/>
    <s v="30-09-2019"/>
    <s v="Cengage AU"/>
    <x v="0"/>
    <n v="0"/>
    <n v="0"/>
    <x v="20"/>
    <x v="0"/>
    <s v="Average"/>
    <n v="0"/>
  </r>
  <r>
    <x v="268"/>
    <x v="246"/>
    <n v="555"/>
    <x v="13"/>
    <s v="05-07-2024"/>
    <s v="Edward Elgar Publishing"/>
    <x v="0"/>
    <n v="0"/>
    <n v="0"/>
    <x v="16"/>
    <x v="0"/>
    <s v="Average"/>
    <n v="0"/>
  </r>
  <r>
    <x v="269"/>
    <x v="247"/>
    <n v="913"/>
    <x v="13"/>
    <s v="14-06-2023"/>
    <s v="Oxford University Press"/>
    <x v="0"/>
    <n v="0"/>
    <n v="0"/>
    <x v="26"/>
    <x v="0"/>
    <s v="Average"/>
    <n v="0"/>
  </r>
  <r>
    <x v="270"/>
    <x v="248"/>
    <n v="776"/>
    <x v="13"/>
    <s v="12-03-2010"/>
    <s v="Walter de Gruyter"/>
    <x v="0"/>
    <n v="0"/>
    <n v="0"/>
    <x v="1"/>
    <x v="0"/>
    <s v="Average"/>
    <n v="0"/>
  </r>
  <r>
    <x v="271"/>
    <x v="249"/>
    <n v="499"/>
    <x v="13"/>
    <s v="04-03-2013"/>
    <s v="Routledge"/>
    <x v="0"/>
    <n v="5"/>
    <n v="1"/>
    <x v="28"/>
    <x v="2"/>
    <s v="Average"/>
    <n v="5"/>
  </r>
  <r>
    <x v="272"/>
    <x v="250"/>
    <n v="734"/>
    <x v="13"/>
    <s v="23-10-2012"/>
    <s v="Martinus Nijhoff Publishers"/>
    <x v="0"/>
    <n v="0"/>
    <n v="0"/>
    <x v="9"/>
    <x v="0"/>
    <s v="Average"/>
    <n v="0"/>
  </r>
  <r>
    <x v="273"/>
    <x v="251"/>
    <n v="324"/>
    <x v="10"/>
    <s v="30-06-1983"/>
    <s v="State University of New York Press"/>
    <x v="0"/>
    <n v="0"/>
    <n v="0"/>
    <x v="38"/>
    <x v="0"/>
    <s v="Average"/>
    <n v="0"/>
  </r>
  <r>
    <x v="274"/>
    <x v="252"/>
    <n v="795"/>
    <x v="13"/>
    <s v="01-01-2016"/>
    <s v="Oxford University Press"/>
    <x v="0"/>
    <n v="0"/>
    <n v="0"/>
    <x v="18"/>
    <x v="0"/>
    <s v="Average"/>
    <n v="0"/>
  </r>
  <r>
    <x v="275"/>
    <x v="253"/>
    <n v="135"/>
    <x v="7"/>
    <s v="01-01-2011"/>
    <s v="Morgan &amp; Claypool Publishers"/>
    <x v="0"/>
    <n v="0"/>
    <n v="0"/>
    <x v="27"/>
    <x v="0"/>
    <s v="Average"/>
    <n v="0"/>
  </r>
  <r>
    <x v="276"/>
    <x v="254"/>
    <n v="317"/>
    <x v="34"/>
    <s v="25-07-2014"/>
    <s v="Springer"/>
    <x v="0"/>
    <n v="0"/>
    <n v="0"/>
    <x v="8"/>
    <x v="0"/>
    <s v="Average"/>
    <n v="0"/>
  </r>
  <r>
    <x v="277"/>
    <x v="255"/>
    <n v="148"/>
    <x v="11"/>
    <s v="01-01-1997"/>
    <s v="SUNY Press"/>
    <x v="0"/>
    <n v="0"/>
    <n v="0"/>
    <x v="42"/>
    <x v="0"/>
    <s v="Average"/>
    <n v="0"/>
  </r>
  <r>
    <x v="278"/>
    <x v="256"/>
    <n v="296"/>
    <x v="5"/>
    <s v="12-06-2023"/>
    <s v="IGI Global"/>
    <x v="0"/>
    <n v="0"/>
    <n v="0"/>
    <x v="26"/>
    <x v="0"/>
    <s v="Average"/>
    <n v="0"/>
  </r>
  <r>
    <x v="279"/>
    <x v="257"/>
    <n v="576"/>
    <x v="34"/>
    <s v="12-02-2019"/>
    <s v="John Wiley &amp; Sons"/>
    <x v="0"/>
    <n v="0"/>
    <n v="0"/>
    <x v="20"/>
    <x v="0"/>
    <s v="Average"/>
    <n v="0"/>
  </r>
  <r>
    <x v="280"/>
    <x v="258"/>
    <n v="384"/>
    <x v="34"/>
    <s v="30-04-2013"/>
    <s v="IGI Global"/>
    <x v="0"/>
    <n v="0"/>
    <n v="0"/>
    <x v="28"/>
    <x v="0"/>
    <s v="Average"/>
    <n v="0"/>
  </r>
  <r>
    <x v="281"/>
    <x v="259"/>
    <n v="224"/>
    <x v="3"/>
    <s v="01-01-2012"/>
    <s v="Routledge"/>
    <x v="0"/>
    <n v="0"/>
    <n v="0"/>
    <x v="9"/>
    <x v="0"/>
    <s v="Average"/>
    <n v="0"/>
  </r>
  <r>
    <x v="282"/>
    <x v="260"/>
    <n v="286"/>
    <x v="34"/>
    <s v="30-12-1997"/>
    <s v="National Academies Press"/>
    <x v="0"/>
    <n v="0"/>
    <n v="0"/>
    <x v="42"/>
    <x v="0"/>
    <s v="Average"/>
    <n v="0"/>
  </r>
  <r>
    <x v="283"/>
    <x v="261"/>
    <n v="263"/>
    <x v="11"/>
    <s v="06-05-2024"/>
    <s v="IGI Global"/>
    <x v="0"/>
    <n v="0"/>
    <n v="0"/>
    <x v="16"/>
    <x v="0"/>
    <s v="Average"/>
    <n v="0"/>
  </r>
  <r>
    <x v="284"/>
    <x v="262"/>
    <n v="504"/>
    <x v="32"/>
    <s v="06-09-2022"/>
    <s v="Springer Nature"/>
    <x v="0"/>
    <n v="0"/>
    <n v="0"/>
    <x v="13"/>
    <x v="0"/>
    <s v="Average"/>
    <n v="0"/>
  </r>
  <r>
    <x v="285"/>
    <x v="263"/>
    <n v="192"/>
    <x v="34"/>
    <s v="24-04-2012"/>
    <s v="Springer Science &amp; Business Media"/>
    <x v="0"/>
    <n v="0"/>
    <n v="0"/>
    <x v="9"/>
    <x v="0"/>
    <s v="Average"/>
    <n v="0"/>
  </r>
  <r>
    <x v="286"/>
    <x v="264"/>
    <n v="250"/>
    <x v="5"/>
    <s v="24-03-2025"/>
    <s v="Springer Nature"/>
    <x v="0"/>
    <n v="0"/>
    <n v="0"/>
    <x v="34"/>
    <x v="0"/>
    <s v="Average"/>
    <n v="0"/>
  </r>
  <r>
    <x v="287"/>
    <x v="265"/>
    <n v="453"/>
    <x v="32"/>
    <s v="07-11-2020"/>
    <s v="Springer Nature"/>
    <x v="0"/>
    <n v="0"/>
    <n v="0"/>
    <x v="17"/>
    <x v="0"/>
    <s v="Average"/>
    <n v="0"/>
  </r>
  <r>
    <x v="288"/>
    <x v="266"/>
    <n v="334"/>
    <x v="25"/>
    <s v="19-12-2022"/>
    <s v="IGI Global"/>
    <x v="0"/>
    <n v="0"/>
    <n v="0"/>
    <x v="13"/>
    <x v="0"/>
    <s v="Average"/>
    <n v="0"/>
  </r>
  <r>
    <x v="289"/>
    <x v="267"/>
    <n v="124"/>
    <x v="34"/>
    <s v="21-10-2015"/>
    <s v="BoD – Books on Demand"/>
    <x v="0"/>
    <n v="0"/>
    <n v="0"/>
    <x v="14"/>
    <x v="0"/>
    <s v="Average"/>
    <n v="0"/>
  </r>
  <r>
    <x v="290"/>
    <x v="268"/>
    <n v="147"/>
    <x v="11"/>
    <s v="31-07-2019"/>
    <s v="Bloomsbury Publishing PLC"/>
    <x v="0"/>
    <n v="0"/>
    <n v="0"/>
    <x v="20"/>
    <x v="0"/>
    <s v="Average"/>
    <n v="0"/>
  </r>
  <r>
    <x v="291"/>
    <x v="269"/>
    <n v="580"/>
    <x v="34"/>
    <s v="30-03-2025"/>
    <s v="Springer Nature"/>
    <x v="0"/>
    <n v="0"/>
    <n v="0"/>
    <x v="34"/>
    <x v="0"/>
    <s v="Average"/>
    <n v="0"/>
  </r>
  <r>
    <x v="292"/>
    <x v="270"/>
    <n v="684"/>
    <x v="17"/>
    <s v="01-01-1994"/>
    <s v="Jones &amp; Bartlett Learning"/>
    <x v="0"/>
    <n v="0"/>
    <n v="0"/>
    <x v="30"/>
    <x v="0"/>
    <s v="Average"/>
    <n v="0"/>
  </r>
  <r>
    <x v="293"/>
    <x v="271"/>
    <n v="685"/>
    <x v="25"/>
    <s v="01-01-2006"/>
    <s v="Plunkett Research, Ltd."/>
    <x v="0"/>
    <n v="0"/>
    <n v="0"/>
    <x v="24"/>
    <x v="0"/>
    <s v="Average"/>
    <n v="0"/>
  </r>
  <r>
    <x v="294"/>
    <x v="272"/>
    <n v="294"/>
    <x v="34"/>
    <s v="29-08-2022"/>
    <s v="CRC Press"/>
    <x v="0"/>
    <n v="0"/>
    <n v="0"/>
    <x v="13"/>
    <x v="0"/>
    <s v="Average"/>
    <n v="0"/>
  </r>
  <r>
    <x v="295"/>
    <x v="273"/>
    <n v="1699"/>
    <x v="11"/>
    <s v="19-05-2016"/>
    <s v="IGI Global"/>
    <x v="0"/>
    <n v="0"/>
    <n v="0"/>
    <x v="18"/>
    <x v="0"/>
    <s v="Average"/>
    <n v="0"/>
  </r>
  <r>
    <x v="296"/>
    <x v="274"/>
    <n v="120"/>
    <x v="34"/>
    <s v="10-04-2019"/>
    <s v="BoD – Books on Demand"/>
    <x v="0"/>
    <n v="0"/>
    <n v="0"/>
    <x v="20"/>
    <x v="0"/>
    <s v="Average"/>
    <n v="0"/>
  </r>
  <r>
    <x v="297"/>
    <x v="275"/>
    <n v="319"/>
    <x v="25"/>
    <s v="25-01-2011"/>
    <s v="John Wiley &amp; Sons"/>
    <x v="0"/>
    <n v="0"/>
    <n v="0"/>
    <x v="27"/>
    <x v="0"/>
    <s v="Average"/>
    <n v="0"/>
  </r>
  <r>
    <x v="298"/>
    <x v="276"/>
    <n v="94"/>
    <x v="15"/>
    <s v="21-05-2004"/>
    <s v="National Academies Press"/>
    <x v="0"/>
    <n v="0"/>
    <n v="0"/>
    <x v="22"/>
    <x v="0"/>
    <s v="Average"/>
    <n v="0"/>
  </r>
  <r>
    <x v="299"/>
    <x v="277"/>
    <n v="13"/>
    <x v="5"/>
    <s v="18-07-2018"/>
    <s v="GRIN Verlag"/>
    <x v="0"/>
    <n v="0"/>
    <n v="0"/>
    <x v="7"/>
    <x v="0"/>
    <s v="Average"/>
    <n v="0"/>
  </r>
  <r>
    <x v="300"/>
    <x v="278"/>
    <n v="2419"/>
    <x v="11"/>
    <s v="12-11-2012"/>
    <s v="Routledge"/>
    <x v="0"/>
    <n v="0"/>
    <n v="0"/>
    <x v="9"/>
    <x v="0"/>
    <s v="Average"/>
    <n v="0"/>
  </r>
  <r>
    <x v="301"/>
    <x v="279"/>
    <n v="267"/>
    <x v="11"/>
    <s v="01-09-2023"/>
    <s v="Taylor &amp; Francis"/>
    <x v="0"/>
    <n v="0"/>
    <n v="0"/>
    <x v="26"/>
    <x v="0"/>
    <s v="Average"/>
    <n v="0"/>
  </r>
  <r>
    <x v="302"/>
    <x v="280"/>
    <n v="246"/>
    <x v="11"/>
    <s v="07-05-2009"/>
    <s v="Routledge"/>
    <x v="0"/>
    <n v="0"/>
    <n v="0"/>
    <x v="29"/>
    <x v="0"/>
    <s v="Average"/>
    <n v="0"/>
  </r>
  <r>
    <x v="303"/>
    <x v="281"/>
    <n v="242"/>
    <x v="11"/>
    <s v="16-04-2019"/>
    <s v="Springer"/>
    <x v="0"/>
    <n v="0"/>
    <n v="0"/>
    <x v="20"/>
    <x v="0"/>
    <s v="Average"/>
    <n v="0"/>
  </r>
  <r>
    <x v="304"/>
    <x v="282"/>
    <n v="189"/>
    <x v="11"/>
    <s v="11-09-2002"/>
    <s v="Routledge"/>
    <x v="0"/>
    <n v="0"/>
    <n v="0"/>
    <x v="6"/>
    <x v="0"/>
    <s v="Average"/>
    <n v="0"/>
  </r>
  <r>
    <x v="305"/>
    <x v="283"/>
    <n v="253"/>
    <x v="11"/>
    <s v="15-01-2011"/>
    <s v="Springer Science &amp; Business Media"/>
    <x v="0"/>
    <n v="0"/>
    <n v="0"/>
    <x v="27"/>
    <x v="0"/>
    <s v="Average"/>
    <n v="0"/>
  </r>
  <r>
    <x v="306"/>
    <x v="284"/>
    <n v="416"/>
    <x v="11"/>
    <s v="01-08-2013"/>
    <s v="IAP"/>
    <x v="0"/>
    <n v="0"/>
    <n v="0"/>
    <x v="28"/>
    <x v="0"/>
    <s v="Average"/>
    <n v="0"/>
  </r>
  <r>
    <x v="307"/>
    <x v="285"/>
    <n v="161"/>
    <x v="11"/>
    <s v="11-04-2024"/>
    <s v="Policy Press"/>
    <x v="0"/>
    <n v="0"/>
    <n v="0"/>
    <x v="16"/>
    <x v="0"/>
    <s v="Average"/>
    <n v="0"/>
  </r>
  <r>
    <x v="308"/>
    <x v="286"/>
    <n v="341"/>
    <x v="30"/>
    <s v="16-03-2022"/>
    <s v="Ashok Yakkaldevi"/>
    <x v="0"/>
    <n v="0"/>
    <n v="0"/>
    <x v="13"/>
    <x v="0"/>
    <s v="Average"/>
    <n v="0"/>
  </r>
  <r>
    <x v="309"/>
    <x v="287"/>
    <n v="658"/>
    <x v="11"/>
    <s v="01-01-1911"/>
    <s v="Cambridge, U. P"/>
    <x v="0"/>
    <n v="0"/>
    <n v="0"/>
    <x v="44"/>
    <x v="0"/>
    <s v="Average"/>
    <n v="0"/>
  </r>
  <r>
    <x v="310"/>
    <x v="288"/>
    <n v="226"/>
    <x v="25"/>
    <s v="01-01-2004"/>
    <s v="World Bank Publications"/>
    <x v="0"/>
    <n v="0"/>
    <n v="0"/>
    <x v="22"/>
    <x v="0"/>
    <s v="Average"/>
    <n v="0"/>
  </r>
  <r>
    <x v="311"/>
    <x v="289"/>
    <n v="89"/>
    <x v="11"/>
    <s v="15-10-2014"/>
    <s v="Springer"/>
    <x v="0"/>
    <n v="0"/>
    <n v="0"/>
    <x v="8"/>
    <x v="0"/>
    <s v="Average"/>
    <n v="0"/>
  </r>
  <r>
    <x v="312"/>
    <x v="290"/>
    <n v="321"/>
    <x v="25"/>
    <s v="21-04-2010"/>
    <s v="Infobase Publishing"/>
    <x v="0"/>
    <n v="5"/>
    <n v="1"/>
    <x v="1"/>
    <x v="2"/>
    <s v="Average"/>
    <n v="5"/>
  </r>
  <r>
    <x v="313"/>
    <x v="291"/>
    <n v="361"/>
    <x v="11"/>
    <s v="05-09-2017"/>
    <s v="Springer"/>
    <x v="0"/>
    <n v="0"/>
    <n v="0"/>
    <x v="3"/>
    <x v="0"/>
    <s v="Average"/>
    <n v="0"/>
  </r>
  <r>
    <x v="314"/>
    <x v="292"/>
    <n v="357"/>
    <x v="11"/>
    <s v="27-08-2015"/>
    <s v="Routledge"/>
    <x v="0"/>
    <n v="0"/>
    <n v="0"/>
    <x v="14"/>
    <x v="0"/>
    <s v="Average"/>
    <n v="0"/>
  </r>
  <r>
    <x v="315"/>
    <x v="293"/>
    <n v="116"/>
    <x v="11"/>
    <s v="18-12-2017"/>
    <s v="Brush Education"/>
    <x v="0"/>
    <n v="0"/>
    <n v="0"/>
    <x v="3"/>
    <x v="0"/>
    <s v="Average"/>
    <n v="0"/>
  </r>
  <r>
    <x v="316"/>
    <x v="294"/>
    <n v="186"/>
    <x v="18"/>
    <s v="01-01-1989"/>
    <s v="Boydell &amp; Brewer"/>
    <x v="0"/>
    <n v="0"/>
    <n v="0"/>
    <x v="43"/>
    <x v="0"/>
    <s v="Average"/>
    <n v="0"/>
  </r>
  <r>
    <x v="317"/>
    <x v="295"/>
    <n v="193"/>
    <x v="39"/>
    <s v="31-01-2015"/>
    <s v="Author Level Up LLC"/>
    <x v="0"/>
    <n v="0"/>
    <n v="0"/>
    <x v="14"/>
    <x v="0"/>
    <s v="Average"/>
    <n v="0"/>
  </r>
  <r>
    <x v="318"/>
    <x v="296"/>
    <n v="232"/>
    <x v="18"/>
    <s v="05-08-2014"/>
    <s v="Skyhorse"/>
    <x v="0"/>
    <n v="0"/>
    <n v="0"/>
    <x v="8"/>
    <x v="0"/>
    <s v="Average"/>
    <n v="0"/>
  </r>
  <r>
    <x v="319"/>
    <x v="297"/>
    <n v="458"/>
    <x v="0"/>
    <s v="01-01-2002"/>
    <s v="Orient Blackswan"/>
    <x v="0"/>
    <n v="5"/>
    <n v="1"/>
    <x v="6"/>
    <x v="2"/>
    <s v="Average"/>
    <n v="5"/>
  </r>
  <r>
    <x v="320"/>
    <x v="298"/>
    <n v="242"/>
    <x v="0"/>
    <s v="28-02-2019"/>
    <s v="Anthem Press"/>
    <x v="0"/>
    <n v="0"/>
    <n v="0"/>
    <x v="20"/>
    <x v="0"/>
    <s v="Average"/>
    <n v="0"/>
  </r>
  <r>
    <x v="321"/>
    <x v="299"/>
    <n v="324"/>
    <x v="23"/>
    <s v="17-08-2016"/>
    <s v="Cambridge Scholars Publishing"/>
    <x v="0"/>
    <n v="0"/>
    <n v="0"/>
    <x v="18"/>
    <x v="0"/>
    <s v="Average"/>
    <n v="0"/>
  </r>
  <r>
    <x v="322"/>
    <x v="300"/>
    <n v="378"/>
    <x v="6"/>
    <s v="18-10-2021"/>
    <s v="BRILL"/>
    <x v="0"/>
    <n v="0"/>
    <n v="0"/>
    <x v="12"/>
    <x v="0"/>
    <s v="Average"/>
    <n v="0"/>
  </r>
  <r>
    <x v="323"/>
    <x v="301"/>
    <n v="236"/>
    <x v="30"/>
    <s v="01-01-2008"/>
    <s v="Peter Lang"/>
    <x v="0"/>
    <n v="0"/>
    <n v="0"/>
    <x v="5"/>
    <x v="0"/>
    <s v="Average"/>
    <n v="0"/>
  </r>
  <r>
    <x v="324"/>
    <x v="302"/>
    <n v="222"/>
    <x v="0"/>
    <s v="01-01-1986"/>
    <s v="University of Delaware Press"/>
    <x v="0"/>
    <n v="0"/>
    <n v="0"/>
    <x v="45"/>
    <x v="0"/>
    <s v="Average"/>
    <n v="0"/>
  </r>
  <r>
    <x v="325"/>
    <x v="303"/>
    <n v="288"/>
    <x v="11"/>
    <s v="01-06-2024"/>
    <s v="Thakur Publication Private Limited"/>
    <x v="0"/>
    <n v="0"/>
    <n v="0"/>
    <x v="16"/>
    <x v="0"/>
    <s v="Average"/>
    <n v="0"/>
  </r>
  <r>
    <x v="326"/>
    <x v="304"/>
    <n v="105"/>
    <x v="23"/>
    <s v="15-02-2020"/>
    <s v="Marc-Lee Tierney "/>
    <x v="0"/>
    <n v="0"/>
    <n v="0"/>
    <x v="17"/>
    <x v="0"/>
    <s v="Average"/>
    <n v="0"/>
  </r>
  <r>
    <x v="327"/>
    <x v="305"/>
    <n v="718"/>
    <x v="2"/>
    <s v="08-04-2020"/>
    <s v="BoD – Books on Demand"/>
    <x v="0"/>
    <n v="0"/>
    <n v="0"/>
    <x v="17"/>
    <x v="0"/>
    <s v="Average"/>
    <n v="0"/>
  </r>
  <r>
    <x v="328"/>
    <x v="306"/>
    <n v="748"/>
    <x v="3"/>
    <s v="05-06-2023"/>
    <s v="Taylor &amp; Francis"/>
    <x v="0"/>
    <n v="0"/>
    <n v="0"/>
    <x v="26"/>
    <x v="0"/>
    <s v="Average"/>
    <n v="0"/>
  </r>
  <r>
    <x v="329"/>
    <x v="307"/>
    <n v="598"/>
    <x v="2"/>
    <s v="17-05-2024"/>
    <s v="BoD – Books on Demand"/>
    <x v="0"/>
    <n v="0"/>
    <n v="0"/>
    <x v="16"/>
    <x v="0"/>
    <s v="Average"/>
    <n v="0"/>
  </r>
  <r>
    <x v="330"/>
    <x v="308"/>
    <n v="1532"/>
    <x v="30"/>
    <s v="12-08-2019"/>
    <s v="BRILL"/>
    <x v="0"/>
    <n v="0"/>
    <n v="0"/>
    <x v="20"/>
    <x v="0"/>
    <s v="Average"/>
    <n v="0"/>
  </r>
  <r>
    <x v="331"/>
    <x v="309"/>
    <n v="130"/>
    <x v="23"/>
    <s v="01-06-2023"/>
    <s v="Notion Press"/>
    <x v="0"/>
    <n v="0"/>
    <n v="0"/>
    <x v="26"/>
    <x v="0"/>
    <s v="Average"/>
    <n v="0"/>
  </r>
  <r>
    <x v="332"/>
    <x v="310"/>
    <n v="249"/>
    <x v="3"/>
    <s v="09-01-2024"/>
    <s v="Down East Books"/>
    <x v="0"/>
    <n v="0"/>
    <n v="0"/>
    <x v="16"/>
    <x v="0"/>
    <s v="Average"/>
    <n v="0"/>
  </r>
  <r>
    <x v="333"/>
    <x v="311"/>
    <n v="209"/>
    <x v="6"/>
    <s v="01-01-2010"/>
    <s v="Liverpool University Press"/>
    <x v="0"/>
    <n v="0"/>
    <n v="0"/>
    <x v="1"/>
    <x v="0"/>
    <s v="Average"/>
    <n v="0"/>
  </r>
  <r>
    <x v="334"/>
    <x v="312"/>
    <n v="212"/>
    <x v="0"/>
    <s v="22-03-2021"/>
    <s v="Walter de Gruyter GmbH &amp; Co KG"/>
    <x v="0"/>
    <n v="0"/>
    <n v="0"/>
    <x v="12"/>
    <x v="0"/>
    <s v="Average"/>
    <n v="0"/>
  </r>
  <r>
    <x v="335"/>
    <x v="313"/>
    <n v="352"/>
    <x v="23"/>
    <s v="01-01-2003"/>
    <s v="Random House Trade Paperbacks"/>
    <x v="0"/>
    <n v="4"/>
    <n v="6"/>
    <x v="10"/>
    <x v="2"/>
    <s v="Average"/>
    <n v="24"/>
  </r>
  <r>
    <x v="336"/>
    <x v="314"/>
    <n v="775"/>
    <x v="11"/>
    <s v="23-05-2022"/>
    <s v="Taylor &amp; Francis"/>
    <x v="0"/>
    <n v="0"/>
    <n v="0"/>
    <x v="13"/>
    <x v="0"/>
    <s v="Average"/>
    <n v="0"/>
  </r>
  <r>
    <x v="337"/>
    <x v="315"/>
    <n v="276"/>
    <x v="11"/>
    <s v="01-01-2000"/>
    <s v="Psychology Press"/>
    <x v="0"/>
    <n v="4"/>
    <n v="1"/>
    <x v="23"/>
    <x v="2"/>
    <s v="Average"/>
    <n v="4"/>
  </r>
  <r>
    <x v="338"/>
    <x v="316"/>
    <n v="162"/>
    <x v="49"/>
    <s v="19-12-2013"/>
    <s v="Routledge"/>
    <x v="0"/>
    <n v="0"/>
    <n v="0"/>
    <x v="28"/>
    <x v="0"/>
    <s v="Average"/>
    <n v="0"/>
  </r>
  <r>
    <x v="339"/>
    <x v="317"/>
    <n v="404"/>
    <x v="39"/>
    <s v="05-06-2013"/>
    <s v="BalboaPress"/>
    <x v="0"/>
    <n v="0"/>
    <n v="0"/>
    <x v="28"/>
    <x v="0"/>
    <s v="Average"/>
    <n v="0"/>
  </r>
  <r>
    <x v="340"/>
    <x v="318"/>
    <n v="329"/>
    <x v="31"/>
    <s v="01-01-2005"/>
    <s v="SAGE"/>
    <x v="0"/>
    <n v="0"/>
    <n v="0"/>
    <x v="25"/>
    <x v="0"/>
    <s v="Average"/>
    <n v="0"/>
  </r>
  <r>
    <x v="341"/>
    <x v="319"/>
    <n v="230"/>
    <x v="0"/>
    <s v="01-01-1986"/>
    <s v="DS Brewer"/>
    <x v="0"/>
    <n v="0"/>
    <n v="0"/>
    <x v="45"/>
    <x v="0"/>
    <s v="Average"/>
    <n v="0"/>
  </r>
  <r>
    <x v="342"/>
    <x v="320"/>
    <n v="363"/>
    <x v="11"/>
    <s v="11-09-2013"/>
    <s v="Routledge"/>
    <x v="0"/>
    <n v="0"/>
    <n v="0"/>
    <x v="28"/>
    <x v="0"/>
    <s v="Average"/>
    <n v="0"/>
  </r>
  <r>
    <x v="343"/>
    <x v="321"/>
    <n v="290"/>
    <x v="6"/>
    <s v="13-07-2000"/>
    <s v="Cambridge University Press"/>
    <x v="0"/>
    <n v="3"/>
    <n v="1"/>
    <x v="23"/>
    <x v="1"/>
    <s v="Average"/>
    <n v="3"/>
  </r>
  <r>
    <x v="344"/>
    <x v="322"/>
    <n v="248"/>
    <x v="45"/>
    <s v="27-02-1987"/>
    <s v="Cambridge University Press"/>
    <x v="0"/>
    <n v="0"/>
    <n v="0"/>
    <x v="46"/>
    <x v="0"/>
    <s v="Average"/>
    <n v="0"/>
  </r>
  <r>
    <x v="345"/>
    <x v="323"/>
    <n v="52"/>
    <x v="50"/>
    <s v="01-01-2005"/>
    <s v="Essential Resources"/>
    <x v="0"/>
    <n v="0"/>
    <n v="0"/>
    <x v="25"/>
    <x v="0"/>
    <s v="Average"/>
    <n v="0"/>
  </r>
  <r>
    <x v="346"/>
    <x v="324"/>
    <n v="249"/>
    <x v="5"/>
    <s v="26-07-2012"/>
    <s v="Routledge"/>
    <x v="0"/>
    <n v="0"/>
    <n v="0"/>
    <x v="9"/>
    <x v="0"/>
    <s v="Average"/>
    <n v="0"/>
  </r>
  <r>
    <x v="347"/>
    <x v="325"/>
    <n v="744"/>
    <x v="49"/>
    <s v="01-12-2009"/>
    <s v="Wildside Press LLC"/>
    <x v="0"/>
    <n v="0"/>
    <n v="0"/>
    <x v="29"/>
    <x v="0"/>
    <s v="Average"/>
    <n v="0"/>
  </r>
  <r>
    <x v="348"/>
    <x v="326"/>
    <n v="334"/>
    <x v="0"/>
    <s v="01-01-1998"/>
    <s v="Psychology Press"/>
    <x v="0"/>
    <n v="0"/>
    <n v="0"/>
    <x v="47"/>
    <x v="0"/>
    <s v="Average"/>
    <n v="0"/>
  </r>
  <r>
    <x v="349"/>
    <x v="327"/>
    <n v="663"/>
    <x v="11"/>
    <s v="28-08-2019"/>
    <s v="European Alliance for Innovation"/>
    <x v="0"/>
    <n v="0"/>
    <n v="0"/>
    <x v="20"/>
    <x v="0"/>
    <s v="Average"/>
    <n v="0"/>
  </r>
  <r>
    <x v="350"/>
    <x v="328"/>
    <n v="286"/>
    <x v="49"/>
    <s v="01-01-1994"/>
    <s v="University of Michigan Press"/>
    <x v="0"/>
    <n v="0"/>
    <n v="0"/>
    <x v="30"/>
    <x v="0"/>
    <s v="Average"/>
    <n v="0"/>
  </r>
  <r>
    <x v="351"/>
    <x v="329"/>
    <n v="469"/>
    <x v="3"/>
    <s v="22-12-2023"/>
    <s v="Univ of California Press"/>
    <x v="0"/>
    <n v="0"/>
    <n v="0"/>
    <x v="26"/>
    <x v="0"/>
    <s v="Average"/>
    <n v="0"/>
  </r>
  <r>
    <x v="352"/>
    <x v="330"/>
    <n v="346"/>
    <x v="8"/>
    <s v="12-01-2010"/>
    <s v="iUniverse"/>
    <x v="0"/>
    <n v="0"/>
    <n v="0"/>
    <x v="1"/>
    <x v="0"/>
    <s v="Average"/>
    <n v="0"/>
  </r>
  <r>
    <x v="353"/>
    <x v="331"/>
    <n v="739"/>
    <x v="31"/>
    <s v="24-10-2013"/>
    <s v="A&amp;C Black"/>
    <x v="0"/>
    <n v="0"/>
    <n v="0"/>
    <x v="28"/>
    <x v="0"/>
    <s v="Average"/>
    <n v="0"/>
  </r>
  <r>
    <x v="354"/>
    <x v="332"/>
    <n v="1434"/>
    <x v="11"/>
    <s v="28-04-2004"/>
    <s v="Routledge"/>
    <x v="0"/>
    <n v="0"/>
    <n v="0"/>
    <x v="22"/>
    <x v="0"/>
    <s v="Average"/>
    <n v="0"/>
  </r>
  <r>
    <x v="355"/>
    <x v="333"/>
    <n v="713"/>
    <x v="15"/>
    <s v="28-02-2025"/>
    <s v="Taylor &amp; Francis"/>
    <x v="0"/>
    <n v="0"/>
    <n v="0"/>
    <x v="34"/>
    <x v="0"/>
    <s v="Average"/>
    <n v="0"/>
  </r>
  <r>
    <x v="356"/>
    <x v="334"/>
    <n v="313"/>
    <x v="25"/>
    <s v="09-08-2018"/>
    <s v="Notion Press"/>
    <x v="0"/>
    <n v="0"/>
    <n v="0"/>
    <x v="7"/>
    <x v="0"/>
    <s v="Average"/>
    <n v="0"/>
  </r>
  <r>
    <x v="357"/>
    <x v="335"/>
    <n v="745"/>
    <x v="28"/>
    <s v="23-12-2003"/>
    <s v="SAGE Publications"/>
    <x v="0"/>
    <n v="5"/>
    <n v="1"/>
    <x v="10"/>
    <x v="2"/>
    <s v="Average"/>
    <n v="5"/>
  </r>
  <r>
    <x v="358"/>
    <x v="336"/>
    <n v="19"/>
    <x v="9"/>
    <s v="11-04-2023"/>
    <s v="Zamfir Iacob"/>
    <x v="0"/>
    <n v="0"/>
    <n v="0"/>
    <x v="26"/>
    <x v="0"/>
    <s v="Average"/>
    <n v="0"/>
  </r>
  <r>
    <x v="359"/>
    <x v="337"/>
    <n v="3907"/>
    <x v="2"/>
    <s v="25-11-2023"/>
    <s v="Good Press"/>
    <x v="0"/>
    <n v="0"/>
    <n v="0"/>
    <x v="26"/>
    <x v="0"/>
    <s v="Average"/>
    <n v="0"/>
  </r>
  <r>
    <x v="360"/>
    <x v="337"/>
    <n v="8114"/>
    <x v="2"/>
    <s v="26-06-2017"/>
    <s v="e-artnow"/>
    <x v="0"/>
    <n v="0"/>
    <n v="0"/>
    <x v="3"/>
    <x v="0"/>
    <s v="Average"/>
    <n v="0"/>
  </r>
  <r>
    <x v="361"/>
    <x v="338"/>
    <n v="1108"/>
    <x v="0"/>
    <s v="01-01-1990"/>
    <s v="Stanford University Press"/>
    <x v="0"/>
    <n v="5"/>
    <n v="1"/>
    <x v="4"/>
    <x v="2"/>
    <s v="Average"/>
    <n v="5"/>
  </r>
  <r>
    <x v="362"/>
    <x v="339"/>
    <n v="68"/>
    <x v="11"/>
    <s v="05-01-2015"/>
    <s v="Carson-Dellosa Publishing"/>
    <x v="0"/>
    <n v="0"/>
    <n v="0"/>
    <x v="14"/>
    <x v="0"/>
    <s v="Average"/>
    <n v="0"/>
  </r>
  <r>
    <x v="363"/>
    <x v="340"/>
    <n v="865"/>
    <x v="11"/>
    <s v="18-09-2006"/>
    <s v="SAGE"/>
    <x v="0"/>
    <n v="0"/>
    <n v="0"/>
    <x v="24"/>
    <x v="0"/>
    <s v="Average"/>
    <n v="0"/>
  </r>
  <r>
    <x v="364"/>
    <x v="341"/>
    <n v="488"/>
    <x v="2"/>
    <s v="17-04-2018"/>
    <s v="Andrews UK Limited"/>
    <x v="0"/>
    <n v="0"/>
    <n v="0"/>
    <x v="7"/>
    <x v="0"/>
    <s v="Average"/>
    <n v="0"/>
  </r>
  <r>
    <x v="365"/>
    <x v="194"/>
    <n v="175"/>
    <x v="25"/>
    <s v="25-09-2023"/>
    <s v="EduGorilla Community Pvt. Ltd."/>
    <x v="0"/>
    <n v="0"/>
    <n v="0"/>
    <x v="26"/>
    <x v="0"/>
    <s v="Average"/>
    <n v="0"/>
  </r>
  <r>
    <x v="366"/>
    <x v="342"/>
    <n v="460"/>
    <x v="25"/>
    <s v="01-09-2007"/>
    <s v="Sterling Publishers Pvt. Ltd"/>
    <x v="0"/>
    <n v="0"/>
    <n v="0"/>
    <x v="15"/>
    <x v="0"/>
    <s v="Average"/>
    <n v="0"/>
  </r>
  <r>
    <x v="367"/>
    <x v="343"/>
    <n v="133"/>
    <x v="43"/>
    <s v="04-05-2024"/>
    <s v="Nicky Huys Books"/>
    <x v="0"/>
    <n v="0"/>
    <n v="0"/>
    <x v="16"/>
    <x v="0"/>
    <s v="Average"/>
    <n v="0"/>
  </r>
  <r>
    <x v="368"/>
    <x v="344"/>
    <n v="260"/>
    <x v="15"/>
    <s v="01-03-2004"/>
    <s v="Routledge"/>
    <x v="0"/>
    <n v="0"/>
    <n v="0"/>
    <x v="22"/>
    <x v="0"/>
    <s v="Average"/>
    <n v="0"/>
  </r>
  <r>
    <x v="369"/>
    <x v="345"/>
    <n v="401"/>
    <x v="11"/>
    <s v="01-11-2021"/>
    <s v="Springer Nature"/>
    <x v="0"/>
    <n v="0"/>
    <n v="0"/>
    <x v="12"/>
    <x v="0"/>
    <s v="Average"/>
    <n v="0"/>
  </r>
  <r>
    <x v="370"/>
    <x v="346"/>
    <n v="482"/>
    <x v="11"/>
    <s v="12-11-2012"/>
    <s v="Routledge"/>
    <x v="0"/>
    <n v="5"/>
    <n v="1"/>
    <x v="9"/>
    <x v="2"/>
    <s v="Average"/>
    <n v="5"/>
  </r>
  <r>
    <x v="371"/>
    <x v="347"/>
    <n v="501"/>
    <x v="25"/>
    <s v="05-05-2010"/>
    <s v="John Wiley &amp; Sons"/>
    <x v="0"/>
    <n v="0"/>
    <n v="0"/>
    <x v="1"/>
    <x v="0"/>
    <s v="Average"/>
    <n v="0"/>
  </r>
  <r>
    <x v="372"/>
    <x v="348"/>
    <n v="129"/>
    <x v="2"/>
    <s v="19-08-2024"/>
    <s v="Mona Leung"/>
    <x v="0"/>
    <n v="0"/>
    <n v="0"/>
    <x v="16"/>
    <x v="0"/>
    <s v="Average"/>
    <n v="0"/>
  </r>
  <r>
    <x v="373"/>
    <x v="349"/>
    <n v="204"/>
    <x v="8"/>
    <s v="22-11-2019"/>
    <s v="Good Press"/>
    <x v="0"/>
    <n v="0"/>
    <n v="0"/>
    <x v="20"/>
    <x v="0"/>
    <s v="Average"/>
    <n v="0"/>
  </r>
  <r>
    <x v="374"/>
    <x v="350"/>
    <n v="237"/>
    <x v="15"/>
    <s v="11-04-2020"/>
    <s v="Springer Nature"/>
    <x v="0"/>
    <n v="0"/>
    <n v="0"/>
    <x v="17"/>
    <x v="0"/>
    <s v="Average"/>
    <n v="0"/>
  </r>
  <r>
    <x v="375"/>
    <x v="351"/>
    <n v="46"/>
    <x v="21"/>
    <s v="20-02-2024"/>
    <s v="The Holistic Care"/>
    <x v="0"/>
    <n v="0"/>
    <n v="0"/>
    <x v="16"/>
    <x v="0"/>
    <s v="Average"/>
    <n v="0"/>
  </r>
  <r>
    <x v="376"/>
    <x v="352"/>
    <n v="128"/>
    <x v="21"/>
    <s v="19-10-2023"/>
    <s v="Sunshine Mechtenberg"/>
    <x v="0"/>
    <n v="0"/>
    <n v="0"/>
    <x v="26"/>
    <x v="0"/>
    <s v="Average"/>
    <n v="0"/>
  </r>
  <r>
    <x v="377"/>
    <x v="341"/>
    <n v="587"/>
    <x v="2"/>
    <s v="29-11-2024"/>
    <s v="Andrews UK Limited"/>
    <x v="0"/>
    <n v="0"/>
    <n v="0"/>
    <x v="16"/>
    <x v="0"/>
    <s v="Average"/>
    <n v="0"/>
  </r>
  <r>
    <x v="378"/>
    <x v="353"/>
    <n v="188"/>
    <x v="11"/>
    <s v="28-10-2024"/>
    <s v="Taylor &amp; Francis"/>
    <x v="0"/>
    <n v="0"/>
    <n v="0"/>
    <x v="16"/>
    <x v="0"/>
    <s v="Average"/>
    <n v="0"/>
  </r>
  <r>
    <x v="379"/>
    <x v="354"/>
    <n v="226"/>
    <x v="12"/>
    <s v="01-11-2007"/>
    <s v="Dog Ear Publishing"/>
    <x v="0"/>
    <n v="0"/>
    <n v="0"/>
    <x v="15"/>
    <x v="0"/>
    <s v="Average"/>
    <n v="0"/>
  </r>
  <r>
    <x v="380"/>
    <x v="355"/>
    <n v="36"/>
    <x v="9"/>
    <s v="01-08-2013"/>
    <s v="Kids Can Press"/>
    <x v="0"/>
    <n v="0"/>
    <n v="0"/>
    <x v="28"/>
    <x v="0"/>
    <s v="Average"/>
    <n v="0"/>
  </r>
  <r>
    <x v="381"/>
    <x v="356"/>
    <n v="254"/>
    <x v="0"/>
    <s v="01-01-2015"/>
    <s v="Nordic Academic Press"/>
    <x v="0"/>
    <n v="0"/>
    <n v="0"/>
    <x v="14"/>
    <x v="0"/>
    <s v="Average"/>
    <n v="0"/>
  </r>
  <r>
    <x v="382"/>
    <x v="357"/>
    <n v="306"/>
    <x v="32"/>
    <s v="27-10-2010"/>
    <s v="&quot;O'Reilly Media, Inc.&quot;"/>
    <x v="0"/>
    <n v="3"/>
    <n v="2"/>
    <x v="1"/>
    <x v="1"/>
    <s v="Average"/>
    <n v="6"/>
  </r>
  <r>
    <x v="383"/>
    <x v="358"/>
    <n v="194"/>
    <x v="31"/>
    <s v="02-11-2017"/>
    <s v="McFarland"/>
    <x v="0"/>
    <n v="0"/>
    <n v="0"/>
    <x v="3"/>
    <x v="0"/>
    <s v="Average"/>
    <n v="0"/>
  </r>
  <r>
    <x v="384"/>
    <x v="359"/>
    <n v="203"/>
    <x v="11"/>
    <s v="19-09-2012"/>
    <s v="Springer Science &amp; Business Media"/>
    <x v="0"/>
    <n v="0"/>
    <n v="0"/>
    <x v="9"/>
    <x v="0"/>
    <s v="Average"/>
    <n v="0"/>
  </r>
  <r>
    <x v="385"/>
    <x v="360"/>
    <n v="967"/>
    <x v="32"/>
    <s v="15-08-2012"/>
    <s v="Peachpit Press"/>
    <x v="0"/>
    <n v="0"/>
    <n v="0"/>
    <x v="9"/>
    <x v="0"/>
    <s v="Average"/>
    <n v="0"/>
  </r>
  <r>
    <x v="386"/>
    <x v="220"/>
    <n v="2116"/>
    <x v="45"/>
    <s v="01-01-2009"/>
    <s v="Pearson Education India"/>
    <x v="0"/>
    <n v="0"/>
    <n v="0"/>
    <x v="29"/>
    <x v="0"/>
    <s v="Average"/>
    <n v="0"/>
  </r>
  <r>
    <x v="387"/>
    <x v="361"/>
    <n v="955"/>
    <x v="32"/>
    <s v="23-11-2005"/>
    <s v="MIT Press"/>
    <x v="0"/>
    <n v="0"/>
    <n v="0"/>
    <x v="25"/>
    <x v="0"/>
    <s v="Average"/>
    <n v="0"/>
  </r>
  <r>
    <x v="388"/>
    <x v="362"/>
    <n v="612"/>
    <x v="26"/>
    <s v="17-03-2016"/>
    <s v="McFarland"/>
    <x v="0"/>
    <n v="0"/>
    <n v="0"/>
    <x v="18"/>
    <x v="0"/>
    <s v="Average"/>
    <n v="0"/>
  </r>
  <r>
    <x v="389"/>
    <x v="363"/>
    <n v="290"/>
    <x v="32"/>
    <s v="20-06-2006"/>
    <s v="Peachpit Press"/>
    <x v="0"/>
    <n v="0"/>
    <n v="0"/>
    <x v="24"/>
    <x v="0"/>
    <s v="Average"/>
    <n v="0"/>
  </r>
  <r>
    <x v="390"/>
    <x v="364"/>
    <n v="457"/>
    <x v="5"/>
    <s v="01-01-2008"/>
    <s v="U OF M MUSEUM ANTHRO ARCHAEOLOGY"/>
    <x v="0"/>
    <n v="0"/>
    <n v="0"/>
    <x v="5"/>
    <x v="0"/>
    <s v="Average"/>
    <n v="0"/>
  </r>
  <r>
    <x v="391"/>
    <x v="365"/>
    <n v="504"/>
    <x v="7"/>
    <s v="01-08-2022"/>
    <s v="Xlibris Corporation"/>
    <x v="0"/>
    <n v="0"/>
    <n v="0"/>
    <x v="13"/>
    <x v="0"/>
    <s v="Average"/>
    <n v="0"/>
  </r>
  <r>
    <x v="392"/>
    <x v="366"/>
    <n v="324"/>
    <x v="0"/>
    <s v="13-01-2014"/>
    <s v="A&amp;C Black"/>
    <x v="0"/>
    <n v="0"/>
    <n v="0"/>
    <x v="8"/>
    <x v="0"/>
    <s v="Average"/>
    <n v="0"/>
  </r>
  <r>
    <x v="393"/>
    <x v="367"/>
    <n v="589"/>
    <x v="3"/>
    <s v="09-04-2024"/>
    <s v="University of Arizona Press"/>
    <x v="0"/>
    <n v="0"/>
    <n v="0"/>
    <x v="16"/>
    <x v="0"/>
    <s v="Average"/>
    <n v="0"/>
  </r>
  <r>
    <x v="394"/>
    <x v="368"/>
    <n v="620"/>
    <x v="17"/>
    <s v="05-05-2014"/>
    <s v="JP Medical Ltd"/>
    <x v="0"/>
    <n v="5"/>
    <n v="1"/>
    <x v="8"/>
    <x v="2"/>
    <s v="Average"/>
    <n v="5"/>
  </r>
  <r>
    <x v="395"/>
    <x v="369"/>
    <n v="280"/>
    <x v="3"/>
    <s v="01-01-2007"/>
    <s v="UNM Press"/>
    <x v="0"/>
    <n v="0"/>
    <n v="0"/>
    <x v="15"/>
    <x v="0"/>
    <s v="Average"/>
    <n v="0"/>
  </r>
  <r>
    <x v="396"/>
    <x v="370"/>
    <n v="273"/>
    <x v="28"/>
    <s v="19-09-2014"/>
    <s v="Routledge"/>
    <x v="0"/>
    <n v="0"/>
    <n v="0"/>
    <x v="8"/>
    <x v="0"/>
    <s v="Average"/>
    <n v="0"/>
  </r>
  <r>
    <x v="397"/>
    <x v="371"/>
    <n v="308"/>
    <x v="20"/>
    <s v="01-02-2017"/>
    <s v="B&amp;H Publishing Group"/>
    <x v="0"/>
    <n v="0"/>
    <n v="0"/>
    <x v="3"/>
    <x v="0"/>
    <s v="Average"/>
    <n v="0"/>
  </r>
  <r>
    <x v="398"/>
    <x v="372"/>
    <n v="528"/>
    <x v="32"/>
    <s v="06-07-2009"/>
    <s v="Springer Science &amp; Business Media"/>
    <x v="0"/>
    <n v="1"/>
    <n v="1"/>
    <x v="29"/>
    <x v="0"/>
    <s v="Average"/>
    <n v="1"/>
  </r>
  <r>
    <x v="399"/>
    <x v="373"/>
    <n v="349"/>
    <x v="34"/>
    <s v="15-04-2008"/>
    <s v="John Wiley &amp; Sons"/>
    <x v="0"/>
    <n v="4.5"/>
    <n v="2"/>
    <x v="5"/>
    <x v="2"/>
    <s v="Average"/>
    <n v="9"/>
  </r>
  <r>
    <x v="400"/>
    <x v="374"/>
    <n v="752"/>
    <x v="1"/>
    <s v="22-12-2005"/>
    <s v="Routledge"/>
    <x v="0"/>
    <n v="0"/>
    <n v="0"/>
    <x v="25"/>
    <x v="0"/>
    <s v="Average"/>
    <n v="0"/>
  </r>
  <r>
    <x v="401"/>
    <x v="375"/>
    <n v="363"/>
    <x v="5"/>
    <s v="15-04-2008"/>
    <s v="John Wiley &amp; Sons"/>
    <x v="0"/>
    <n v="0"/>
    <n v="0"/>
    <x v="5"/>
    <x v="0"/>
    <s v="Average"/>
    <n v="0"/>
  </r>
  <r>
    <x v="402"/>
    <x v="376"/>
    <n v="818"/>
    <x v="5"/>
    <s v="25-07-2005"/>
    <s v="Springer Science &amp; Business Media"/>
    <x v="0"/>
    <n v="0"/>
    <n v="0"/>
    <x v="25"/>
    <x v="0"/>
    <s v="Average"/>
    <n v="0"/>
  </r>
  <r>
    <x v="403"/>
    <x v="377"/>
    <n v="177"/>
    <x v="40"/>
    <s v="24-08-2007"/>
    <s v="Turner Publishing Company"/>
    <x v="0"/>
    <n v="0"/>
    <n v="0"/>
    <x v="15"/>
    <x v="0"/>
    <s v="Average"/>
    <n v="0"/>
  </r>
  <r>
    <x v="404"/>
    <x v="378"/>
    <n v="297"/>
    <x v="30"/>
    <s v="18-03-2025"/>
    <s v="MIT Press"/>
    <x v="0"/>
    <n v="0"/>
    <n v="0"/>
    <x v="34"/>
    <x v="0"/>
    <s v="Average"/>
    <n v="0"/>
  </r>
  <r>
    <x v="405"/>
    <x v="379"/>
    <n v="334"/>
    <x v="10"/>
    <s v="16-11-2012"/>
    <s v="Springer"/>
    <x v="0"/>
    <n v="0"/>
    <n v="0"/>
    <x v="9"/>
    <x v="0"/>
    <s v="Average"/>
    <n v="0"/>
  </r>
  <r>
    <x v="406"/>
    <x v="380"/>
    <n v="330"/>
    <x v="5"/>
    <s v="01-01-2000"/>
    <s v="Rowman Altamira"/>
    <x v="0"/>
    <n v="0"/>
    <n v="0"/>
    <x v="23"/>
    <x v="0"/>
    <s v="Average"/>
    <n v="0"/>
  </r>
  <r>
    <x v="407"/>
    <x v="381"/>
    <n v="380"/>
    <x v="51"/>
    <s v="01-01-2008"/>
    <s v="Atlantic Publishers &amp; Dist"/>
    <x v="0"/>
    <n v="4"/>
    <n v="1"/>
    <x v="5"/>
    <x v="2"/>
    <s v="Average"/>
    <n v="4"/>
  </r>
  <r>
    <x v="408"/>
    <x v="382"/>
    <n v="307"/>
    <x v="19"/>
    <s v="16-07-2015"/>
    <s v="Routledge"/>
    <x v="0"/>
    <n v="0"/>
    <n v="0"/>
    <x v="14"/>
    <x v="0"/>
    <s v="Average"/>
    <n v="0"/>
  </r>
  <r>
    <x v="409"/>
    <x v="383"/>
    <n v="728"/>
    <x v="5"/>
    <s v="29-07-2022"/>
    <s v="Taylor &amp; Francis"/>
    <x v="0"/>
    <n v="0"/>
    <n v="0"/>
    <x v="13"/>
    <x v="0"/>
    <s v="Average"/>
    <n v="0"/>
  </r>
  <r>
    <x v="410"/>
    <x v="384"/>
    <n v="234"/>
    <x v="0"/>
    <s v="24-01-2023"/>
    <s v="Cambridge Scholars Publishing"/>
    <x v="0"/>
    <n v="0"/>
    <n v="0"/>
    <x v="26"/>
    <x v="0"/>
    <s v="Average"/>
    <n v="0"/>
  </r>
  <r>
    <x v="411"/>
    <x v="385"/>
    <n v="475"/>
    <x v="30"/>
    <s v="11-05-2023"/>
    <s v="Taylor &amp; Francis"/>
    <x v="0"/>
    <n v="0"/>
    <n v="0"/>
    <x v="26"/>
    <x v="0"/>
    <s v="Average"/>
    <n v="0"/>
  </r>
  <r>
    <x v="412"/>
    <x v="386"/>
    <n v="862"/>
    <x v="31"/>
    <s v="18-09-2018"/>
    <s v="Springer"/>
    <x v="0"/>
    <n v="0"/>
    <n v="0"/>
    <x v="7"/>
    <x v="0"/>
    <s v="Average"/>
    <n v="0"/>
  </r>
  <r>
    <x v="413"/>
    <x v="387"/>
    <n v="251"/>
    <x v="11"/>
    <s v="01-08-2021"/>
    <s v="IAP"/>
    <x v="0"/>
    <n v="0"/>
    <n v="0"/>
    <x v="12"/>
    <x v="0"/>
    <s v="Average"/>
    <n v="0"/>
  </r>
  <r>
    <x v="414"/>
    <x v="388"/>
    <n v="348"/>
    <x v="25"/>
    <s v="15-01-2015"/>
    <s v="Cambridge University Press"/>
    <x v="0"/>
    <n v="0"/>
    <n v="0"/>
    <x v="14"/>
    <x v="0"/>
    <s v="Average"/>
    <n v="0"/>
  </r>
  <r>
    <x v="415"/>
    <x v="389"/>
    <n v="400"/>
    <x v="10"/>
    <s v="01-09-2023"/>
    <s v="Taylor &amp; Francis"/>
    <x v="0"/>
    <n v="0"/>
    <n v="0"/>
    <x v="26"/>
    <x v="0"/>
    <s v="Average"/>
    <n v="0"/>
  </r>
  <r>
    <x v="416"/>
    <x v="390"/>
    <n v="277"/>
    <x v="15"/>
    <s v="08-12-2015"/>
    <s v="Springer"/>
    <x v="0"/>
    <n v="0"/>
    <n v="0"/>
    <x v="14"/>
    <x v="0"/>
    <s v="Average"/>
    <n v="0"/>
  </r>
  <r>
    <x v="417"/>
    <x v="391"/>
    <n v="380"/>
    <x v="7"/>
    <s v="23-07-2018"/>
    <s v="Walter de Gruyter GmbH &amp; Co KG"/>
    <x v="0"/>
    <n v="0"/>
    <n v="0"/>
    <x v="7"/>
    <x v="0"/>
    <s v="Average"/>
    <n v="0"/>
  </r>
  <r>
    <x v="418"/>
    <x v="392"/>
    <n v="391"/>
    <x v="5"/>
    <s v="13-05-2016"/>
    <s v="Routledge"/>
    <x v="0"/>
    <n v="0"/>
    <n v="0"/>
    <x v="18"/>
    <x v="0"/>
    <s v="Average"/>
    <n v="0"/>
  </r>
  <r>
    <x v="419"/>
    <x v="393"/>
    <n v="182"/>
    <x v="0"/>
    <s v="25-03-2024"/>
    <s v="Springer Nature"/>
    <x v="0"/>
    <n v="0"/>
    <n v="0"/>
    <x v="16"/>
    <x v="0"/>
    <s v="Average"/>
    <n v="0"/>
  </r>
  <r>
    <x v="420"/>
    <x v="394"/>
    <n v="298"/>
    <x v="31"/>
    <s v="13-06-2020"/>
    <s v="Springer Nature"/>
    <x v="0"/>
    <n v="0"/>
    <n v="0"/>
    <x v="17"/>
    <x v="0"/>
    <s v="Average"/>
    <n v="0"/>
  </r>
  <r>
    <x v="421"/>
    <x v="395"/>
    <n v="281"/>
    <x v="0"/>
    <s v="28-08-2019"/>
    <s v="Springer Nature"/>
    <x v="0"/>
    <n v="0"/>
    <n v="0"/>
    <x v="20"/>
    <x v="0"/>
    <s v="Average"/>
    <n v="0"/>
  </r>
  <r>
    <x v="422"/>
    <x v="396"/>
    <n v="519"/>
    <x v="25"/>
    <s v="31-12-2024"/>
    <s v="John Wiley &amp; Sons"/>
    <x v="0"/>
    <n v="0"/>
    <n v="0"/>
    <x v="16"/>
    <x v="0"/>
    <s v="Average"/>
    <n v="0"/>
  </r>
  <r>
    <x v="423"/>
    <x v="397"/>
    <n v="104"/>
    <x v="30"/>
    <s v="14-10-2022"/>
    <s v="Taylor &amp; Francis"/>
    <x v="0"/>
    <n v="0"/>
    <n v="0"/>
    <x v="13"/>
    <x v="0"/>
    <s v="Average"/>
    <n v="0"/>
  </r>
  <r>
    <x v="424"/>
    <x v="398"/>
    <n v="264"/>
    <x v="10"/>
    <s v="08-07-2005"/>
    <s v="Routledge"/>
    <x v="0"/>
    <n v="0"/>
    <n v="0"/>
    <x v="25"/>
    <x v="0"/>
    <s v="Average"/>
    <n v="0"/>
  </r>
  <r>
    <x v="425"/>
    <x v="399"/>
    <n v="641"/>
    <x v="31"/>
    <s v="08-10-2013"/>
    <s v="Routledge"/>
    <x v="0"/>
    <n v="0"/>
    <n v="0"/>
    <x v="28"/>
    <x v="0"/>
    <s v="Average"/>
    <n v="0"/>
  </r>
  <r>
    <x v="426"/>
    <x v="400"/>
    <n v="417"/>
    <x v="6"/>
    <s v="27-12-2012"/>
    <s v="A&amp;C Black"/>
    <x v="0"/>
    <n v="5"/>
    <n v="1"/>
    <x v="9"/>
    <x v="2"/>
    <s v="Average"/>
    <n v="5"/>
  </r>
  <r>
    <x v="427"/>
    <x v="401"/>
    <n v="509"/>
    <x v="0"/>
    <s v="22-05-2014"/>
    <s v="Routledge"/>
    <x v="0"/>
    <n v="0"/>
    <n v="0"/>
    <x v="8"/>
    <x v="0"/>
    <s v="Average"/>
    <n v="0"/>
  </r>
  <r>
    <x v="428"/>
    <x v="23"/>
    <n v="394"/>
    <x v="2"/>
    <s v="02-08-2024"/>
    <s v="BoD – Books on Demand"/>
    <x v="0"/>
    <n v="0"/>
    <n v="0"/>
    <x v="16"/>
    <x v="0"/>
    <s v="Average"/>
    <n v="0"/>
  </r>
  <r>
    <x v="429"/>
    <x v="402"/>
    <n v="562"/>
    <x v="25"/>
    <s v="02-08-2017"/>
    <s v="McGraw Hill"/>
    <x v="0"/>
    <n v="0"/>
    <n v="0"/>
    <x v="3"/>
    <x v="0"/>
    <s v="Average"/>
    <n v="0"/>
  </r>
  <r>
    <x v="430"/>
    <x v="403"/>
    <n v="529"/>
    <x v="7"/>
    <s v="23-03-2011"/>
    <s v="Taylor &amp; Francis"/>
    <x v="0"/>
    <n v="0"/>
    <n v="0"/>
    <x v="27"/>
    <x v="0"/>
    <s v="Average"/>
    <n v="0"/>
  </r>
  <r>
    <x v="431"/>
    <x v="404"/>
    <n v="469"/>
    <x v="3"/>
    <s v="01-01-2011"/>
    <s v="Routledge"/>
    <x v="0"/>
    <n v="0"/>
    <n v="0"/>
    <x v="27"/>
    <x v="0"/>
    <s v="Average"/>
    <n v="0"/>
  </r>
  <r>
    <x v="432"/>
    <x v="405"/>
    <n v="353"/>
    <x v="5"/>
    <s v="28-06-2023"/>
    <s v="Taylor &amp; Francis"/>
    <x v="0"/>
    <n v="0"/>
    <n v="0"/>
    <x v="26"/>
    <x v="0"/>
    <s v="Average"/>
    <n v="0"/>
  </r>
  <r>
    <x v="433"/>
    <x v="406"/>
    <n v="190"/>
    <x v="30"/>
    <s v="01-01-2004"/>
    <s v="UNSW Press"/>
    <x v="0"/>
    <n v="2"/>
    <n v="1"/>
    <x v="22"/>
    <x v="0"/>
    <s v="Average"/>
    <n v="2"/>
  </r>
  <r>
    <x v="434"/>
    <x v="407"/>
    <n v="12"/>
    <x v="13"/>
    <s v="31-08-2022"/>
    <s v="GRIN Verlag"/>
    <x v="0"/>
    <n v="0"/>
    <n v="0"/>
    <x v="13"/>
    <x v="0"/>
    <s v="Average"/>
    <n v="0"/>
  </r>
  <r>
    <x v="435"/>
    <x v="408"/>
    <n v="674"/>
    <x v="25"/>
    <s v="10-08-2021"/>
    <s v="John Wiley &amp; Sons"/>
    <x v="0"/>
    <n v="5"/>
    <n v="1"/>
    <x v="12"/>
    <x v="2"/>
    <s v="Average"/>
    <n v="5"/>
  </r>
  <r>
    <x v="436"/>
    <x v="409"/>
    <n v="34"/>
    <x v="20"/>
    <s v="15-07-2021"/>
    <s v="Enslow Publishing, LLC"/>
    <x v="0"/>
    <n v="0"/>
    <n v="0"/>
    <x v="12"/>
    <x v="0"/>
    <s v="Average"/>
    <n v="0"/>
  </r>
  <r>
    <x v="437"/>
    <x v="410"/>
    <n v="329"/>
    <x v="6"/>
    <s v="01-09-2016"/>
    <s v="American Library Association"/>
    <x v="0"/>
    <n v="0"/>
    <n v="0"/>
    <x v="18"/>
    <x v="0"/>
    <s v="Average"/>
    <n v="0"/>
  </r>
  <r>
    <x v="438"/>
    <x v="411"/>
    <n v="194"/>
    <x v="5"/>
    <s v="26-07-2012"/>
    <s v="Routledge"/>
    <x v="0"/>
    <n v="0"/>
    <n v="0"/>
    <x v="9"/>
    <x v="0"/>
    <s v="Average"/>
    <n v="0"/>
  </r>
  <r>
    <x v="439"/>
    <x v="412"/>
    <n v="92"/>
    <x v="12"/>
    <s v="01-01-1997"/>
    <s v="Saint Mary's Press"/>
    <x v="0"/>
    <n v="0"/>
    <n v="0"/>
    <x v="42"/>
    <x v="0"/>
    <s v="Average"/>
    <n v="0"/>
  </r>
  <r>
    <x v="440"/>
    <x v="413"/>
    <n v="397"/>
    <x v="6"/>
    <s v="05-07-2011"/>
    <s v="John Wiley &amp; Sons"/>
    <x v="0"/>
    <n v="0"/>
    <n v="0"/>
    <x v="27"/>
    <x v="0"/>
    <s v="Average"/>
    <n v="0"/>
  </r>
  <r>
    <x v="441"/>
    <x v="414"/>
    <n v="539"/>
    <x v="17"/>
    <s v="12-01-2017"/>
    <s v="Taylor &amp; Francis"/>
    <x v="0"/>
    <n v="5"/>
    <n v="1"/>
    <x v="3"/>
    <x v="2"/>
    <s v="Average"/>
    <n v="5"/>
  </r>
  <r>
    <x v="442"/>
    <x v="415"/>
    <n v="207"/>
    <x v="12"/>
    <s v="25-05-2018"/>
    <s v="Wipf and Stock Publishers"/>
    <x v="0"/>
    <n v="0"/>
    <n v="0"/>
    <x v="7"/>
    <x v="0"/>
    <s v="Average"/>
    <n v="0"/>
  </r>
  <r>
    <x v="443"/>
    <x v="416"/>
    <n v="369"/>
    <x v="11"/>
    <s v="14-02-2013"/>
    <s v="SAGE Publications"/>
    <x v="0"/>
    <n v="0"/>
    <n v="0"/>
    <x v="28"/>
    <x v="0"/>
    <s v="Average"/>
    <n v="0"/>
  </r>
  <r>
    <x v="444"/>
    <x v="417"/>
    <n v="538"/>
    <x v="17"/>
    <s v="23-09-2007"/>
    <s v="Springer Science &amp; Business Media"/>
    <x v="0"/>
    <n v="5"/>
    <n v="1"/>
    <x v="15"/>
    <x v="2"/>
    <s v="Average"/>
    <n v="5"/>
  </r>
  <r>
    <x v="445"/>
    <x v="418"/>
    <n v="51"/>
    <x v="12"/>
    <s v="01-11-2012"/>
    <s v="Abingdon Press"/>
    <x v="0"/>
    <n v="0"/>
    <n v="0"/>
    <x v="9"/>
    <x v="0"/>
    <s v="Average"/>
    <n v="0"/>
  </r>
  <r>
    <x v="446"/>
    <x v="419"/>
    <n v="239"/>
    <x v="17"/>
    <s v="30-05-2018"/>
    <s v="Springer"/>
    <x v="0"/>
    <n v="0"/>
    <n v="0"/>
    <x v="7"/>
    <x v="0"/>
    <s v="Average"/>
    <n v="0"/>
  </r>
  <r>
    <x v="447"/>
    <x v="420"/>
    <n v="625"/>
    <x v="10"/>
    <s v="01-01-2008"/>
    <s v="SAGE"/>
    <x v="0"/>
    <n v="5"/>
    <n v="2"/>
    <x v="5"/>
    <x v="2"/>
    <s v="Average"/>
    <n v="10"/>
  </r>
  <r>
    <x v="448"/>
    <x v="421"/>
    <n v="220"/>
    <x v="6"/>
    <s v="05-03-2014"/>
    <s v="Routledge"/>
    <x v="0"/>
    <n v="0"/>
    <n v="0"/>
    <x v="8"/>
    <x v="0"/>
    <s v="Average"/>
    <n v="0"/>
  </r>
  <r>
    <x v="449"/>
    <x v="422"/>
    <n v="1146"/>
    <x v="24"/>
    <s v="01-10-2003"/>
    <s v="SAGE"/>
    <x v="0"/>
    <n v="1"/>
    <n v="1"/>
    <x v="10"/>
    <x v="0"/>
    <s v="Average"/>
    <n v="1"/>
  </r>
  <r>
    <x v="450"/>
    <x v="423"/>
    <n v="199"/>
    <x v="5"/>
    <s v="01-12-2006"/>
    <s v="McGraw-Hill Education (UK)"/>
    <x v="0"/>
    <n v="0"/>
    <n v="0"/>
    <x v="24"/>
    <x v="0"/>
    <s v="Average"/>
    <n v="0"/>
  </r>
  <r>
    <x v="451"/>
    <x v="384"/>
    <n v="258"/>
    <x v="0"/>
    <s v="01-11-2021"/>
    <s v="Cambridge Scholars Publishing"/>
    <x v="0"/>
    <n v="0"/>
    <n v="0"/>
    <x v="12"/>
    <x v="0"/>
    <s v="Average"/>
    <n v="0"/>
  </r>
  <r>
    <x v="452"/>
    <x v="424"/>
    <n v="156"/>
    <x v="33"/>
    <s v="01-01-2003"/>
    <s v="American Library Association"/>
    <x v="0"/>
    <n v="0"/>
    <n v="0"/>
    <x v="10"/>
    <x v="0"/>
    <s v="Average"/>
    <n v="0"/>
  </r>
  <r>
    <x v="453"/>
    <x v="425"/>
    <n v="171"/>
    <x v="5"/>
    <s v="08-04-2016"/>
    <s v="Routledge"/>
    <x v="0"/>
    <n v="0"/>
    <n v="0"/>
    <x v="18"/>
    <x v="0"/>
    <s v="Average"/>
    <n v="0"/>
  </r>
  <r>
    <x v="454"/>
    <x v="426"/>
    <n v="272"/>
    <x v="5"/>
    <s v="11-12-2011"/>
    <s v="Springer Science &amp; Business Media"/>
    <x v="0"/>
    <n v="0"/>
    <n v="0"/>
    <x v="27"/>
    <x v="0"/>
    <s v="Average"/>
    <n v="0"/>
  </r>
  <r>
    <x v="455"/>
    <x v="427"/>
    <n v="364"/>
    <x v="11"/>
    <s v="17-07-2009"/>
    <s v="Government Printing Office"/>
    <x v="0"/>
    <n v="0"/>
    <n v="0"/>
    <x v="29"/>
    <x v="0"/>
    <s v="Average"/>
    <n v="0"/>
  </r>
  <r>
    <x v="456"/>
    <x v="428"/>
    <n v="497"/>
    <x v="5"/>
    <s v="25-03-2022"/>
    <s v="Springer Nature"/>
    <x v="0"/>
    <n v="0"/>
    <n v="0"/>
    <x v="13"/>
    <x v="0"/>
    <s v="Average"/>
    <n v="0"/>
  </r>
  <r>
    <x v="457"/>
    <x v="429"/>
    <n v="261"/>
    <x v="5"/>
    <s v="18-04-2023"/>
    <s v="Vernon Press"/>
    <x v="0"/>
    <n v="0"/>
    <n v="0"/>
    <x v="26"/>
    <x v="0"/>
    <s v="Average"/>
    <n v="0"/>
  </r>
  <r>
    <x v="458"/>
    <x v="430"/>
    <n v="249"/>
    <x v="39"/>
    <s v="26-10-2012"/>
    <s v="Xlibris Corporation"/>
    <x v="0"/>
    <n v="0"/>
    <n v="0"/>
    <x v="9"/>
    <x v="0"/>
    <s v="Average"/>
    <n v="0"/>
  </r>
  <r>
    <x v="459"/>
    <x v="431"/>
    <n v="297"/>
    <x v="17"/>
    <s v="21-03-2017"/>
    <s v="Elsevier Health Sciences"/>
    <x v="0"/>
    <n v="0"/>
    <n v="0"/>
    <x v="3"/>
    <x v="0"/>
    <s v="Average"/>
    <n v="0"/>
  </r>
  <r>
    <x v="460"/>
    <x v="432"/>
    <n v="309"/>
    <x v="17"/>
    <s v="20-03-2023"/>
    <s v="John Wiley &amp; Sons"/>
    <x v="0"/>
    <n v="0"/>
    <n v="0"/>
    <x v="26"/>
    <x v="0"/>
    <s v="Average"/>
    <n v="0"/>
  </r>
  <r>
    <x v="461"/>
    <x v="433"/>
    <n v="212"/>
    <x v="6"/>
    <s v="01-01-1988"/>
    <s v="Betterway Books"/>
    <x v="0"/>
    <n v="0"/>
    <n v="0"/>
    <x v="11"/>
    <x v="0"/>
    <s v="Average"/>
    <n v="0"/>
  </r>
  <r>
    <x v="462"/>
    <x v="434"/>
    <n v="245"/>
    <x v="28"/>
    <s v="30-09-1992"/>
    <s v="Springer Science &amp; Business Media"/>
    <x v="0"/>
    <n v="0"/>
    <n v="0"/>
    <x v="48"/>
    <x v="0"/>
    <s v="Average"/>
    <n v="0"/>
  </r>
  <r>
    <x v="463"/>
    <x v="435"/>
    <n v="876"/>
    <x v="17"/>
    <s v="01-01-2007"/>
    <s v="Elsevier Health Sciences"/>
    <x v="0"/>
    <n v="0"/>
    <n v="0"/>
    <x v="15"/>
    <x v="0"/>
    <s v="Average"/>
    <n v="0"/>
  </r>
  <r>
    <x v="464"/>
    <x v="436"/>
    <n v="308"/>
    <x v="11"/>
    <s v="01-01-2007"/>
    <s v="Allyn &amp; Bacon"/>
    <x v="0"/>
    <n v="0"/>
    <n v="0"/>
    <x v="15"/>
    <x v="0"/>
    <s v="Average"/>
    <n v="0"/>
  </r>
  <r>
    <x v="465"/>
    <x v="437"/>
    <n v="219"/>
    <x v="5"/>
    <s v="06-01-2023"/>
    <s v="SAGE"/>
    <x v="0"/>
    <n v="0"/>
    <n v="0"/>
    <x v="26"/>
    <x v="0"/>
    <s v="Average"/>
    <n v="0"/>
  </r>
  <r>
    <x v="466"/>
    <x v="438"/>
    <n v="775"/>
    <x v="17"/>
    <s v="19-05-2010"/>
    <s v="Elsevier Health Sciences"/>
    <x v="0"/>
    <n v="0"/>
    <n v="0"/>
    <x v="1"/>
    <x v="0"/>
    <s v="Average"/>
    <n v="0"/>
  </r>
  <r>
    <x v="467"/>
    <x v="439"/>
    <n v="106"/>
    <x v="11"/>
    <s v="01-01-2004"/>
    <s v="Pippin Publishing Corporation"/>
    <x v="0"/>
    <n v="5"/>
    <n v="1"/>
    <x v="22"/>
    <x v="2"/>
    <s v="Average"/>
    <n v="5"/>
  </r>
  <r>
    <x v="468"/>
    <x v="440"/>
    <n v="212"/>
    <x v="11"/>
    <s v="01-01-2001"/>
    <s v="Psychology Press"/>
    <x v="0"/>
    <n v="0"/>
    <n v="0"/>
    <x v="32"/>
    <x v="0"/>
    <s v="Average"/>
    <n v="0"/>
  </r>
  <r>
    <x v="469"/>
    <x v="441"/>
    <n v="210"/>
    <x v="5"/>
    <s v="15-06-2008"/>
    <s v="Jessica Kingsley Publishers"/>
    <x v="0"/>
    <n v="0"/>
    <n v="0"/>
    <x v="5"/>
    <x v="0"/>
    <s v="Average"/>
    <n v="0"/>
  </r>
  <r>
    <x v="470"/>
    <x v="442"/>
    <n v="160"/>
    <x v="11"/>
    <s v="01-01-1971"/>
    <s v="Manchester University Press"/>
    <x v="0"/>
    <n v="0"/>
    <n v="0"/>
    <x v="41"/>
    <x v="0"/>
    <s v="Average"/>
    <n v="0"/>
  </r>
  <r>
    <x v="471"/>
    <x v="443"/>
    <n v="212"/>
    <x v="30"/>
    <s v="01-01-1982"/>
    <s v="Psychology Press"/>
    <x v="0"/>
    <n v="5"/>
    <n v="1"/>
    <x v="49"/>
    <x v="2"/>
    <s v="Average"/>
    <n v="5"/>
  </r>
  <r>
    <x v="472"/>
    <x v="444"/>
    <n v="122"/>
    <x v="11"/>
    <s v="01-01-2005"/>
    <s v="ESRI"/>
    <x v="0"/>
    <n v="0"/>
    <n v="0"/>
    <x v="25"/>
    <x v="0"/>
    <s v="Average"/>
    <n v="0"/>
  </r>
  <r>
    <x v="473"/>
    <x v="445"/>
    <n v="656"/>
    <x v="28"/>
    <s v="01-10-2008"/>
    <s v="Transaction Publishers"/>
    <x v="0"/>
    <n v="0"/>
    <n v="0"/>
    <x v="5"/>
    <x v="0"/>
    <s v="Average"/>
    <n v="0"/>
  </r>
  <r>
    <x v="474"/>
    <x v="446"/>
    <n v="194"/>
    <x v="24"/>
    <s v="15-01-2008"/>
    <s v="Jessica Kingsley Publishers"/>
    <x v="0"/>
    <n v="0"/>
    <n v="0"/>
    <x v="5"/>
    <x v="0"/>
    <s v="Average"/>
    <n v="0"/>
  </r>
  <r>
    <x v="475"/>
    <x v="447"/>
    <n v="126"/>
    <x v="5"/>
    <s v="01-01-2006"/>
    <s v="HSRC Press"/>
    <x v="0"/>
    <n v="0"/>
    <n v="0"/>
    <x v="24"/>
    <x v="0"/>
    <s v="Average"/>
    <n v="0"/>
  </r>
  <r>
    <x v="476"/>
    <x v="448"/>
    <n v="32"/>
    <x v="11"/>
    <s v="22-05-2007"/>
    <s v="Catholic Relief Services"/>
    <x v="0"/>
    <n v="0"/>
    <n v="0"/>
    <x v="15"/>
    <x v="0"/>
    <s v="Average"/>
    <n v="0"/>
  </r>
  <r>
    <x v="477"/>
    <x v="449"/>
    <n v="278"/>
    <x v="0"/>
    <s v="01-01-2002"/>
    <s v="Yale University Press"/>
    <x v="0"/>
    <n v="0"/>
    <n v="0"/>
    <x v="6"/>
    <x v="0"/>
    <s v="Average"/>
    <n v="0"/>
  </r>
  <r>
    <x v="478"/>
    <x v="450"/>
    <n v="128"/>
    <x v="11"/>
    <s v="26-07-1995"/>
    <s v="SAGE"/>
    <x v="0"/>
    <n v="0"/>
    <n v="0"/>
    <x v="50"/>
    <x v="0"/>
    <s v="Average"/>
    <n v="0"/>
  </r>
  <r>
    <x v="479"/>
    <x v="451"/>
    <n v="136"/>
    <x v="5"/>
    <s v="01-01-2004"/>
    <s v="The Stationery Office"/>
    <x v="0"/>
    <n v="0"/>
    <n v="0"/>
    <x v="22"/>
    <x v="0"/>
    <s v="Average"/>
    <n v="0"/>
  </r>
  <r>
    <x v="480"/>
    <x v="452"/>
    <n v="306"/>
    <x v="11"/>
    <s v="01-01-2002"/>
    <s v="Psychology Press"/>
    <x v="0"/>
    <n v="0"/>
    <n v="0"/>
    <x v="6"/>
    <x v="0"/>
    <s v="Average"/>
    <n v="0"/>
  </r>
  <r>
    <x v="481"/>
    <x v="453"/>
    <n v="128"/>
    <x v="10"/>
    <s v="01-01-1997"/>
    <s v="Council of Europe"/>
    <x v="0"/>
    <n v="0"/>
    <n v="0"/>
    <x v="42"/>
    <x v="0"/>
    <s v="Average"/>
    <n v="0"/>
  </r>
  <r>
    <x v="482"/>
    <x v="454"/>
    <n v="269"/>
    <x v="2"/>
    <s v="25-05-2000"/>
    <s v="Simon and Schuster"/>
    <x v="0"/>
    <n v="4.5"/>
    <n v="2"/>
    <x v="23"/>
    <x v="2"/>
    <s v="Average"/>
    <n v="9"/>
  </r>
  <r>
    <x v="483"/>
    <x v="455"/>
    <n v="116"/>
    <x v="6"/>
    <s v="02-05-2008"/>
    <s v="Turner Publishing Company"/>
    <x v="0"/>
    <n v="0"/>
    <n v="0"/>
    <x v="5"/>
    <x v="0"/>
    <s v="Average"/>
    <n v="0"/>
  </r>
  <r>
    <x v="484"/>
    <x v="456"/>
    <n v="339"/>
    <x v="39"/>
    <s v="25-09-2024"/>
    <s v="Gurudas Bandyopadhyay"/>
    <x v="0"/>
    <n v="0"/>
    <n v="0"/>
    <x v="16"/>
    <x v="0"/>
    <s v="Average"/>
    <n v="0"/>
  </r>
  <r>
    <x v="485"/>
    <x v="457"/>
    <n v="276"/>
    <x v="28"/>
    <s v="24-07-2023"/>
    <s v="Springer Nature"/>
    <x v="0"/>
    <n v="0"/>
    <n v="0"/>
    <x v="26"/>
    <x v="0"/>
    <s v="Average"/>
    <n v="0"/>
  </r>
  <r>
    <x v="486"/>
    <x v="458"/>
    <n v="385"/>
    <x v="17"/>
    <s v="19-01-2024"/>
    <s v="University of Chicago Press"/>
    <x v="0"/>
    <n v="0"/>
    <n v="0"/>
    <x v="16"/>
    <x v="0"/>
    <s v="Average"/>
    <n v="0"/>
  </r>
  <r>
    <x v="487"/>
    <x v="459"/>
    <n v="195"/>
    <x v="12"/>
    <s v="29-01-2020"/>
    <s v="Wipf and Stock Publishers"/>
    <x v="0"/>
    <n v="0"/>
    <n v="0"/>
    <x v="17"/>
    <x v="0"/>
    <s v="Average"/>
    <n v="0"/>
  </r>
  <r>
    <x v="488"/>
    <x v="460"/>
    <n v="336"/>
    <x v="40"/>
    <s v="21-04-2006"/>
    <s v="Routledge"/>
    <x v="0"/>
    <n v="0"/>
    <n v="0"/>
    <x v="24"/>
    <x v="0"/>
    <s v="Average"/>
    <n v="0"/>
  </r>
  <r>
    <x v="489"/>
    <x v="461"/>
    <n v="425"/>
    <x v="40"/>
    <s v="06-11-2006"/>
    <s v="Routledge"/>
    <x v="0"/>
    <n v="0"/>
    <n v="0"/>
    <x v="24"/>
    <x v="0"/>
    <s v="Average"/>
    <n v="0"/>
  </r>
  <r>
    <x v="490"/>
    <x v="462"/>
    <n v="498"/>
    <x v="28"/>
    <s v="18-12-2012"/>
    <s v="Guilford Press"/>
    <x v="0"/>
    <n v="0"/>
    <n v="0"/>
    <x v="9"/>
    <x v="0"/>
    <s v="Average"/>
    <n v="0"/>
  </r>
  <r>
    <x v="491"/>
    <x v="463"/>
    <n v="569"/>
    <x v="34"/>
    <s v="10-03-2010"/>
    <s v="Springer Science &amp; Business Media"/>
    <x v="0"/>
    <n v="5"/>
    <n v="1"/>
    <x v="1"/>
    <x v="2"/>
    <s v="Average"/>
    <n v="5"/>
  </r>
  <r>
    <x v="492"/>
    <x v="464"/>
    <n v="386"/>
    <x v="24"/>
    <s v="01-01-1998"/>
    <s v="Oxford University Press"/>
    <x v="0"/>
    <n v="0"/>
    <n v="0"/>
    <x v="47"/>
    <x v="0"/>
    <s v="Average"/>
    <n v="0"/>
  </r>
  <r>
    <x v="493"/>
    <x v="465"/>
    <n v="336"/>
    <x v="21"/>
    <s v="17-12-2019"/>
    <s v="Adams Media"/>
    <x v="0"/>
    <n v="0"/>
    <n v="0"/>
    <x v="20"/>
    <x v="0"/>
    <s v="Average"/>
    <n v="0"/>
  </r>
  <r>
    <x v="494"/>
    <x v="466"/>
    <n v="372"/>
    <x v="25"/>
    <s v="01-01-2003"/>
    <s v="LIT Verlag Münster"/>
    <x v="0"/>
    <n v="0"/>
    <n v="0"/>
    <x v="10"/>
    <x v="0"/>
    <s v="Average"/>
    <n v="0"/>
  </r>
  <r>
    <x v="495"/>
    <x v="467"/>
    <n v="272"/>
    <x v="17"/>
    <s v="06-12-2012"/>
    <s v="Springer Science &amp; Business Media"/>
    <x v="0"/>
    <n v="0"/>
    <n v="0"/>
    <x v="9"/>
    <x v="0"/>
    <s v="Average"/>
    <n v="0"/>
  </r>
  <r>
    <x v="496"/>
    <x v="468"/>
    <n v="92"/>
    <x v="11"/>
    <s v="01-11-2008"/>
    <s v="IAP"/>
    <x v="0"/>
    <n v="0"/>
    <n v="0"/>
    <x v="5"/>
    <x v="0"/>
    <s v="Average"/>
    <n v="0"/>
  </r>
  <r>
    <x v="497"/>
    <x v="469"/>
    <n v="210"/>
    <x v="28"/>
    <s v="17-10-2014"/>
    <s v="University Press of Kentucky"/>
    <x v="0"/>
    <n v="0"/>
    <n v="0"/>
    <x v="8"/>
    <x v="0"/>
    <s v="Average"/>
    <n v="0"/>
  </r>
  <r>
    <x v="498"/>
    <x v="470"/>
    <n v="516"/>
    <x v="6"/>
    <s v="06-07-2010"/>
    <s v="Oxford University Press"/>
    <x v="0"/>
    <n v="0"/>
    <n v="0"/>
    <x v="1"/>
    <x v="0"/>
    <s v="Average"/>
    <n v="0"/>
  </r>
  <r>
    <x v="499"/>
    <x v="471"/>
    <n v="203"/>
    <x v="6"/>
    <s v="20-01-2020"/>
    <s v="Rowman &amp; Littlefield"/>
    <x v="0"/>
    <n v="0"/>
    <n v="0"/>
    <x v="17"/>
    <x v="0"/>
    <s v="Average"/>
    <n v="0"/>
  </r>
  <r>
    <x v="500"/>
    <x v="472"/>
    <n v="637"/>
    <x v="17"/>
    <s v="13-05-2013"/>
    <s v="Routledge"/>
    <x v="0"/>
    <n v="0"/>
    <n v="0"/>
    <x v="28"/>
    <x v="0"/>
    <s v="Average"/>
    <n v="0"/>
  </r>
  <r>
    <x v="501"/>
    <x v="473"/>
    <n v="216"/>
    <x v="7"/>
    <s v="01-10-2012"/>
    <s v="University of Chicago Press"/>
    <x v="0"/>
    <n v="0"/>
    <n v="0"/>
    <x v="9"/>
    <x v="0"/>
    <s v="Average"/>
    <n v="0"/>
  </r>
  <r>
    <x v="502"/>
    <x v="474"/>
    <n v="351"/>
    <x v="5"/>
    <s v="15-02-2010"/>
    <s v="Univ of North Carolina Press"/>
    <x v="0"/>
    <n v="4"/>
    <n v="1"/>
    <x v="1"/>
    <x v="2"/>
    <s v="Average"/>
    <n v="4"/>
  </r>
  <r>
    <x v="503"/>
    <x v="475"/>
    <n v="396"/>
    <x v="52"/>
    <s v="01-01-2010"/>
    <s v="LIT Verlag Münster"/>
    <x v="0"/>
    <n v="0"/>
    <n v="0"/>
    <x v="1"/>
    <x v="0"/>
    <s v="Average"/>
    <n v="0"/>
  </r>
  <r>
    <x v="504"/>
    <x v="476"/>
    <n v="212"/>
    <x v="28"/>
    <s v="26-10-2010"/>
    <s v="John Wiley &amp; Sons"/>
    <x v="0"/>
    <n v="0"/>
    <n v="0"/>
    <x v="1"/>
    <x v="0"/>
    <s v="Average"/>
    <n v="0"/>
  </r>
  <r>
    <x v="505"/>
    <x v="477"/>
    <n v="296"/>
    <x v="12"/>
    <s v="03-09-2009"/>
    <s v="Oxford University Press"/>
    <x v="0"/>
    <n v="3"/>
    <n v="2"/>
    <x v="29"/>
    <x v="1"/>
    <s v="Average"/>
    <n v="6"/>
  </r>
  <r>
    <x v="506"/>
    <x v="478"/>
    <n v="270"/>
    <x v="12"/>
    <s v="01-01-2017"/>
    <s v="Oxford University Press"/>
    <x v="0"/>
    <n v="0"/>
    <n v="0"/>
    <x v="3"/>
    <x v="0"/>
    <s v="Average"/>
    <n v="0"/>
  </r>
  <r>
    <x v="507"/>
    <x v="479"/>
    <n v="344"/>
    <x v="12"/>
    <s v="16-01-2014"/>
    <s v="Wipf and Stock Publishers"/>
    <x v="0"/>
    <n v="0"/>
    <n v="0"/>
    <x v="8"/>
    <x v="0"/>
    <s v="Average"/>
    <n v="0"/>
  </r>
  <r>
    <x v="508"/>
    <x v="480"/>
    <n v="221"/>
    <x v="10"/>
    <s v="15-10-2023"/>
    <s v="Cornell University Press"/>
    <x v="0"/>
    <n v="0"/>
    <n v="0"/>
    <x v="26"/>
    <x v="0"/>
    <s v="Average"/>
    <n v="0"/>
  </r>
  <r>
    <x v="509"/>
    <x v="481"/>
    <n v="287"/>
    <x v="5"/>
    <s v="16-12-2013"/>
    <s v="Routledge"/>
    <x v="0"/>
    <n v="0"/>
    <n v="0"/>
    <x v="28"/>
    <x v="0"/>
    <s v="Average"/>
    <n v="0"/>
  </r>
  <r>
    <x v="510"/>
    <x v="482"/>
    <n v="353"/>
    <x v="12"/>
    <s v="01-01-2014"/>
    <s v="Oxford University Press, USA"/>
    <x v="0"/>
    <n v="0"/>
    <n v="0"/>
    <x v="8"/>
    <x v="0"/>
    <s v="Average"/>
    <n v="0"/>
  </r>
  <r>
    <x v="511"/>
    <x v="483"/>
    <n v="340"/>
    <x v="12"/>
    <s v="25-03-2013"/>
    <s v="John Wiley &amp; Sons"/>
    <x v="0"/>
    <n v="0"/>
    <n v="0"/>
    <x v="28"/>
    <x v="0"/>
    <s v="Average"/>
    <n v="0"/>
  </r>
  <r>
    <x v="512"/>
    <x v="484"/>
    <n v="271"/>
    <x v="13"/>
    <s v="05-02-2015"/>
    <s v="Cambridge University Press"/>
    <x v="0"/>
    <n v="0"/>
    <n v="0"/>
    <x v="14"/>
    <x v="0"/>
    <s v="Average"/>
    <n v="0"/>
  </r>
  <r>
    <x v="513"/>
    <x v="485"/>
    <n v="245"/>
    <x v="12"/>
    <s v="01-09-2009"/>
    <s v="Wipf and Stock Publishers"/>
    <x v="0"/>
    <n v="0"/>
    <n v="0"/>
    <x v="29"/>
    <x v="0"/>
    <s v="Average"/>
    <n v="0"/>
  </r>
  <r>
    <x v="514"/>
    <x v="486"/>
    <n v="100"/>
    <x v="2"/>
    <s v="01-01-1970"/>
    <s v="Dramatic Publishing"/>
    <x v="0"/>
    <n v="4"/>
    <n v="134"/>
    <x v="51"/>
    <x v="2"/>
    <s v="Average"/>
    <n v="536"/>
  </r>
  <r>
    <x v="515"/>
    <x v="487"/>
    <n v="387"/>
    <x v="36"/>
    <s v="01-09-2009"/>
    <s v="Scholastic Inc."/>
    <x v="0"/>
    <n v="4"/>
    <n v="5900"/>
    <x v="29"/>
    <x v="2"/>
    <s v="Average"/>
    <n v="23600"/>
  </r>
  <r>
    <x v="516"/>
    <x v="488"/>
    <n v="306"/>
    <x v="2"/>
    <s v="01-06-2016"/>
    <s v="W. W. Norton &amp; Company"/>
    <x v="0"/>
    <n v="0"/>
    <n v="0"/>
    <x v="18"/>
    <x v="0"/>
    <s v="Average"/>
    <n v="0"/>
  </r>
  <r>
    <x v="517"/>
    <x v="488"/>
    <n v="174"/>
    <x v="2"/>
    <s v="24-01-2017"/>
    <s v="Abela Publishing Ltd"/>
    <x v="0"/>
    <n v="0"/>
    <n v="0"/>
    <x v="3"/>
    <x v="0"/>
    <s v="Average"/>
    <n v="0"/>
  </r>
  <r>
    <x v="518"/>
    <x v="488"/>
    <n v="691"/>
    <x v="2"/>
    <s v="23-01-2018"/>
    <s v="e-artnow"/>
    <x v="0"/>
    <n v="0"/>
    <n v="0"/>
    <x v="7"/>
    <x v="0"/>
    <s v="Average"/>
    <n v="0"/>
  </r>
  <r>
    <x v="519"/>
    <x v="489"/>
    <n v="553"/>
    <x v="36"/>
    <s v="11-05-2021"/>
    <s v="5310 Publishing"/>
    <x v="0"/>
    <n v="0"/>
    <n v="0"/>
    <x v="12"/>
    <x v="0"/>
    <s v="Average"/>
    <n v="0"/>
  </r>
  <r>
    <x v="520"/>
    <x v="486"/>
    <n v="266"/>
    <x v="2"/>
    <s v="04-11-2014"/>
    <s v="Harper Collins"/>
    <x v="0"/>
    <n v="3"/>
    <n v="4"/>
    <x v="8"/>
    <x v="1"/>
    <s v="Average"/>
    <n v="12"/>
  </r>
  <r>
    <x v="521"/>
    <x v="490"/>
    <n v="208"/>
    <x v="2"/>
    <s v="30-06-2020"/>
    <s v="Scribner"/>
    <x v="0"/>
    <n v="0"/>
    <n v="0"/>
    <x v="17"/>
    <x v="0"/>
    <s v="Average"/>
    <n v="0"/>
  </r>
  <r>
    <x v="521"/>
    <x v="491"/>
    <n v="337"/>
    <x v="2"/>
    <s v="01-01-2018"/>
    <s v="The Anglo Egyptian Bookshop"/>
    <x v="0"/>
    <n v="0"/>
    <n v="0"/>
    <x v="7"/>
    <x v="0"/>
    <s v="Average"/>
    <n v="0"/>
  </r>
  <r>
    <x v="522"/>
    <x v="490"/>
    <n v="128"/>
    <x v="29"/>
    <s v="06-09-2022"/>
    <s v="Simon and Schuster"/>
    <x v="0"/>
    <n v="0"/>
    <n v="0"/>
    <x v="13"/>
    <x v="0"/>
    <s v="Average"/>
    <n v="0"/>
  </r>
  <r>
    <x v="523"/>
    <x v="490"/>
    <n v="166"/>
    <x v="2"/>
    <s v="22-02-2024"/>
    <s v="Unabridgd"/>
    <x v="0"/>
    <n v="0"/>
    <n v="0"/>
    <x v="16"/>
    <x v="0"/>
    <s v="Average"/>
    <n v="0"/>
  </r>
  <r>
    <x v="524"/>
    <x v="490"/>
    <n v="22"/>
    <x v="2"/>
    <s v="20-11-2013"/>
    <s v="e-artnow"/>
    <x v="0"/>
    <n v="0"/>
    <n v="0"/>
    <x v="28"/>
    <x v="0"/>
    <s v="Average"/>
    <n v="0"/>
  </r>
  <r>
    <x v="525"/>
    <x v="492"/>
    <n v="936"/>
    <x v="2"/>
    <s v="10-12-2023"/>
    <s v="Good Press"/>
    <x v="0"/>
    <n v="0"/>
    <n v="0"/>
    <x v="26"/>
    <x v="0"/>
    <s v="Average"/>
    <n v="0"/>
  </r>
  <r>
    <x v="526"/>
    <x v="493"/>
    <n v="681"/>
    <x v="2"/>
    <s v="02-08-2018"/>
    <s v="Bentang Pustaka"/>
    <x v="2"/>
    <n v="0"/>
    <n v="0"/>
    <x v="7"/>
    <x v="0"/>
    <s v="Average"/>
    <n v="0"/>
  </r>
  <r>
    <x v="527"/>
    <x v="494"/>
    <n v="9"/>
    <x v="35"/>
    <s v="12-01-2022"/>
    <s v="Yapı Kredi Yayınları"/>
    <x v="3"/>
    <n v="0"/>
    <n v="0"/>
    <x v="13"/>
    <x v="0"/>
    <s v="Average"/>
    <n v="0"/>
  </r>
  <r>
    <x v="528"/>
    <x v="487"/>
    <n v="386"/>
    <x v="9"/>
    <s v="01-01-2008"/>
    <s v="Scholastic Inc."/>
    <x v="0"/>
    <n v="4.5"/>
    <n v="333"/>
    <x v="5"/>
    <x v="2"/>
    <s v="Average"/>
    <n v="1498.5"/>
  </r>
  <r>
    <x v="529"/>
    <x v="487"/>
    <n v="329"/>
    <x v="2"/>
    <s v="16-04-2012"/>
    <s v="Edizioni Mondadori"/>
    <x v="4"/>
    <n v="3.5"/>
    <n v="352"/>
    <x v="9"/>
    <x v="1"/>
    <s v="Average"/>
    <n v="1232"/>
  </r>
  <r>
    <x v="530"/>
    <x v="495"/>
    <n v="311"/>
    <x v="7"/>
    <s v="13-08-2010"/>
    <s v="John Wiley &amp; Sons"/>
    <x v="0"/>
    <n v="3.5"/>
    <n v="18"/>
    <x v="1"/>
    <x v="1"/>
    <s v="Average"/>
    <n v="63"/>
  </r>
  <r>
    <x v="521"/>
    <x v="496"/>
    <n v="148"/>
    <x v="2"/>
    <s v="01-01-1993"/>
    <s v="Wordsworth Editions"/>
    <x v="0"/>
    <n v="3.5"/>
    <n v="88"/>
    <x v="33"/>
    <x v="1"/>
    <s v="Average"/>
    <n v="308"/>
  </r>
  <r>
    <x v="531"/>
    <x v="337"/>
    <n v="168"/>
    <x v="2"/>
    <s v="01-01-2005"/>
    <s v="Sterling Publishing Company, Inc."/>
    <x v="0"/>
    <n v="4"/>
    <n v="71"/>
    <x v="25"/>
    <x v="2"/>
    <s v="Average"/>
    <n v="284"/>
  </r>
  <r>
    <x v="532"/>
    <x v="497"/>
    <n v="326"/>
    <x v="7"/>
    <s v="26-01-2012"/>
    <s v="John Wiley &amp; Sons"/>
    <x v="0"/>
    <n v="3.5"/>
    <n v="38"/>
    <x v="9"/>
    <x v="1"/>
    <s v="Average"/>
    <n v="133"/>
  </r>
  <r>
    <x v="533"/>
    <x v="498"/>
    <n v="136"/>
    <x v="36"/>
    <s v="07-02-2012"/>
    <s v="Scholastic Inc."/>
    <x v="0"/>
    <n v="3.5"/>
    <n v="43"/>
    <x v="9"/>
    <x v="1"/>
    <s v="Average"/>
    <n v="150.5"/>
  </r>
  <r>
    <x v="534"/>
    <x v="499"/>
    <n v="338"/>
    <x v="0"/>
    <s v="10-04-2007"/>
    <s v="BenBella Books, Inc."/>
    <x v="0"/>
    <n v="3.5"/>
    <n v="4"/>
    <x v="15"/>
    <x v="1"/>
    <s v="Average"/>
    <n v="14"/>
  </r>
  <r>
    <x v="535"/>
    <x v="500"/>
    <n v="25"/>
    <x v="1"/>
    <s v="16-10-2012"/>
    <s v="Andrews UK Limited"/>
    <x v="0"/>
    <n v="0"/>
    <n v="0"/>
    <x v="9"/>
    <x v="0"/>
    <s v="Average"/>
    <n v="0"/>
  </r>
  <r>
    <x v="536"/>
    <x v="501"/>
    <n v="162"/>
    <x v="53"/>
    <s v="01-01-2005"/>
    <s v="Texas World Publishing"/>
    <x v="0"/>
    <n v="5"/>
    <n v="2"/>
    <x v="25"/>
    <x v="2"/>
    <s v="Average"/>
    <n v="10"/>
  </r>
  <r>
    <x v="537"/>
    <x v="502"/>
    <n v="66"/>
    <x v="9"/>
    <s v="06-07-2017"/>
    <s v="Scholastic UK"/>
    <x v="0"/>
    <n v="0"/>
    <n v="0"/>
    <x v="3"/>
    <x v="0"/>
    <s v="Average"/>
    <n v="0"/>
  </r>
  <r>
    <x v="538"/>
    <x v="503"/>
    <n v="136"/>
    <x v="54"/>
    <s v="13-08-2024"/>
    <s v="Simon and Schuster"/>
    <x v="0"/>
    <n v="0"/>
    <n v="0"/>
    <x v="16"/>
    <x v="0"/>
    <s v="Average"/>
    <n v="0"/>
  </r>
  <r>
    <x v="539"/>
    <x v="504"/>
    <n v="325"/>
    <x v="0"/>
    <s v="11-07-2015"/>
    <s v="McFarland"/>
    <x v="0"/>
    <n v="2"/>
    <n v="2"/>
    <x v="14"/>
    <x v="0"/>
    <s v="Average"/>
    <n v="4"/>
  </r>
  <r>
    <x v="540"/>
    <x v="505"/>
    <n v="38"/>
    <x v="20"/>
    <s v="04-11-2023"/>
    <s v="CHANGDER OUTLINE"/>
    <x v="0"/>
    <n v="0"/>
    <n v="0"/>
    <x v="26"/>
    <x v="0"/>
    <s v="Average"/>
    <n v="0"/>
  </r>
  <r>
    <x v="541"/>
    <x v="506"/>
    <n v="36"/>
    <x v="2"/>
    <s v="08-03-2021"/>
    <s v="BookSummaryGr"/>
    <x v="0"/>
    <n v="0"/>
    <n v="0"/>
    <x v="12"/>
    <x v="0"/>
    <s v="Average"/>
    <n v="0"/>
  </r>
  <r>
    <x v="542"/>
    <x v="507"/>
    <n v="109"/>
    <x v="2"/>
    <s v="01-12-2007"/>
    <s v="Lulu.com"/>
    <x v="0"/>
    <n v="0"/>
    <n v="0"/>
    <x v="15"/>
    <x v="0"/>
    <s v="Average"/>
    <n v="0"/>
  </r>
  <r>
    <x v="543"/>
    <x v="508"/>
    <n v="437"/>
    <x v="0"/>
    <s v="26-02-2024"/>
    <s v="University of Missouri Press"/>
    <x v="0"/>
    <n v="0"/>
    <n v="0"/>
    <x v="16"/>
    <x v="0"/>
    <s v="Average"/>
    <n v="0"/>
  </r>
  <r>
    <x v="544"/>
    <x v="509"/>
    <n v="241"/>
    <x v="55"/>
    <s v="01-01-2010"/>
    <s v="Paulist Press"/>
    <x v="0"/>
    <n v="3"/>
    <n v="3"/>
    <x v="1"/>
    <x v="1"/>
    <s v="Average"/>
    <n v="9"/>
  </r>
  <r>
    <x v="545"/>
    <x v="510"/>
    <n v="192"/>
    <x v="30"/>
    <s v="29-09-2020"/>
    <s v="Simon and Schuster"/>
    <x v="0"/>
    <n v="0"/>
    <n v="0"/>
    <x v="17"/>
    <x v="0"/>
    <s v="Average"/>
    <n v="0"/>
  </r>
  <r>
    <x v="546"/>
    <x v="511"/>
    <n v="192"/>
    <x v="5"/>
    <s v="09-11-2018"/>
    <s v="McFarland"/>
    <x v="0"/>
    <n v="0"/>
    <n v="0"/>
    <x v="7"/>
    <x v="0"/>
    <s v="Average"/>
    <n v="0"/>
  </r>
  <r>
    <x v="547"/>
    <x v="512"/>
    <n v="26"/>
    <x v="8"/>
    <s v="18-11-2019"/>
    <s v="Andrews UK Limited"/>
    <x v="0"/>
    <n v="0"/>
    <n v="0"/>
    <x v="20"/>
    <x v="0"/>
    <s v="Average"/>
    <n v="0"/>
  </r>
  <r>
    <x v="548"/>
    <x v="513"/>
    <n v="367"/>
    <x v="11"/>
    <s v="01-09-2008"/>
    <s v="Routledge"/>
    <x v="0"/>
    <n v="0"/>
    <n v="0"/>
    <x v="5"/>
    <x v="0"/>
    <s v="Average"/>
    <n v="0"/>
  </r>
  <r>
    <x v="549"/>
    <x v="514"/>
    <n v="219"/>
    <x v="31"/>
    <s v="10-04-2019"/>
    <s v="McFarland"/>
    <x v="0"/>
    <n v="0"/>
    <n v="0"/>
    <x v="20"/>
    <x v="0"/>
    <s v="Average"/>
    <n v="0"/>
  </r>
  <r>
    <x v="550"/>
    <x v="515"/>
    <n v="104"/>
    <x v="20"/>
    <s v="02-07-2024"/>
    <s v="Scholastic Inc."/>
    <x v="0"/>
    <n v="0"/>
    <n v="0"/>
    <x v="16"/>
    <x v="0"/>
    <s v="Average"/>
    <n v="0"/>
  </r>
  <r>
    <x v="551"/>
    <x v="516"/>
    <n v="156"/>
    <x v="30"/>
    <s v="11-10-2022"/>
    <s v="Simon and Schuster"/>
    <x v="0"/>
    <n v="0"/>
    <n v="0"/>
    <x v="13"/>
    <x v="0"/>
    <s v="Average"/>
    <n v="0"/>
  </r>
  <r>
    <x v="552"/>
    <x v="517"/>
    <n v="33"/>
    <x v="20"/>
    <s v="01-08-2016"/>
    <s v="Capstone"/>
    <x v="0"/>
    <n v="5"/>
    <n v="1"/>
    <x v="18"/>
    <x v="2"/>
    <s v="Average"/>
    <n v="5"/>
  </r>
  <r>
    <x v="553"/>
    <x v="518"/>
    <n v="273"/>
    <x v="40"/>
    <s v="01-01-2010"/>
    <s v="Interactive Publications"/>
    <x v="0"/>
    <n v="1"/>
    <n v="1"/>
    <x v="1"/>
    <x v="0"/>
    <s v="Average"/>
    <n v="1"/>
  </r>
  <r>
    <x v="554"/>
    <x v="519"/>
    <n v="264"/>
    <x v="31"/>
    <s v="31-10-2023"/>
    <s v="Simon and Schuster"/>
    <x v="0"/>
    <n v="0"/>
    <n v="0"/>
    <x v="26"/>
    <x v="0"/>
    <s v="Average"/>
    <n v="0"/>
  </r>
  <r>
    <x v="555"/>
    <x v="510"/>
    <n v="64"/>
    <x v="30"/>
    <s v="04-08-2020"/>
    <s v="Insight Editions"/>
    <x v="0"/>
    <n v="0"/>
    <n v="0"/>
    <x v="17"/>
    <x v="0"/>
    <s v="Average"/>
    <n v="0"/>
  </r>
  <r>
    <x v="556"/>
    <x v="520"/>
    <n v="276"/>
    <x v="0"/>
    <s v="01-01-2004"/>
    <s v="Open Court Publishing"/>
    <x v="0"/>
    <n v="5"/>
    <n v="1"/>
    <x v="22"/>
    <x v="2"/>
    <s v="Average"/>
    <n v="5"/>
  </r>
  <r>
    <x v="557"/>
    <x v="519"/>
    <n v="304"/>
    <x v="30"/>
    <s v="08-10-2024"/>
    <s v="Simon and Schuster"/>
    <x v="0"/>
    <n v="0"/>
    <n v="0"/>
    <x v="16"/>
    <x v="0"/>
    <s v="Average"/>
    <n v="0"/>
  </r>
  <r>
    <x v="558"/>
    <x v="519"/>
    <n v="224"/>
    <x v="30"/>
    <s v="24-09-2024"/>
    <s v="Simon and Schuster"/>
    <x v="0"/>
    <n v="0"/>
    <n v="0"/>
    <x v="16"/>
    <x v="0"/>
    <s v="Average"/>
    <n v="0"/>
  </r>
  <r>
    <x v="559"/>
    <x v="521"/>
    <n v="324"/>
    <x v="0"/>
    <s v="27-06-2022"/>
    <s v="Univ. Press of Mississippi"/>
    <x v="0"/>
    <n v="0"/>
    <n v="0"/>
    <x v="13"/>
    <x v="0"/>
    <s v="Average"/>
    <n v="0"/>
  </r>
  <r>
    <x v="560"/>
    <x v="522"/>
    <n v="226"/>
    <x v="5"/>
    <s v="09-02-2018"/>
    <s v="McFarland"/>
    <x v="0"/>
    <n v="4.5"/>
    <n v="2"/>
    <x v="7"/>
    <x v="2"/>
    <s v="Average"/>
    <n v="9"/>
  </r>
  <r>
    <x v="552"/>
    <x v="523"/>
    <n v="40"/>
    <x v="20"/>
    <s v="15-01-2011"/>
    <s v="The Rosen Publishing Group, Inc"/>
    <x v="0"/>
    <n v="0"/>
    <n v="0"/>
    <x v="27"/>
    <x v="0"/>
    <s v="Average"/>
    <n v="0"/>
  </r>
  <r>
    <x v="561"/>
    <x v="524"/>
    <n v="368"/>
    <x v="25"/>
    <s v="01-01-2006"/>
    <s v="Wallflower Press"/>
    <x v="0"/>
    <n v="5"/>
    <n v="1"/>
    <x v="24"/>
    <x v="2"/>
    <s v="Average"/>
    <n v="5"/>
  </r>
  <r>
    <x v="561"/>
    <x v="525"/>
    <n v="217"/>
    <x v="0"/>
    <s v="01-01-2008"/>
    <s v="Infobase Publishing"/>
    <x v="0"/>
    <n v="3"/>
    <n v="1"/>
    <x v="5"/>
    <x v="1"/>
    <s v="Average"/>
    <n v="3"/>
  </r>
  <r>
    <x v="562"/>
    <x v="524"/>
    <n v="316"/>
    <x v="0"/>
    <s v="01-01-2008"/>
    <s v="Peter Lang"/>
    <x v="0"/>
    <n v="0"/>
    <n v="0"/>
    <x v="5"/>
    <x v="0"/>
    <s v="Average"/>
    <n v="0"/>
  </r>
  <r>
    <x v="563"/>
    <x v="526"/>
    <n v="232"/>
    <x v="0"/>
    <s v="01-03-2006"/>
    <s v="A&amp;C Black"/>
    <x v="0"/>
    <n v="0"/>
    <n v="0"/>
    <x v="24"/>
    <x v="0"/>
    <s v="Average"/>
    <n v="0"/>
  </r>
  <r>
    <x v="564"/>
    <x v="527"/>
    <n v="256"/>
    <x v="7"/>
    <s v="13-11-2013"/>
    <s v="Open Court"/>
    <x v="0"/>
    <n v="0"/>
    <n v="0"/>
    <x v="28"/>
    <x v="0"/>
    <s v="Average"/>
    <n v="0"/>
  </r>
  <r>
    <x v="565"/>
    <x v="528"/>
    <n v="308"/>
    <x v="0"/>
    <s v="01-01-2003"/>
    <s v="Rough Guides"/>
    <x v="0"/>
    <n v="0"/>
    <n v="0"/>
    <x v="10"/>
    <x v="0"/>
    <s v="Average"/>
    <n v="0"/>
  </r>
  <r>
    <x v="566"/>
    <x v="529"/>
    <n v="515"/>
    <x v="36"/>
    <s v="06-04-2020"/>
    <s v="Gramedia Pustaka Utama"/>
    <x v="2"/>
    <n v="0"/>
    <n v="0"/>
    <x v="17"/>
    <x v="0"/>
    <s v="Average"/>
    <n v="0"/>
  </r>
  <r>
    <x v="567"/>
    <x v="529"/>
    <n v="516"/>
    <x v="9"/>
    <s v="04-09-2017"/>
    <s v="Gramedia Pustaka Utama"/>
    <x v="5"/>
    <n v="0"/>
    <n v="0"/>
    <x v="3"/>
    <x v="0"/>
    <s v="Average"/>
    <n v="0"/>
  </r>
  <r>
    <x v="568"/>
    <x v="530"/>
    <n v="145"/>
    <x v="31"/>
    <s v="23-07-2021"/>
    <s v="Liverpool University Press"/>
    <x v="0"/>
    <n v="0"/>
    <n v="0"/>
    <x v="12"/>
    <x v="0"/>
    <s v="Average"/>
    <n v="0"/>
  </r>
  <r>
    <x v="569"/>
    <x v="529"/>
    <n v="434"/>
    <x v="36"/>
    <s v="06-04-2020"/>
    <s v="Gramedia Pustaka Utama"/>
    <x v="5"/>
    <n v="0"/>
    <n v="0"/>
    <x v="17"/>
    <x v="0"/>
    <s v="Average"/>
    <n v="0"/>
  </r>
  <r>
    <x v="570"/>
    <x v="529"/>
    <n v="436"/>
    <x v="9"/>
    <s v="04-09-2017"/>
    <s v="Gramedia Pustaka Utama"/>
    <x v="2"/>
    <n v="0"/>
    <n v="0"/>
    <x v="3"/>
    <x v="0"/>
    <s v="Average"/>
    <n v="0"/>
  </r>
  <r>
    <x v="571"/>
    <x v="529"/>
    <n v="524"/>
    <x v="9"/>
    <s v="04-09-2017"/>
    <s v="Gramedia Pustaka Utama"/>
    <x v="2"/>
    <n v="0"/>
    <n v="0"/>
    <x v="3"/>
    <x v="0"/>
    <s v="Average"/>
    <n v="0"/>
  </r>
  <r>
    <x v="561"/>
    <x v="505"/>
    <n v="32"/>
    <x v="20"/>
    <s v="22-11-2023"/>
    <s v="CHANGDER OUTLINE"/>
    <x v="0"/>
    <n v="0"/>
    <n v="0"/>
    <x v="26"/>
    <x v="0"/>
    <s v="Average"/>
    <n v="0"/>
  </r>
  <r>
    <x v="572"/>
    <x v="531"/>
    <n v="20"/>
    <x v="0"/>
    <s v="07-03-2005"/>
    <s v="GRIN Verlag"/>
    <x v="0"/>
    <n v="0"/>
    <n v="0"/>
    <x v="25"/>
    <x v="0"/>
    <s v="Average"/>
    <n v="0"/>
  </r>
  <r>
    <x v="573"/>
    <x v="532"/>
    <n v="161"/>
    <x v="0"/>
    <s v="01-01-2021"/>
    <s v="Tyndale House Publishers, Inc."/>
    <x v="0"/>
    <n v="0"/>
    <n v="0"/>
    <x v="12"/>
    <x v="0"/>
    <s v="Average"/>
    <n v="0"/>
  </r>
  <r>
    <x v="574"/>
    <x v="533"/>
    <n v="403"/>
    <x v="6"/>
    <s v="01-10-2015"/>
    <s v="Modern Language Association"/>
    <x v="0"/>
    <n v="0"/>
    <n v="0"/>
    <x v="14"/>
    <x v="0"/>
    <s v="Average"/>
    <n v="0"/>
  </r>
  <r>
    <x v="575"/>
    <x v="534"/>
    <n v="224"/>
    <x v="0"/>
    <s v="11-10-2012"/>
    <s v="WestBow Press"/>
    <x v="0"/>
    <n v="0"/>
    <n v="0"/>
    <x v="9"/>
    <x v="0"/>
    <s v="Average"/>
    <n v="0"/>
  </r>
  <r>
    <x v="576"/>
    <x v="535"/>
    <n v="64"/>
    <x v="30"/>
    <s v="15-08-2023"/>
    <s v="Simon and Schuster"/>
    <x v="0"/>
    <n v="0"/>
    <n v="0"/>
    <x v="26"/>
    <x v="0"/>
    <s v="Average"/>
    <n v="0"/>
  </r>
  <r>
    <x v="577"/>
    <x v="536"/>
    <n v="183"/>
    <x v="0"/>
    <s v="12-09-2010"/>
    <s v="University Press of Kentucky"/>
    <x v="0"/>
    <n v="5"/>
    <n v="1"/>
    <x v="1"/>
    <x v="2"/>
    <s v="Average"/>
    <n v="5"/>
  </r>
  <r>
    <x v="578"/>
    <x v="537"/>
    <n v="308"/>
    <x v="18"/>
    <s v="01-01-2004"/>
    <s v="Houghton Mifflin Harcourt"/>
    <x v="0"/>
    <n v="3.5"/>
    <n v="5"/>
    <x v="22"/>
    <x v="1"/>
    <s v="Average"/>
    <n v="17.5"/>
  </r>
  <r>
    <x v="579"/>
    <x v="538"/>
    <n v="1381"/>
    <x v="2"/>
    <s v="25-03-2024"/>
    <s v="Strelbytskyy Multimedia Publishing, Andrii Ponomarenko"/>
    <x v="0"/>
    <n v="0"/>
    <n v="0"/>
    <x v="16"/>
    <x v="0"/>
    <s v="Average"/>
    <n v="0"/>
  </r>
  <r>
    <x v="580"/>
    <x v="539"/>
    <n v="432"/>
    <x v="30"/>
    <s v="05-11-2019"/>
    <s v="Simon and Schuster"/>
    <x v="0"/>
    <n v="0"/>
    <n v="0"/>
    <x v="20"/>
    <x v="0"/>
    <s v="Average"/>
    <n v="0"/>
  </r>
  <r>
    <x v="581"/>
    <x v="540"/>
    <n v="129"/>
    <x v="10"/>
    <s v="11-12-2019"/>
    <s v="Bloomsbury Publishing PLC"/>
    <x v="0"/>
    <n v="5"/>
    <n v="1"/>
    <x v="20"/>
    <x v="2"/>
    <s v="Average"/>
    <n v="5"/>
  </r>
  <r>
    <x v="582"/>
    <x v="541"/>
    <n v="195"/>
    <x v="31"/>
    <s v="26-09-2012"/>
    <s v="Chronicle Books"/>
    <x v="0"/>
    <n v="0"/>
    <n v="0"/>
    <x v="9"/>
    <x v="0"/>
    <s v="Average"/>
    <n v="0"/>
  </r>
  <r>
    <x v="583"/>
    <x v="542"/>
    <n v="3682"/>
    <x v="1"/>
    <s v="22-02-2017"/>
    <s v="e-Pedia"/>
    <x v="0"/>
    <n v="0"/>
    <n v="0"/>
    <x v="3"/>
    <x v="0"/>
    <s v="Average"/>
    <n v="0"/>
  </r>
  <r>
    <x v="584"/>
    <x v="543"/>
    <n v="320"/>
    <x v="7"/>
    <s v="23-02-2012"/>
    <s v="John Wiley &amp; Sons"/>
    <x v="0"/>
    <n v="5"/>
    <n v="1"/>
    <x v="9"/>
    <x v="2"/>
    <s v="Average"/>
    <n v="5"/>
  </r>
  <r>
    <x v="585"/>
    <x v="544"/>
    <n v="309"/>
    <x v="0"/>
    <s v="24-01-2015"/>
    <s v="McFarland"/>
    <x v="0"/>
    <n v="0"/>
    <n v="0"/>
    <x v="14"/>
    <x v="0"/>
    <s v="Average"/>
    <n v="0"/>
  </r>
  <r>
    <x v="586"/>
    <x v="545"/>
    <n v="966"/>
    <x v="36"/>
    <s v="01-03-2015"/>
    <s v="Fantasious"/>
    <x v="2"/>
    <n v="0"/>
    <n v="0"/>
    <x v="14"/>
    <x v="0"/>
    <s v="Average"/>
    <n v="0"/>
  </r>
  <r>
    <x v="587"/>
    <x v="546"/>
    <n v="248"/>
    <x v="31"/>
    <s v="03-12-2024"/>
    <s v="Simon and Schuster"/>
    <x v="0"/>
    <n v="0"/>
    <n v="0"/>
    <x v="16"/>
    <x v="0"/>
    <s v="Average"/>
    <n v="0"/>
  </r>
  <r>
    <x v="588"/>
    <x v="547"/>
    <n v="145"/>
    <x v="31"/>
    <s v="25-06-2024"/>
    <s v="epubli"/>
    <x v="0"/>
    <n v="0"/>
    <n v="0"/>
    <x v="16"/>
    <x v="0"/>
    <s v="Average"/>
    <n v="0"/>
  </r>
  <r>
    <x v="589"/>
    <x v="548"/>
    <n v="325"/>
    <x v="31"/>
    <s v="28-05-2019"/>
    <s v="Insight Editions"/>
    <x v="0"/>
    <n v="0"/>
    <n v="0"/>
    <x v="20"/>
    <x v="0"/>
    <s v="Average"/>
    <n v="0"/>
  </r>
  <r>
    <x v="590"/>
    <x v="546"/>
    <n v="248"/>
    <x v="30"/>
    <s v="31-01-2023"/>
    <s v="Simon and Schuster"/>
    <x v="0"/>
    <n v="0"/>
    <n v="0"/>
    <x v="26"/>
    <x v="0"/>
    <s v="Average"/>
    <n v="0"/>
  </r>
  <r>
    <x v="591"/>
    <x v="549"/>
    <n v="384"/>
    <x v="31"/>
    <s v="08-10-2019"/>
    <s v="Atria Books"/>
    <x v="0"/>
    <n v="0"/>
    <n v="0"/>
    <x v="20"/>
    <x v="0"/>
    <s v="Average"/>
    <n v="0"/>
  </r>
  <r>
    <x v="592"/>
    <x v="550"/>
    <n v="325"/>
    <x v="5"/>
    <s v="17-04-2017"/>
    <s v="John Wiley &amp; Sons"/>
    <x v="0"/>
    <n v="0"/>
    <n v="0"/>
    <x v="3"/>
    <x v="0"/>
    <s v="Average"/>
    <n v="0"/>
  </r>
  <r>
    <x v="593"/>
    <x v="551"/>
    <n v="234"/>
    <x v="3"/>
    <s v="13-10-2017"/>
    <s v="McFarland"/>
    <x v="0"/>
    <n v="0"/>
    <n v="0"/>
    <x v="3"/>
    <x v="0"/>
    <s v="Average"/>
    <n v="0"/>
  </r>
  <r>
    <x v="594"/>
    <x v="552"/>
    <n v="88"/>
    <x v="54"/>
    <s v="01-08-2023"/>
    <s v="Simon and Schuster"/>
    <x v="0"/>
    <n v="0"/>
    <n v="0"/>
    <x v="26"/>
    <x v="0"/>
    <s v="Average"/>
    <n v="0"/>
  </r>
  <r>
    <x v="595"/>
    <x v="552"/>
    <n v="20"/>
    <x v="27"/>
    <s v="29-11-2022"/>
    <s v="Simon and Schuster"/>
    <x v="0"/>
    <n v="0"/>
    <n v="0"/>
    <x v="13"/>
    <x v="0"/>
    <s v="Average"/>
    <n v="0"/>
  </r>
  <r>
    <x v="596"/>
    <x v="553"/>
    <n v="145"/>
    <x v="25"/>
    <s v="01-07-2022"/>
    <s v="Edward Elgar Publishing"/>
    <x v="0"/>
    <n v="0"/>
    <n v="0"/>
    <x v="13"/>
    <x v="0"/>
    <s v="Average"/>
    <n v="0"/>
  </r>
  <r>
    <x v="597"/>
    <x v="554"/>
    <n v="192"/>
    <x v="41"/>
    <s v="08-10-2024"/>
    <s v="Simon and Schuster"/>
    <x v="0"/>
    <n v="0"/>
    <n v="0"/>
    <x v="16"/>
    <x v="0"/>
    <s v="Average"/>
    <n v="0"/>
  </r>
  <r>
    <x v="598"/>
    <x v="555"/>
    <n v="206"/>
    <x v="30"/>
    <s v="01-05-2017"/>
    <s v="Intellect Books"/>
    <x v="0"/>
    <n v="0"/>
    <n v="0"/>
    <x v="3"/>
    <x v="0"/>
    <s v="Average"/>
    <n v="0"/>
  </r>
  <r>
    <x v="599"/>
    <x v="556"/>
    <n v="123"/>
    <x v="31"/>
    <s v="13-10-2021"/>
    <s v="Springer Nature"/>
    <x v="0"/>
    <n v="0"/>
    <n v="0"/>
    <x v="12"/>
    <x v="0"/>
    <s v="Average"/>
    <n v="0"/>
  </r>
  <r>
    <x v="600"/>
    <x v="557"/>
    <n v="240"/>
    <x v="31"/>
    <s v="27-01-2023"/>
    <s v="Springer Nature"/>
    <x v="0"/>
    <n v="0"/>
    <n v="0"/>
    <x v="26"/>
    <x v="0"/>
    <s v="Average"/>
    <n v="0"/>
  </r>
  <r>
    <x v="601"/>
    <x v="558"/>
    <n v="199"/>
    <x v="31"/>
    <s v="11-10-2022"/>
    <s v="McFarland"/>
    <x v="0"/>
    <n v="0"/>
    <n v="0"/>
    <x v="13"/>
    <x v="0"/>
    <s v="Average"/>
    <n v="0"/>
  </r>
  <r>
    <x v="602"/>
    <x v="559"/>
    <n v="374"/>
    <x v="31"/>
    <s v="20-03-2023"/>
    <s v="Springer Nature"/>
    <x v="0"/>
    <n v="0"/>
    <n v="0"/>
    <x v="26"/>
    <x v="0"/>
    <s v="Average"/>
    <n v="0"/>
  </r>
  <r>
    <x v="603"/>
    <x v="560"/>
    <n v="372"/>
    <x v="0"/>
    <s v="01-04-2011"/>
    <s v="Nimble Books LLC"/>
    <x v="0"/>
    <n v="5"/>
    <n v="2"/>
    <x v="27"/>
    <x v="2"/>
    <s v="Average"/>
    <n v="10"/>
  </r>
  <r>
    <x v="604"/>
    <x v="561"/>
    <n v="113"/>
    <x v="2"/>
    <s v="01-01-2018"/>
    <s v="The Fact Book Company Limited"/>
    <x v="0"/>
    <n v="0"/>
    <n v="0"/>
    <x v="7"/>
    <x v="0"/>
    <s v="Average"/>
    <n v="0"/>
  </r>
  <r>
    <x v="605"/>
    <x v="562"/>
    <n v="196"/>
    <x v="31"/>
    <s v="11-11-2014"/>
    <s v="Chronicle Books"/>
    <x v="0"/>
    <n v="0"/>
    <n v="0"/>
    <x v="8"/>
    <x v="0"/>
    <s v="Average"/>
    <n v="0"/>
  </r>
  <r>
    <x v="606"/>
    <x v="563"/>
    <n v="338"/>
    <x v="0"/>
    <s v="11-10-2023"/>
    <s v="Cambridge Scholars Publishing"/>
    <x v="0"/>
    <n v="0"/>
    <n v="0"/>
    <x v="26"/>
    <x v="0"/>
    <s v="Average"/>
    <n v="0"/>
  </r>
  <r>
    <x v="607"/>
    <x v="564"/>
    <n v="60"/>
    <x v="18"/>
    <s v="17-04-2013"/>
    <s v="GRIN Verlag"/>
    <x v="0"/>
    <n v="0"/>
    <n v="0"/>
    <x v="28"/>
    <x v="0"/>
    <s v="Average"/>
    <n v="0"/>
  </r>
  <r>
    <x v="608"/>
    <x v="565"/>
    <n v="343"/>
    <x v="12"/>
    <s v="03-02-2022"/>
    <s v="Rowman &amp; Littlefield"/>
    <x v="0"/>
    <n v="0"/>
    <n v="0"/>
    <x v="13"/>
    <x v="0"/>
    <s v="Average"/>
    <n v="0"/>
  </r>
  <r>
    <x v="519"/>
    <x v="566"/>
    <n v="88"/>
    <x v="2"/>
    <s v="01-01-2004"/>
    <s v="Evans Brothers"/>
    <x v="0"/>
    <n v="0"/>
    <n v="0"/>
    <x v="22"/>
    <x v="0"/>
    <s v="Average"/>
    <n v="0"/>
  </r>
  <r>
    <x v="609"/>
    <x v="566"/>
    <n v="69"/>
    <x v="8"/>
    <s v="01-01-2011"/>
    <s v="BookCaps Study Guides"/>
    <x v="0"/>
    <n v="0"/>
    <n v="0"/>
    <x v="27"/>
    <x v="0"/>
    <s v="Average"/>
    <n v="0"/>
  </r>
  <r>
    <x v="610"/>
    <x v="567"/>
    <n v="328"/>
    <x v="0"/>
    <s v="16-09-2015"/>
    <s v="V&amp;R Unipress"/>
    <x v="0"/>
    <n v="0"/>
    <n v="0"/>
    <x v="14"/>
    <x v="0"/>
    <s v="Average"/>
    <n v="0"/>
  </r>
  <r>
    <x v="611"/>
    <x v="568"/>
    <n v="182"/>
    <x v="0"/>
    <s v="07-05-2009"/>
    <s v="Routledge"/>
    <x v="0"/>
    <n v="0"/>
    <n v="0"/>
    <x v="29"/>
    <x v="0"/>
    <s v="Average"/>
    <n v="0"/>
  </r>
  <r>
    <x v="519"/>
    <x v="569"/>
    <n v="75"/>
    <x v="11"/>
    <s v="01-01-2009"/>
    <s v="Insight Publications"/>
    <x v="0"/>
    <n v="0"/>
    <n v="0"/>
    <x v="29"/>
    <x v="0"/>
    <s v="Average"/>
    <n v="0"/>
  </r>
  <r>
    <x v="612"/>
    <x v="570"/>
    <n v="60"/>
    <x v="11"/>
    <s v="28-10-2012"/>
    <s v="Classroom Complete Press"/>
    <x v="0"/>
    <n v="0"/>
    <n v="0"/>
    <x v="9"/>
    <x v="0"/>
    <s v="Average"/>
    <n v="0"/>
  </r>
  <r>
    <x v="613"/>
    <x v="571"/>
    <n v="186"/>
    <x v="2"/>
    <s v="01-09-2010"/>
    <s v="BMI Educational Services"/>
    <x v="0"/>
    <n v="0"/>
    <n v="0"/>
    <x v="1"/>
    <x v="0"/>
    <s v="Average"/>
    <n v="0"/>
  </r>
  <r>
    <x v="614"/>
    <x v="572"/>
    <n v="159"/>
    <x v="31"/>
    <s v="13-05-2016"/>
    <s v="Time Inc. Books"/>
    <x v="0"/>
    <n v="0"/>
    <n v="0"/>
    <x v="18"/>
    <x v="0"/>
    <s v="Average"/>
    <n v="0"/>
  </r>
  <r>
    <x v="615"/>
    <x v="573"/>
    <n v="10"/>
    <x v="2"/>
    <s v="15-11-2024"/>
    <s v="Online Digital Centre"/>
    <x v="0"/>
    <n v="0"/>
    <n v="0"/>
    <x v="16"/>
    <x v="0"/>
    <s v="Average"/>
    <n v="0"/>
  </r>
  <r>
    <x v="616"/>
    <x v="525"/>
    <n v="288"/>
    <x v="56"/>
    <s v="01-01-2013"/>
    <s v="Infobase Learning"/>
    <x v="0"/>
    <n v="0"/>
    <n v="0"/>
    <x v="28"/>
    <x v="0"/>
    <s v="Average"/>
    <n v="0"/>
  </r>
  <r>
    <x v="617"/>
    <x v="525"/>
    <n v="125"/>
    <x v="57"/>
    <s v="01-01-2009"/>
    <s v="Infobase Publishing"/>
    <x v="0"/>
    <n v="0"/>
    <n v="0"/>
    <x v="29"/>
    <x v="0"/>
    <s v="Average"/>
    <n v="0"/>
  </r>
  <r>
    <x v="618"/>
    <x v="574"/>
    <n v="142"/>
    <x v="0"/>
    <s v="01-01-1994"/>
    <s v="Wildside Press LLC"/>
    <x v="0"/>
    <n v="5"/>
    <n v="1"/>
    <x v="30"/>
    <x v="2"/>
    <s v="Average"/>
    <n v="5"/>
  </r>
  <r>
    <x v="619"/>
    <x v="575"/>
    <n v="147"/>
    <x v="8"/>
    <s v="07-06-2012"/>
    <s v="Cambridge University Press"/>
    <x v="0"/>
    <n v="0"/>
    <n v="0"/>
    <x v="9"/>
    <x v="0"/>
    <s v="Average"/>
    <n v="0"/>
  </r>
  <r>
    <x v="620"/>
    <x v="525"/>
    <n v="191"/>
    <x v="56"/>
    <s v="01-01-2009"/>
    <s v="Infobase Publishing"/>
    <x v="0"/>
    <n v="0"/>
    <n v="0"/>
    <x v="29"/>
    <x v="0"/>
    <s v="Average"/>
    <n v="0"/>
  </r>
  <r>
    <x v="621"/>
    <x v="576"/>
    <n v="212"/>
    <x v="0"/>
    <s v="01-01-1994"/>
    <s v="University of Illinois Press"/>
    <x v="0"/>
    <n v="5"/>
    <n v="1"/>
    <x v="30"/>
    <x v="2"/>
    <s v="Average"/>
    <n v="5"/>
  </r>
  <r>
    <x v="622"/>
    <x v="577"/>
    <n v="73"/>
    <x v="11"/>
    <s v="13-08-2012"/>
    <s v="BookCaps Study Guides"/>
    <x v="0"/>
    <n v="0"/>
    <n v="0"/>
    <x v="9"/>
    <x v="0"/>
    <s v="Average"/>
    <n v="0"/>
  </r>
  <r>
    <x v="521"/>
    <x v="578"/>
    <n v="120"/>
    <x v="3"/>
    <s v="23-03-2020"/>
    <s v="Lulu.com"/>
    <x v="0"/>
    <n v="0"/>
    <n v="0"/>
    <x v="17"/>
    <x v="0"/>
    <s v="Average"/>
    <n v="0"/>
  </r>
  <r>
    <x v="623"/>
    <x v="579"/>
    <n v="84"/>
    <x v="18"/>
    <s v="28-10-2024"/>
    <s v="GRIN Verlag"/>
    <x v="0"/>
    <n v="0"/>
    <n v="0"/>
    <x v="16"/>
    <x v="0"/>
    <s v="Average"/>
    <n v="0"/>
  </r>
  <r>
    <x v="521"/>
    <x v="505"/>
    <n v="204"/>
    <x v="20"/>
    <s v="16-05-2024"/>
    <s v="CHANGDER OUTLINE"/>
    <x v="0"/>
    <n v="0"/>
    <n v="0"/>
    <x v="16"/>
    <x v="0"/>
    <s v="Average"/>
    <n v="0"/>
  </r>
  <r>
    <x v="624"/>
    <x v="580"/>
    <n v="232"/>
    <x v="41"/>
    <s v="07-12-2021"/>
    <s v="Post Hill Press"/>
    <x v="0"/>
    <n v="0"/>
    <n v="0"/>
    <x v="12"/>
    <x v="0"/>
    <s v="Average"/>
    <n v="0"/>
  </r>
  <r>
    <x v="625"/>
    <x v="581"/>
    <n v="114"/>
    <x v="9"/>
    <s v="01-09-2011"/>
    <s v="ABDO"/>
    <x v="0"/>
    <n v="3.5"/>
    <n v="4"/>
    <x v="27"/>
    <x v="1"/>
    <s v="Average"/>
    <n v="14"/>
  </r>
  <r>
    <x v="626"/>
    <x v="582"/>
    <n v="380"/>
    <x v="8"/>
    <s v="01-01-2005"/>
    <s v="University of Delaware Press"/>
    <x v="0"/>
    <n v="0"/>
    <n v="0"/>
    <x v="25"/>
    <x v="0"/>
    <s v="Average"/>
    <n v="0"/>
  </r>
  <r>
    <x v="625"/>
    <x v="583"/>
    <n v="71"/>
    <x v="11"/>
    <s v="01-10-2011"/>
    <s v="Insight Publications"/>
    <x v="0"/>
    <n v="0"/>
    <n v="0"/>
    <x v="27"/>
    <x v="0"/>
    <s v="Average"/>
    <n v="0"/>
  </r>
  <r>
    <x v="627"/>
    <x v="584"/>
    <n v="167"/>
    <x v="9"/>
    <s v="01-05-2013"/>
    <s v="Usborne Publishing Ltd"/>
    <x v="0"/>
    <n v="0"/>
    <n v="0"/>
    <x v="28"/>
    <x v="0"/>
    <s v="Average"/>
    <n v="0"/>
  </r>
  <r>
    <x v="625"/>
    <x v="585"/>
    <n v="160"/>
    <x v="49"/>
    <s v="01-01-1998"/>
    <s v="Dramatic Publishing"/>
    <x v="0"/>
    <n v="0"/>
    <n v="0"/>
    <x v="47"/>
    <x v="0"/>
    <s v="Average"/>
    <n v="0"/>
  </r>
  <r>
    <x v="625"/>
    <x v="586"/>
    <n v="65"/>
    <x v="36"/>
    <s v="01-09-2010"/>
    <s v="Saddleback Educational Publishing"/>
    <x v="0"/>
    <n v="0"/>
    <n v="0"/>
    <x v="1"/>
    <x v="0"/>
    <s v="Average"/>
    <n v="0"/>
  </r>
  <r>
    <x v="628"/>
    <x v="586"/>
    <n v="597"/>
    <x v="0"/>
    <s v="04-04-2016"/>
    <s v="W. W. Norton &amp; Company"/>
    <x v="0"/>
    <n v="4"/>
    <n v="1"/>
    <x v="18"/>
    <x v="2"/>
    <s v="Average"/>
    <n v="4"/>
  </r>
  <r>
    <x v="629"/>
    <x v="587"/>
    <n v="23"/>
    <x v="0"/>
    <s v="21-12-2002"/>
    <s v="GRIN Verlag"/>
    <x v="0"/>
    <n v="0"/>
    <n v="0"/>
    <x v="6"/>
    <x v="0"/>
    <s v="Average"/>
    <n v="0"/>
  </r>
  <r>
    <x v="625"/>
    <x v="588"/>
    <n v="147"/>
    <x v="29"/>
    <s v="01-01-2008"/>
    <s v="Classical Comics"/>
    <x v="0"/>
    <n v="0"/>
    <n v="0"/>
    <x v="5"/>
    <x v="0"/>
    <s v="Average"/>
    <n v="0"/>
  </r>
  <r>
    <x v="630"/>
    <x v="589"/>
    <n v="132"/>
    <x v="0"/>
    <s v="28-10-2004"/>
    <s v="Houghton Mifflin Harcourt"/>
    <x v="0"/>
    <n v="0"/>
    <n v="0"/>
    <x v="22"/>
    <x v="0"/>
    <s v="Average"/>
    <n v="0"/>
  </r>
  <r>
    <x v="631"/>
    <x v="590"/>
    <n v="1003"/>
    <x v="8"/>
    <s v="13-11-2023"/>
    <s v="DigiCat"/>
    <x v="0"/>
    <n v="0"/>
    <n v="0"/>
    <x v="26"/>
    <x v="0"/>
    <s v="Average"/>
    <n v="0"/>
  </r>
  <r>
    <x v="625"/>
    <x v="591"/>
    <n v="23"/>
    <x v="20"/>
    <s v="01-03-2012"/>
    <s v="Gibbs Smith"/>
    <x v="0"/>
    <n v="0"/>
    <n v="0"/>
    <x v="9"/>
    <x v="0"/>
    <s v="Average"/>
    <n v="0"/>
  </r>
  <r>
    <x v="632"/>
    <x v="586"/>
    <n v="140"/>
    <x v="45"/>
    <s v="10-02-2012"/>
    <s v="Oxford University Press"/>
    <x v="0"/>
    <n v="0"/>
    <n v="0"/>
    <x v="9"/>
    <x v="0"/>
    <s v="Average"/>
    <n v="0"/>
  </r>
  <r>
    <x v="633"/>
    <x v="592"/>
    <n v="159"/>
    <x v="0"/>
    <s v="29-11-2024"/>
    <s v="Taylor &amp; Francis"/>
    <x v="0"/>
    <n v="0"/>
    <n v="0"/>
    <x v="16"/>
    <x v="0"/>
    <s v="Average"/>
    <n v="0"/>
  </r>
  <r>
    <x v="634"/>
    <x v="593"/>
    <n v="41"/>
    <x v="6"/>
    <s v="24-08-2007"/>
    <s v="GRIN Verlag"/>
    <x v="0"/>
    <n v="0"/>
    <n v="0"/>
    <x v="15"/>
    <x v="0"/>
    <s v="Average"/>
    <n v="0"/>
  </r>
  <r>
    <x v="635"/>
    <x v="337"/>
    <n v="370"/>
    <x v="2"/>
    <s v="09-06-2022"/>
    <s v="PURE SNOW PUBLISHING"/>
    <x v="0"/>
    <n v="0"/>
    <n v="0"/>
    <x v="13"/>
    <x v="0"/>
    <s v="Average"/>
    <n v="0"/>
  </r>
  <r>
    <x v="636"/>
    <x v="594"/>
    <n v="384"/>
    <x v="0"/>
    <s v="22-02-2010"/>
    <s v="John Wiley &amp; Sons"/>
    <x v="0"/>
    <n v="0"/>
    <n v="0"/>
    <x v="1"/>
    <x v="0"/>
    <s v="Average"/>
    <n v="0"/>
  </r>
  <r>
    <x v="637"/>
    <x v="595"/>
    <n v="65"/>
    <x v="36"/>
    <s v="01-09-2010"/>
    <s v="Saddleback Educational Publishing"/>
    <x v="0"/>
    <n v="0"/>
    <n v="0"/>
    <x v="1"/>
    <x v="0"/>
    <s v="Average"/>
    <n v="0"/>
  </r>
  <r>
    <x v="638"/>
    <x v="337"/>
    <n v="401"/>
    <x v="2"/>
    <s v="01-04-2014"/>
    <s v="Oxford University Press, USA"/>
    <x v="0"/>
    <n v="0"/>
    <n v="0"/>
    <x v="8"/>
    <x v="0"/>
    <s v="Average"/>
    <n v="0"/>
  </r>
  <r>
    <x v="531"/>
    <x v="595"/>
    <n v="241"/>
    <x v="2"/>
    <s v="04-05-2012"/>
    <s v="Courier Corporation"/>
    <x v="0"/>
    <n v="0"/>
    <n v="0"/>
    <x v="9"/>
    <x v="0"/>
    <s v="Average"/>
    <n v="0"/>
  </r>
  <r>
    <x v="639"/>
    <x v="596"/>
    <n v="406"/>
    <x v="2"/>
    <s v="01-01-1993"/>
    <s v="Wordsworth Editions"/>
    <x v="0"/>
    <n v="4.5"/>
    <n v="4"/>
    <x v="33"/>
    <x v="2"/>
    <s v="Average"/>
    <n v="18"/>
  </r>
  <r>
    <x v="640"/>
    <x v="595"/>
    <n v="231"/>
    <x v="2"/>
    <s v="01-01-1989"/>
    <s v="Jaico Publishing House"/>
    <x v="0"/>
    <n v="0"/>
    <n v="0"/>
    <x v="43"/>
    <x v="0"/>
    <s v="Average"/>
    <n v="0"/>
  </r>
  <r>
    <x v="641"/>
    <x v="595"/>
    <n v="1635"/>
    <x v="2"/>
    <s v="18-11-2015"/>
    <s v="Xist Publishing"/>
    <x v="0"/>
    <n v="5"/>
    <n v="1"/>
    <x v="14"/>
    <x v="2"/>
    <s v="Average"/>
    <n v="5"/>
  </r>
  <r>
    <x v="642"/>
    <x v="597"/>
    <n v="426"/>
    <x v="0"/>
    <s v="23-12-2015"/>
    <s v="McFarland"/>
    <x v="0"/>
    <n v="0"/>
    <n v="0"/>
    <x v="14"/>
    <x v="0"/>
    <s v="Average"/>
    <n v="0"/>
  </r>
  <r>
    <x v="643"/>
    <x v="337"/>
    <n v="670"/>
    <x v="2"/>
    <s v="01-01-2006"/>
    <s v="ReadHowYouWant.com"/>
    <x v="0"/>
    <n v="4.5"/>
    <n v="4"/>
    <x v="24"/>
    <x v="2"/>
    <s v="Average"/>
    <n v="18"/>
  </r>
  <r>
    <x v="644"/>
    <x v="595"/>
    <n v="228"/>
    <x v="2"/>
    <s v="11-09-2017"/>
    <s v="Gramedia Pustaka Utama"/>
    <x v="0"/>
    <n v="0"/>
    <n v="0"/>
    <x v="3"/>
    <x v="0"/>
    <s v="Average"/>
    <n v="0"/>
  </r>
  <r>
    <x v="645"/>
    <x v="595"/>
    <n v="123"/>
    <x v="2"/>
    <s v="22-09-2010"/>
    <s v="Andrews UK Limited"/>
    <x v="0"/>
    <n v="1"/>
    <n v="1"/>
    <x v="1"/>
    <x v="0"/>
    <s v="Average"/>
    <n v="1"/>
  </r>
  <r>
    <x v="646"/>
    <x v="598"/>
    <n v="36"/>
    <x v="3"/>
    <s v="08-09-2015"/>
    <s v="Andrews UK Limited"/>
    <x v="0"/>
    <n v="0"/>
    <n v="0"/>
    <x v="14"/>
    <x v="0"/>
    <s v="Average"/>
    <n v="0"/>
  </r>
  <r>
    <x v="647"/>
    <x v="599"/>
    <n v="236"/>
    <x v="0"/>
    <s v="30-12-2016"/>
    <s v="McFarland"/>
    <x v="0"/>
    <n v="0"/>
    <n v="0"/>
    <x v="18"/>
    <x v="0"/>
    <s v="Average"/>
    <n v="0"/>
  </r>
  <r>
    <x v="648"/>
    <x v="600"/>
    <n v="223"/>
    <x v="27"/>
    <s v="17-08-2023"/>
    <s v="Michael O'Mara Books"/>
    <x v="0"/>
    <n v="0"/>
    <n v="0"/>
    <x v="26"/>
    <x v="0"/>
    <s v="Average"/>
    <n v="0"/>
  </r>
  <r>
    <x v="649"/>
    <x v="595"/>
    <n v="302"/>
    <x v="2"/>
    <s v="08-05-2015"/>
    <s v="Xist Publishing"/>
    <x v="0"/>
    <n v="0"/>
    <n v="0"/>
    <x v="14"/>
    <x v="0"/>
    <s v="Average"/>
    <n v="0"/>
  </r>
  <r>
    <x v="650"/>
    <x v="601"/>
    <n v="40"/>
    <x v="49"/>
    <s v="01-01-2019"/>
    <s v="Stage Partners"/>
    <x v="0"/>
    <n v="0"/>
    <n v="0"/>
    <x v="20"/>
    <x v="0"/>
    <s v="Average"/>
    <n v="0"/>
  </r>
  <r>
    <x v="651"/>
    <x v="602"/>
    <n v="402"/>
    <x v="47"/>
    <s v="14-10-2004"/>
    <s v="MAA"/>
    <x v="0"/>
    <n v="0"/>
    <n v="0"/>
    <x v="22"/>
    <x v="0"/>
    <s v="Average"/>
    <n v="0"/>
  </r>
  <r>
    <x v="652"/>
    <x v="337"/>
    <n v="1714"/>
    <x v="2"/>
    <s v="05-09-2024"/>
    <s v="Aegitas"/>
    <x v="0"/>
    <n v="0"/>
    <n v="0"/>
    <x v="16"/>
    <x v="0"/>
    <s v="Average"/>
    <n v="0"/>
  </r>
  <r>
    <x v="653"/>
    <x v="337"/>
    <n v="548"/>
    <x v="2"/>
    <s v="01-01-2009"/>
    <s v="Collector's Library"/>
    <x v="0"/>
    <n v="4.5"/>
    <n v="3"/>
    <x v="29"/>
    <x v="2"/>
    <s v="Average"/>
    <n v="13.5"/>
  </r>
  <r>
    <x v="654"/>
    <x v="337"/>
    <n v="292"/>
    <x v="2"/>
    <s v="01-01-1894"/>
    <s v="Createspace Independent Publishing Platform"/>
    <x v="0"/>
    <n v="0"/>
    <n v="0"/>
    <x v="52"/>
    <x v="0"/>
    <s v="Average"/>
    <n v="0"/>
  </r>
  <r>
    <x v="655"/>
    <x v="595"/>
    <n v="51"/>
    <x v="9"/>
    <s v="01-08-2018"/>
    <s v="Graphic Universe ™"/>
    <x v="0"/>
    <n v="0"/>
    <n v="0"/>
    <x v="7"/>
    <x v="0"/>
    <s v="Average"/>
    <n v="0"/>
  </r>
  <r>
    <x v="656"/>
    <x v="595"/>
    <n v="52"/>
    <x v="9"/>
    <s v="01-11-2010"/>
    <s v="Graphic Universe ™"/>
    <x v="0"/>
    <n v="0"/>
    <n v="0"/>
    <x v="1"/>
    <x v="0"/>
    <s v="Average"/>
    <n v="0"/>
  </r>
  <r>
    <x v="657"/>
    <x v="595"/>
    <n v="1048"/>
    <x v="2"/>
    <s v="01-01-1988"/>
    <s v="Jaico Publishing House"/>
    <x v="0"/>
    <n v="0"/>
    <n v="0"/>
    <x v="11"/>
    <x v="0"/>
    <s v="Average"/>
    <n v="0"/>
  </r>
  <r>
    <x v="658"/>
    <x v="595"/>
    <n v="51"/>
    <x v="9"/>
    <s v="01-08-2018"/>
    <s v="Graphic Universe ™"/>
    <x v="0"/>
    <n v="0"/>
    <n v="0"/>
    <x v="7"/>
    <x v="0"/>
    <s v="Average"/>
    <n v="0"/>
  </r>
  <r>
    <x v="659"/>
    <x v="337"/>
    <n v="2034"/>
    <x v="2"/>
    <s v="05-12-2023"/>
    <s v="Good Press"/>
    <x v="0"/>
    <n v="0"/>
    <n v="0"/>
    <x v="26"/>
    <x v="0"/>
    <s v="Average"/>
    <n v="0"/>
  </r>
  <r>
    <x v="660"/>
    <x v="603"/>
    <n v="163"/>
    <x v="2"/>
    <s v="02-06-2015"/>
    <s v="Jaico Publishing House"/>
    <x v="0"/>
    <n v="0"/>
    <n v="0"/>
    <x v="14"/>
    <x v="0"/>
    <s v="Average"/>
    <n v="0"/>
  </r>
  <r>
    <x v="661"/>
    <x v="337"/>
    <n v="214"/>
    <x v="2"/>
    <s v="17-05-2021"/>
    <s v="Principis"/>
    <x v="6"/>
    <n v="0"/>
    <n v="0"/>
    <x v="12"/>
    <x v="0"/>
    <s v="Average"/>
    <n v="0"/>
  </r>
  <r>
    <x v="662"/>
    <x v="604"/>
    <n v="318"/>
    <x v="0"/>
    <s v="28-09-2012"/>
    <s v="University Press of Kentucky"/>
    <x v="0"/>
    <n v="0"/>
    <n v="0"/>
    <x v="9"/>
    <x v="0"/>
    <s v="Average"/>
    <n v="0"/>
  </r>
  <r>
    <x v="663"/>
    <x v="605"/>
    <n v="386"/>
    <x v="0"/>
    <s v="01-01-2011"/>
    <s v="Open Court Publishing"/>
    <x v="0"/>
    <n v="5"/>
    <n v="1"/>
    <x v="27"/>
    <x v="2"/>
    <s v="Average"/>
    <n v="5"/>
  </r>
  <r>
    <x v="664"/>
    <x v="606"/>
    <n v="130"/>
    <x v="20"/>
    <s v="15-07-2017"/>
    <s v="Cavendish Square Publishing, LLC"/>
    <x v="0"/>
    <n v="0"/>
    <n v="0"/>
    <x v="3"/>
    <x v="0"/>
    <s v="Average"/>
    <n v="0"/>
  </r>
  <r>
    <x v="665"/>
    <x v="607"/>
    <n v="192"/>
    <x v="2"/>
    <s v="01-01-1980"/>
    <s v="Popular Press"/>
    <x v="0"/>
    <n v="0"/>
    <n v="0"/>
    <x v="53"/>
    <x v="0"/>
    <s v="Average"/>
    <n v="0"/>
  </r>
  <r>
    <x v="666"/>
    <x v="608"/>
    <n v="64"/>
    <x v="45"/>
    <s v="22-09-2014"/>
    <s v="Oxford University Press"/>
    <x v="0"/>
    <n v="0"/>
    <n v="0"/>
    <x v="8"/>
    <x v="0"/>
    <s v="Average"/>
    <n v="0"/>
  </r>
  <r>
    <x v="667"/>
    <x v="608"/>
    <n v="67"/>
    <x v="45"/>
    <s v="10-02-2012"/>
    <s v="Oxford University Press"/>
    <x v="0"/>
    <n v="0"/>
    <n v="0"/>
    <x v="9"/>
    <x v="0"/>
    <s v="Average"/>
    <n v="0"/>
  </r>
  <r>
    <x v="668"/>
    <x v="609"/>
    <n v="90"/>
    <x v="58"/>
    <s v="06-09-2022"/>
    <s v="Humanoids, Inc."/>
    <x v="0"/>
    <n v="0"/>
    <n v="0"/>
    <x v="13"/>
    <x v="0"/>
    <s v="Average"/>
    <n v="0"/>
  </r>
  <r>
    <x v="669"/>
    <x v="610"/>
    <n v="449"/>
    <x v="0"/>
    <s v="15-03-2016"/>
    <s v="McFarland"/>
    <x v="0"/>
    <n v="0"/>
    <n v="0"/>
    <x v="18"/>
    <x v="0"/>
    <s v="Average"/>
    <n v="0"/>
  </r>
  <r>
    <x v="664"/>
    <x v="611"/>
    <n v="457"/>
    <x v="0"/>
    <s v="25-08-2022"/>
    <s v="McFarland"/>
    <x v="0"/>
    <n v="0"/>
    <n v="0"/>
    <x v="13"/>
    <x v="0"/>
    <s v="Average"/>
    <n v="0"/>
  </r>
  <r>
    <x v="670"/>
    <x v="612"/>
    <n v="234"/>
    <x v="15"/>
    <s v="05-09-2023"/>
    <s v="Simon and Schuster"/>
    <x v="0"/>
    <n v="0"/>
    <n v="0"/>
    <x v="26"/>
    <x v="0"/>
    <s v="Average"/>
    <n v="0"/>
  </r>
  <r>
    <x v="671"/>
    <x v="613"/>
    <n v="448"/>
    <x v="2"/>
    <s v="01-01-2004"/>
    <s v="Trafford Publishing"/>
    <x v="0"/>
    <n v="5"/>
    <n v="1"/>
    <x v="22"/>
    <x v="2"/>
    <s v="Average"/>
    <n v="5"/>
  </r>
  <r>
    <x v="672"/>
    <x v="614"/>
    <n v="173"/>
    <x v="0"/>
    <s v="28-09-2023"/>
    <s v="Book Guild Publishing"/>
    <x v="0"/>
    <n v="0"/>
    <n v="0"/>
    <x v="26"/>
    <x v="0"/>
    <s v="Average"/>
    <n v="0"/>
  </r>
  <r>
    <x v="664"/>
    <x v="615"/>
    <n v="219"/>
    <x v="0"/>
    <s v="10-10-2006"/>
    <s v="Springer"/>
    <x v="0"/>
    <n v="0"/>
    <n v="0"/>
    <x v="24"/>
    <x v="0"/>
    <s v="Average"/>
    <n v="0"/>
  </r>
  <r>
    <x v="673"/>
    <x v="616"/>
    <n v="345"/>
    <x v="6"/>
    <s v="12-01-2016"/>
    <s v="BRILL"/>
    <x v="0"/>
    <n v="0"/>
    <n v="0"/>
    <x v="18"/>
    <x v="0"/>
    <s v="Average"/>
    <n v="0"/>
  </r>
  <r>
    <x v="674"/>
    <x v="617"/>
    <n v="204"/>
    <x v="43"/>
    <s v="01-01-1999"/>
    <s v="RDR Books"/>
    <x v="0"/>
    <n v="0"/>
    <n v="0"/>
    <x v="36"/>
    <x v="0"/>
    <s v="Average"/>
    <n v="0"/>
  </r>
  <r>
    <x v="675"/>
    <x v="525"/>
    <n v="139"/>
    <x v="0"/>
    <s v="01-01-2009"/>
    <s v="Infobase Publishing"/>
    <x v="0"/>
    <n v="0"/>
    <n v="0"/>
    <x v="29"/>
    <x v="0"/>
    <s v="Average"/>
    <n v="0"/>
  </r>
  <r>
    <x v="676"/>
    <x v="618"/>
    <n v="353"/>
    <x v="5"/>
    <s v="06-10-2020"/>
    <s v="Rowman &amp; Littlefield"/>
    <x v="0"/>
    <n v="0"/>
    <n v="0"/>
    <x v="17"/>
    <x v="0"/>
    <s v="Average"/>
    <n v="0"/>
  </r>
  <r>
    <x v="677"/>
    <x v="619"/>
    <n v="154"/>
    <x v="8"/>
    <s v="01-01-1987"/>
    <s v="Popular Press"/>
    <x v="0"/>
    <n v="0"/>
    <n v="0"/>
    <x v="46"/>
    <x v="0"/>
    <s v="Average"/>
    <n v="0"/>
  </r>
  <r>
    <x v="678"/>
    <x v="620"/>
    <n v="172"/>
    <x v="0"/>
    <s v="01-01-1989"/>
    <s v="Wildside Press LLC"/>
    <x v="0"/>
    <n v="0"/>
    <n v="0"/>
    <x v="43"/>
    <x v="0"/>
    <s v="Average"/>
    <n v="0"/>
  </r>
  <r>
    <x v="679"/>
    <x v="621"/>
    <n v="202"/>
    <x v="2"/>
    <s v="01-01-1985"/>
    <s v="Wildside Press LLC"/>
    <x v="0"/>
    <n v="0"/>
    <n v="0"/>
    <x v="2"/>
    <x v="0"/>
    <s v="Average"/>
    <n v="0"/>
  </r>
  <r>
    <x v="680"/>
    <x v="622"/>
    <n v="196"/>
    <x v="0"/>
    <s v="01-01-1994"/>
    <s v="Popular Press"/>
    <x v="0"/>
    <n v="0"/>
    <n v="0"/>
    <x v="30"/>
    <x v="0"/>
    <s v="Average"/>
    <n v="0"/>
  </r>
  <r>
    <x v="681"/>
    <x v="493"/>
    <n v="449"/>
    <x v="2"/>
    <s v="03-05-2005"/>
    <s v="Simon and Schuster"/>
    <x v="0"/>
    <n v="4"/>
    <n v="238"/>
    <x v="25"/>
    <x v="2"/>
    <s v="Average"/>
    <n v="952"/>
  </r>
  <r>
    <x v="682"/>
    <x v="623"/>
    <n v="284"/>
    <x v="8"/>
    <s v="04-04-2011"/>
    <s v="Kings Road Publishing"/>
    <x v="0"/>
    <n v="0"/>
    <n v="0"/>
    <x v="27"/>
    <x v="0"/>
    <s v="Average"/>
    <n v="0"/>
  </r>
  <r>
    <x v="683"/>
    <x v="624"/>
    <n v="250"/>
    <x v="0"/>
    <s v="01-01-2006"/>
    <s v="David C Cook"/>
    <x v="0"/>
    <n v="1"/>
    <n v="1"/>
    <x v="24"/>
    <x v="0"/>
    <s v="Average"/>
    <n v="1"/>
  </r>
  <r>
    <x v="684"/>
    <x v="625"/>
    <n v="76"/>
    <x v="8"/>
    <s v="01-01-2005"/>
    <s v="Lulu.com"/>
    <x v="0"/>
    <n v="2"/>
    <n v="1"/>
    <x v="25"/>
    <x v="0"/>
    <s v="Average"/>
    <n v="2"/>
  </r>
  <r>
    <x v="685"/>
    <x v="626"/>
    <n v="113"/>
    <x v="13"/>
    <s v="08-01-2022"/>
    <s v="AYDIN TURKGUCU"/>
    <x v="0"/>
    <n v="0"/>
    <n v="0"/>
    <x v="13"/>
    <x v="0"/>
    <s v="Average"/>
    <n v="0"/>
  </r>
  <r>
    <x v="686"/>
    <x v="627"/>
    <n v="62"/>
    <x v="5"/>
    <s v="15-02-2025"/>
    <s v="AYDIN TURKGUCU"/>
    <x v="3"/>
    <n v="0"/>
    <n v="0"/>
    <x v="34"/>
    <x v="0"/>
    <s v="Average"/>
    <n v="0"/>
  </r>
  <r>
    <x v="687"/>
    <x v="628"/>
    <n v="36"/>
    <x v="0"/>
    <s v="13-03-2015"/>
    <s v="Gale, Cengage Learning "/>
    <x v="0"/>
    <n v="0"/>
    <n v="0"/>
    <x v="14"/>
    <x v="0"/>
    <s v="Average"/>
    <n v="0"/>
  </r>
  <r>
    <x v="688"/>
    <x v="629"/>
    <n v="183"/>
    <x v="2"/>
    <s v="01-02-2011"/>
    <s v="Strategic Book Publishing"/>
    <x v="0"/>
    <n v="2"/>
    <n v="4"/>
    <x v="27"/>
    <x v="0"/>
    <s v="Average"/>
    <n v="8"/>
  </r>
  <r>
    <x v="689"/>
    <x v="630"/>
    <n v="100"/>
    <x v="0"/>
    <s v="26-09-2001"/>
    <s v="A&amp;C Black"/>
    <x v="0"/>
    <n v="5"/>
    <n v="4"/>
    <x v="32"/>
    <x v="2"/>
    <s v="Average"/>
    <n v="20"/>
  </r>
  <r>
    <x v="690"/>
    <x v="631"/>
    <n v="219"/>
    <x v="0"/>
    <s v="10-01-2014"/>
    <s v="McFarland"/>
    <x v="0"/>
    <n v="0"/>
    <n v="0"/>
    <x v="8"/>
    <x v="0"/>
    <s v="Average"/>
    <n v="0"/>
  </r>
  <r>
    <x v="691"/>
    <x v="632"/>
    <n v="35"/>
    <x v="8"/>
    <s v="18-02-2022"/>
    <s v="Fame Life Bios"/>
    <x v="0"/>
    <n v="0"/>
    <n v="0"/>
    <x v="13"/>
    <x v="0"/>
    <s v="Average"/>
    <n v="0"/>
  </r>
  <r>
    <x v="692"/>
    <x v="633"/>
    <n v="29"/>
    <x v="2"/>
    <s v="01-01-2011"/>
    <s v="Primento"/>
    <x v="7"/>
    <n v="0"/>
    <n v="0"/>
    <x v="27"/>
    <x v="0"/>
    <s v="Average"/>
    <n v="0"/>
  </r>
  <r>
    <x v="693"/>
    <x v="634"/>
    <n v="48"/>
    <x v="11"/>
    <s v="10-05-2018"/>
    <s v="Lulu.com"/>
    <x v="0"/>
    <n v="0"/>
    <n v="0"/>
    <x v="7"/>
    <x v="0"/>
    <s v="Average"/>
    <n v="0"/>
  </r>
  <r>
    <x v="694"/>
    <x v="628"/>
    <n v="44"/>
    <x v="0"/>
    <s v="13-03-2015"/>
    <s v="Gale, Cengage Learning "/>
    <x v="0"/>
    <n v="0"/>
    <n v="0"/>
    <x v="14"/>
    <x v="0"/>
    <s v="Average"/>
    <n v="0"/>
  </r>
  <r>
    <x v="695"/>
    <x v="635"/>
    <n v="29"/>
    <x v="6"/>
    <s v="01-05-2012"/>
    <s v="GRIN Verlag"/>
    <x v="0"/>
    <n v="0"/>
    <n v="0"/>
    <x v="9"/>
    <x v="0"/>
    <s v="Average"/>
    <n v="0"/>
  </r>
  <r>
    <x v="696"/>
    <x v="628"/>
    <n v="36"/>
    <x v="0"/>
    <s v="13-03-2015"/>
    <s v="Gale, Cengage Learning "/>
    <x v="0"/>
    <n v="0"/>
    <n v="0"/>
    <x v="14"/>
    <x v="0"/>
    <s v="Average"/>
    <n v="0"/>
  </r>
  <r>
    <x v="697"/>
    <x v="636"/>
    <n v="439"/>
    <x v="8"/>
    <s v="05-05-2020"/>
    <s v="Ares"/>
    <x v="4"/>
    <n v="0"/>
    <n v="0"/>
    <x v="17"/>
    <x v="0"/>
    <s v="Average"/>
    <n v="0"/>
  </r>
  <r>
    <x v="698"/>
    <x v="637"/>
    <n v="197"/>
    <x v="0"/>
    <s v="14-06-2017"/>
    <s v="Taylor &amp; Francis"/>
    <x v="0"/>
    <n v="0"/>
    <n v="0"/>
    <x v="3"/>
    <x v="0"/>
    <s v="Average"/>
    <n v="0"/>
  </r>
  <r>
    <x v="699"/>
    <x v="525"/>
    <n v="225"/>
    <x v="56"/>
    <s v="01-01-2009"/>
    <s v="Infobase Publishing"/>
    <x v="0"/>
    <n v="0"/>
    <n v="0"/>
    <x v="29"/>
    <x v="0"/>
    <s v="Average"/>
    <n v="0"/>
  </r>
  <r>
    <x v="700"/>
    <x v="638"/>
    <n v="250"/>
    <x v="18"/>
    <s v="21-06-2007"/>
    <s v="Cambridge University Press"/>
    <x v="0"/>
    <n v="0"/>
    <n v="0"/>
    <x v="15"/>
    <x v="0"/>
    <s v="Average"/>
    <n v="0"/>
  </r>
  <r>
    <x v="701"/>
    <x v="639"/>
    <n v="152"/>
    <x v="59"/>
    <s v="01-12-2002"/>
    <s v="Atlantic Publishers &amp; Dist"/>
    <x v="0"/>
    <n v="0"/>
    <n v="0"/>
    <x v="6"/>
    <x v="0"/>
    <s v="Average"/>
    <n v="0"/>
  </r>
  <r>
    <x v="702"/>
    <x v="640"/>
    <n v="393"/>
    <x v="29"/>
    <s v="07-07-2024"/>
    <s v="A G Printing &amp; Publishing"/>
    <x v="0"/>
    <n v="0"/>
    <n v="0"/>
    <x v="16"/>
    <x v="0"/>
    <s v="Average"/>
    <n v="0"/>
  </r>
  <r>
    <x v="701"/>
    <x v="641"/>
    <n v="168"/>
    <x v="8"/>
    <s v="01-01-1993"/>
    <s v="Manchester University Press"/>
    <x v="0"/>
    <n v="0"/>
    <n v="0"/>
    <x v="33"/>
    <x v="0"/>
    <s v="Average"/>
    <n v="0"/>
  </r>
  <r>
    <x v="703"/>
    <x v="638"/>
    <n v="376"/>
    <x v="8"/>
    <s v="14-09-2021"/>
    <s v="Princeton University Press"/>
    <x v="0"/>
    <n v="0"/>
    <n v="0"/>
    <x v="12"/>
    <x v="0"/>
    <s v="Average"/>
    <n v="0"/>
  </r>
  <r>
    <x v="701"/>
    <x v="642"/>
    <n v="66"/>
    <x v="20"/>
    <s v="15-07-2019"/>
    <s v="Greenhaven Publishing LLC"/>
    <x v="0"/>
    <n v="0"/>
    <n v="0"/>
    <x v="20"/>
    <x v="0"/>
    <s v="Average"/>
    <n v="0"/>
  </r>
  <r>
    <x v="701"/>
    <x v="638"/>
    <n v="534"/>
    <x v="0"/>
    <s v="31-12-2001"/>
    <s v="Transaction Publishers"/>
    <x v="0"/>
    <n v="0"/>
    <n v="0"/>
    <x v="32"/>
    <x v="0"/>
    <s v="Average"/>
    <n v="0"/>
  </r>
  <r>
    <x v="701"/>
    <x v="643"/>
    <n v="299"/>
    <x v="18"/>
    <s v="01-11-2024"/>
    <s v="Taylor &amp; Francis"/>
    <x v="0"/>
    <n v="0"/>
    <n v="0"/>
    <x v="16"/>
    <x v="0"/>
    <s v="Average"/>
    <n v="0"/>
  </r>
  <r>
    <x v="704"/>
    <x v="525"/>
    <n v="175"/>
    <x v="57"/>
    <s v="01-01-2009"/>
    <s v="Infobase Publishing"/>
    <x v="0"/>
    <n v="4"/>
    <n v="2"/>
    <x v="29"/>
    <x v="2"/>
    <s v="Average"/>
    <n v="8"/>
  </r>
  <r>
    <x v="705"/>
    <x v="644"/>
    <n v="256"/>
    <x v="31"/>
    <s v="06-09-2018"/>
    <s v="McFarland"/>
    <x v="0"/>
    <n v="0"/>
    <n v="0"/>
    <x v="7"/>
    <x v="0"/>
    <s v="Average"/>
    <n v="0"/>
  </r>
  <r>
    <x v="706"/>
    <x v="640"/>
    <n v="409"/>
    <x v="2"/>
    <s v="08-08-2016"/>
    <s v="Bentang Pustaka"/>
    <x v="2"/>
    <n v="0"/>
    <n v="0"/>
    <x v="18"/>
    <x v="0"/>
    <s v="Average"/>
    <n v="0"/>
  </r>
  <r>
    <x v="707"/>
    <x v="640"/>
    <n v="374"/>
    <x v="2"/>
    <s v="29-12-2021"/>
    <s v="Rajkamal Prakashan"/>
    <x v="8"/>
    <n v="0"/>
    <n v="0"/>
    <x v="12"/>
    <x v="0"/>
    <s v="Average"/>
    <n v="0"/>
  </r>
  <r>
    <x v="708"/>
    <x v="645"/>
    <n v="310"/>
    <x v="0"/>
    <s v="20-06-2017"/>
    <s v="Skyhorse"/>
    <x v="0"/>
    <n v="0"/>
    <n v="0"/>
    <x v="3"/>
    <x v="0"/>
    <s v="Average"/>
    <n v="0"/>
  </r>
  <r>
    <x v="709"/>
    <x v="646"/>
    <n v="44"/>
    <x v="46"/>
    <s v="05-06-2022"/>
    <s v="by Mocktime Publication"/>
    <x v="0"/>
    <n v="0"/>
    <n v="0"/>
    <x v="13"/>
    <x v="0"/>
    <s v="Average"/>
    <n v="0"/>
  </r>
  <r>
    <x v="701"/>
    <x v="647"/>
    <n v="281"/>
    <x v="0"/>
    <s v="01-01-2023"/>
    <s v="Oxford University Press"/>
    <x v="0"/>
    <n v="0"/>
    <n v="0"/>
    <x v="26"/>
    <x v="0"/>
    <s v="Average"/>
    <n v="0"/>
  </r>
  <r>
    <x v="710"/>
    <x v="648"/>
    <n v="26"/>
    <x v="25"/>
    <s v="23-06-2021"/>
    <s v="Shortcut Edition"/>
    <x v="0"/>
    <n v="0"/>
    <n v="0"/>
    <x v="12"/>
    <x v="0"/>
    <s v="Average"/>
    <n v="0"/>
  </r>
  <r>
    <x v="711"/>
    <x v="649"/>
    <n v="170"/>
    <x v="0"/>
    <s v="24-02-2016"/>
    <s v="Routledge"/>
    <x v="0"/>
    <n v="0"/>
    <n v="0"/>
    <x v="18"/>
    <x v="0"/>
    <s v="Average"/>
    <n v="0"/>
  </r>
  <r>
    <x v="712"/>
    <x v="525"/>
    <n v="297"/>
    <x v="60"/>
    <s v="01-01-2009"/>
    <s v="Infobase Publishing"/>
    <x v="0"/>
    <n v="0"/>
    <n v="0"/>
    <x v="29"/>
    <x v="0"/>
    <s v="Average"/>
    <n v="0"/>
  </r>
  <r>
    <x v="713"/>
    <x v="650"/>
    <n v="752"/>
    <x v="8"/>
    <s v="01-01-2009"/>
    <s v="Yale University Press"/>
    <x v="0"/>
    <n v="5"/>
    <n v="1"/>
    <x v="29"/>
    <x v="2"/>
    <s v="Average"/>
    <n v="5"/>
  </r>
  <r>
    <x v="713"/>
    <x v="651"/>
    <n v="284"/>
    <x v="0"/>
    <s v="01-01-1994"/>
    <s v="Susquehanna University Press"/>
    <x v="0"/>
    <n v="0"/>
    <n v="0"/>
    <x v="30"/>
    <x v="0"/>
    <s v="Average"/>
    <n v="0"/>
  </r>
  <r>
    <x v="714"/>
    <x v="652"/>
    <n v="1346"/>
    <x v="2"/>
    <s v="23-11-2004"/>
    <s v="Wordsworth Editions"/>
    <x v="0"/>
    <n v="0"/>
    <n v="0"/>
    <x v="22"/>
    <x v="0"/>
    <s v="Average"/>
    <n v="0"/>
  </r>
  <r>
    <x v="715"/>
    <x v="653"/>
    <n v="324"/>
    <x v="0"/>
    <s v="01-01-1971"/>
    <s v="Ardent Media"/>
    <x v="0"/>
    <n v="0"/>
    <n v="0"/>
    <x v="41"/>
    <x v="0"/>
    <s v="Average"/>
    <n v="0"/>
  </r>
  <r>
    <x v="713"/>
    <x v="654"/>
    <n v="145"/>
    <x v="8"/>
    <s v="01-01-2001"/>
    <s v="Liverpool University Press"/>
    <x v="0"/>
    <n v="0"/>
    <n v="0"/>
    <x v="32"/>
    <x v="0"/>
    <s v="Average"/>
    <n v="0"/>
  </r>
  <r>
    <x v="716"/>
    <x v="655"/>
    <n v="294"/>
    <x v="8"/>
    <s v="12-06-2023"/>
    <s v="John Wiley &amp; Sons"/>
    <x v="0"/>
    <n v="0"/>
    <n v="0"/>
    <x v="26"/>
    <x v="0"/>
    <s v="Average"/>
    <n v="0"/>
  </r>
  <r>
    <x v="717"/>
    <x v="656"/>
    <n v="219"/>
    <x v="8"/>
    <s v="31-10-2023"/>
    <s v="Simon and Schuster"/>
    <x v="0"/>
    <n v="0"/>
    <n v="0"/>
    <x v="26"/>
    <x v="0"/>
    <s v="Average"/>
    <n v="0"/>
  </r>
  <r>
    <x v="718"/>
    <x v="652"/>
    <n v="454"/>
    <x v="1"/>
    <s v="01-01-2009"/>
    <s v="Cosimo, Inc."/>
    <x v="0"/>
    <n v="0"/>
    <n v="0"/>
    <x v="29"/>
    <x v="0"/>
    <s v="Average"/>
    <n v="0"/>
  </r>
  <r>
    <x v="719"/>
    <x v="657"/>
    <n v="502"/>
    <x v="2"/>
    <s v="16-11-2023"/>
    <s v="BoD – Books on Demand"/>
    <x v="0"/>
    <n v="0"/>
    <n v="0"/>
    <x v="26"/>
    <x v="0"/>
    <s v="Average"/>
    <n v="0"/>
  </r>
  <r>
    <x v="720"/>
    <x v="658"/>
    <n v="208"/>
    <x v="8"/>
    <s v="01-01-1887"/>
    <s v="London [Eng.] : W. Scott"/>
    <x v="0"/>
    <n v="0"/>
    <n v="0"/>
    <x v="54"/>
    <x v="0"/>
    <s v="Average"/>
    <n v="0"/>
  </r>
  <r>
    <x v="721"/>
    <x v="659"/>
    <n v="340"/>
    <x v="49"/>
    <s v="01-01-2004"/>
    <s v="Manchester University Press"/>
    <x v="0"/>
    <n v="4"/>
    <n v="2"/>
    <x v="22"/>
    <x v="2"/>
    <s v="Average"/>
    <n v="8"/>
  </r>
  <r>
    <x v="722"/>
    <x v="660"/>
    <n v="658"/>
    <x v="8"/>
    <s v="01-01-1991"/>
    <s v="Oxford University Press"/>
    <x v="0"/>
    <n v="0"/>
    <n v="0"/>
    <x v="55"/>
    <x v="0"/>
    <s v="Average"/>
    <n v="0"/>
  </r>
  <r>
    <x v="723"/>
    <x v="661"/>
    <n v="512"/>
    <x v="8"/>
    <s v="29-10-1998"/>
    <s v="Oxford University Press"/>
    <x v="0"/>
    <n v="0"/>
    <n v="0"/>
    <x v="47"/>
    <x v="0"/>
    <s v="Average"/>
    <n v="0"/>
  </r>
  <r>
    <x v="724"/>
    <x v="662"/>
    <n v="308"/>
    <x v="49"/>
    <s v="01-01-1994"/>
    <s v="Manchester University Press"/>
    <x v="0"/>
    <n v="3"/>
    <n v="1"/>
    <x v="30"/>
    <x v="1"/>
    <s v="Average"/>
    <n v="3"/>
  </r>
  <r>
    <x v="725"/>
    <x v="663"/>
    <n v="206"/>
    <x v="0"/>
    <s v="01-01-2007"/>
    <s v="University of Delaware Press"/>
    <x v="0"/>
    <n v="0"/>
    <n v="0"/>
    <x v="15"/>
    <x v="0"/>
    <s v="Average"/>
    <n v="0"/>
  </r>
  <r>
    <x v="726"/>
    <x v="664"/>
    <n v="312"/>
    <x v="0"/>
    <s v="01-01-2013"/>
    <s v="Ashgate Publishing, Ltd."/>
    <x v="0"/>
    <n v="0"/>
    <n v="0"/>
    <x v="28"/>
    <x v="0"/>
    <s v="Average"/>
    <n v="0"/>
  </r>
  <r>
    <x v="723"/>
    <x v="665"/>
    <n v="297"/>
    <x v="0"/>
    <s v="13-11-2022"/>
    <s v="DigiCat"/>
    <x v="0"/>
    <n v="0"/>
    <n v="0"/>
    <x v="13"/>
    <x v="0"/>
    <s v="Average"/>
    <n v="0"/>
  </r>
  <r>
    <x v="727"/>
    <x v="666"/>
    <n v="234"/>
    <x v="61"/>
    <s v="01-01-2000"/>
    <s v="Psychology Press"/>
    <x v="0"/>
    <n v="0"/>
    <n v="0"/>
    <x v="23"/>
    <x v="0"/>
    <s v="Average"/>
    <n v="0"/>
  </r>
  <r>
    <x v="728"/>
    <x v="667"/>
    <n v="381"/>
    <x v="49"/>
    <s v="25-03-2010"/>
    <s v="Cambridge University Press"/>
    <x v="0"/>
    <n v="0"/>
    <n v="0"/>
    <x v="1"/>
    <x v="0"/>
    <s v="Average"/>
    <n v="0"/>
  </r>
  <r>
    <x v="729"/>
    <x v="668"/>
    <n v="348"/>
    <x v="49"/>
    <s v="01-01-2003"/>
    <s v="Psychology Press"/>
    <x v="0"/>
    <n v="0"/>
    <n v="0"/>
    <x v="10"/>
    <x v="0"/>
    <s v="Average"/>
    <n v="0"/>
  </r>
  <r>
    <x v="730"/>
    <x v="669"/>
    <n v="198"/>
    <x v="8"/>
    <s v="28-07-1988"/>
    <s v="Cambridge University Press"/>
    <x v="0"/>
    <n v="4.5"/>
    <n v="2"/>
    <x v="11"/>
    <x v="2"/>
    <s v="Average"/>
    <n v="9"/>
  </r>
  <r>
    <x v="731"/>
    <x v="670"/>
    <n v="281"/>
    <x v="49"/>
    <s v="28-04-2011"/>
    <s v="Cambridge University Press"/>
    <x v="0"/>
    <n v="0"/>
    <n v="0"/>
    <x v="27"/>
    <x v="0"/>
    <s v="Average"/>
    <n v="0"/>
  </r>
  <r>
    <x v="732"/>
    <x v="671"/>
    <n v="452"/>
    <x v="62"/>
    <s v="01-01-1998"/>
    <s v="Atlantic Publishers &amp; Dist"/>
    <x v="0"/>
    <n v="5"/>
    <n v="1"/>
    <x v="47"/>
    <x v="2"/>
    <s v="Average"/>
    <n v="5"/>
  </r>
  <r>
    <x v="733"/>
    <x v="672"/>
    <n v="346"/>
    <x v="3"/>
    <s v="25-11-2004"/>
    <s v="Cambridge University Press"/>
    <x v="0"/>
    <n v="0"/>
    <n v="0"/>
    <x v="22"/>
    <x v="0"/>
    <s v="Average"/>
    <n v="0"/>
  </r>
  <r>
    <x v="734"/>
    <x v="673"/>
    <n v="344"/>
    <x v="49"/>
    <s v="01-01-2003"/>
    <s v="University of Delaware Press"/>
    <x v="0"/>
    <n v="0"/>
    <n v="0"/>
    <x v="10"/>
    <x v="0"/>
    <s v="Average"/>
    <n v="0"/>
  </r>
  <r>
    <x v="735"/>
    <x v="674"/>
    <n v="386"/>
    <x v="0"/>
    <s v="28-04-2013"/>
    <s v="Ashgate Publishing, Ltd."/>
    <x v="0"/>
    <n v="0"/>
    <n v="0"/>
    <x v="28"/>
    <x v="0"/>
    <s v="Average"/>
    <n v="0"/>
  </r>
  <r>
    <x v="736"/>
    <x v="675"/>
    <n v="408"/>
    <x v="49"/>
    <s v="01-06-1996"/>
    <s v="University of Chicago Press"/>
    <x v="0"/>
    <n v="0"/>
    <n v="0"/>
    <x v="0"/>
    <x v="0"/>
    <s v="Average"/>
    <n v="0"/>
  </r>
  <r>
    <x v="737"/>
    <x v="676"/>
    <n v="46"/>
    <x v="49"/>
    <s v="01-01-2020"/>
    <s v="Stage Partners"/>
    <x v="0"/>
    <n v="0"/>
    <n v="0"/>
    <x v="17"/>
    <x v="0"/>
    <s v="Average"/>
    <n v="0"/>
  </r>
  <r>
    <x v="738"/>
    <x v="677"/>
    <n v="214"/>
    <x v="49"/>
    <s v="01-01-2010"/>
    <s v="Peter Lang"/>
    <x v="0"/>
    <n v="0"/>
    <n v="0"/>
    <x v="1"/>
    <x v="0"/>
    <s v="Average"/>
    <n v="0"/>
  </r>
  <r>
    <x v="739"/>
    <x v="678"/>
    <n v="220"/>
    <x v="49"/>
    <s v="12-10-1989"/>
    <s v="Cambridge University Press"/>
    <x v="0"/>
    <n v="5"/>
    <n v="1"/>
    <x v="43"/>
    <x v="2"/>
    <s v="Average"/>
    <n v="5"/>
  </r>
  <r>
    <x v="740"/>
    <x v="679"/>
    <n v="283"/>
    <x v="2"/>
    <s v="06-11-2012"/>
    <s v="Houghton Mifflin Harcourt"/>
    <x v="0"/>
    <n v="0"/>
    <n v="0"/>
    <x v="9"/>
    <x v="0"/>
    <s v="Average"/>
    <n v="0"/>
  </r>
  <r>
    <x v="741"/>
    <x v="680"/>
    <n v="110"/>
    <x v="30"/>
    <s v="06-11-2012"/>
    <s v="Houghton Mifflin Harcourt"/>
    <x v="0"/>
    <n v="0"/>
    <n v="0"/>
    <x v="9"/>
    <x v="0"/>
    <s v="Average"/>
    <n v="0"/>
  </r>
  <r>
    <x v="742"/>
    <x v="681"/>
    <n v="65"/>
    <x v="20"/>
    <s v="06-11-2012"/>
    <s v="Houghton Mifflin Harcourt"/>
    <x v="0"/>
    <n v="0"/>
    <n v="0"/>
    <x v="9"/>
    <x v="0"/>
    <s v="Average"/>
    <n v="0"/>
  </r>
  <r>
    <x v="743"/>
    <x v="682"/>
    <n v="245"/>
    <x v="0"/>
    <s v="27-10-2014"/>
    <s v="McFarland"/>
    <x v="0"/>
    <n v="0"/>
    <n v="0"/>
    <x v="8"/>
    <x v="0"/>
    <s v="Average"/>
    <n v="0"/>
  </r>
  <r>
    <x v="744"/>
    <x v="681"/>
    <n v="43"/>
    <x v="20"/>
    <s v="01-01-2012"/>
    <s v="Houghton Mifflin Harcourt"/>
    <x v="0"/>
    <n v="0"/>
    <n v="0"/>
    <x v="9"/>
    <x v="0"/>
    <s v="Average"/>
    <n v="0"/>
  </r>
  <r>
    <x v="745"/>
    <x v="683"/>
    <n v="334"/>
    <x v="0"/>
    <s v="03-09-2024"/>
    <s v="Frances Lincoln"/>
    <x v="0"/>
    <n v="0"/>
    <n v="0"/>
    <x v="16"/>
    <x v="0"/>
    <s v="Average"/>
    <n v="0"/>
  </r>
  <r>
    <x v="746"/>
    <x v="684"/>
    <n v="196"/>
    <x v="0"/>
    <s v="01-01-2012"/>
    <s v="Abingdon Press"/>
    <x v="0"/>
    <n v="0"/>
    <n v="0"/>
    <x v="9"/>
    <x v="0"/>
    <s v="Average"/>
    <n v="0"/>
  </r>
  <r>
    <x v="744"/>
    <x v="505"/>
    <n v="241"/>
    <x v="20"/>
    <s v="22-11-2023"/>
    <s v="CHANGDER OUTLINE"/>
    <x v="0"/>
    <n v="0"/>
    <n v="0"/>
    <x v="26"/>
    <x v="0"/>
    <s v="Average"/>
    <n v="0"/>
  </r>
  <r>
    <x v="744"/>
    <x v="529"/>
    <n v="356"/>
    <x v="36"/>
    <s v="27-10-2017"/>
    <s v="Gramedia Pustaka Utama"/>
    <x v="2"/>
    <n v="0"/>
    <n v="0"/>
    <x v="3"/>
    <x v="0"/>
    <s v="Average"/>
    <n v="0"/>
  </r>
  <r>
    <x v="747"/>
    <x v="685"/>
    <n v="228"/>
    <x v="15"/>
    <s v="03-06-2016"/>
    <s v="Routledge"/>
    <x v="0"/>
    <n v="0"/>
    <n v="0"/>
    <x v="18"/>
    <x v="0"/>
    <s v="Average"/>
    <n v="0"/>
  </r>
  <r>
    <x v="748"/>
    <x v="686"/>
    <n v="116"/>
    <x v="0"/>
    <s v="19-09-2022"/>
    <s v="Springer Nature"/>
    <x v="0"/>
    <n v="0"/>
    <n v="0"/>
    <x v="13"/>
    <x v="0"/>
    <s v="Average"/>
    <n v="0"/>
  </r>
  <r>
    <x v="749"/>
    <x v="687"/>
    <n v="202"/>
    <x v="3"/>
    <s v="04-11-2014"/>
    <s v="Turner Publishing Company"/>
    <x v="0"/>
    <n v="0"/>
    <n v="0"/>
    <x v="8"/>
    <x v="0"/>
    <s v="Average"/>
    <n v="0"/>
  </r>
  <r>
    <x v="750"/>
    <x v="527"/>
    <n v="278"/>
    <x v="7"/>
    <s v="18-09-2012"/>
    <s v="John Wiley &amp; Sons"/>
    <x v="0"/>
    <n v="0"/>
    <n v="0"/>
    <x v="9"/>
    <x v="0"/>
    <s v="Average"/>
    <n v="0"/>
  </r>
  <r>
    <x v="751"/>
    <x v="688"/>
    <n v="50"/>
    <x v="11"/>
    <s v="01-01-1992"/>
    <s v="Teacher Created Resources"/>
    <x v="0"/>
    <n v="0"/>
    <n v="0"/>
    <x v="48"/>
    <x v="0"/>
    <s v="Average"/>
    <n v="0"/>
  </r>
  <r>
    <x v="752"/>
    <x v="689"/>
    <n v="49"/>
    <x v="0"/>
    <s v="20-08-2007"/>
    <s v="Houghton Mifflin Harcourt"/>
    <x v="0"/>
    <n v="0"/>
    <n v="0"/>
    <x v="15"/>
    <x v="0"/>
    <s v="Average"/>
    <n v="0"/>
  </r>
  <r>
    <x v="753"/>
    <x v="690"/>
    <n v="333"/>
    <x v="2"/>
    <s v="01-01-2012"/>
    <s v="Houghton Mifflin Harcourt"/>
    <x v="0"/>
    <n v="4"/>
    <n v="1"/>
    <x v="9"/>
    <x v="2"/>
    <s v="Average"/>
    <n v="4"/>
  </r>
  <r>
    <x v="754"/>
    <x v="691"/>
    <n v="234"/>
    <x v="12"/>
    <s v="12-08-2014"/>
    <s v="Ignatius Press"/>
    <x v="0"/>
    <n v="0"/>
    <n v="0"/>
    <x v="8"/>
    <x v="0"/>
    <s v="Average"/>
    <n v="0"/>
  </r>
  <r>
    <x v="755"/>
    <x v="692"/>
    <n v="248"/>
    <x v="5"/>
    <s v="11-12-2007"/>
    <s v="BenBella Books, Inc."/>
    <x v="0"/>
    <n v="0"/>
    <n v="0"/>
    <x v="15"/>
    <x v="0"/>
    <s v="Average"/>
    <n v="0"/>
  </r>
  <r>
    <x v="756"/>
    <x v="693"/>
    <n v="270"/>
    <x v="15"/>
    <s v="03-04-2013"/>
    <s v="John Wiley &amp; Sons"/>
    <x v="0"/>
    <n v="0"/>
    <n v="0"/>
    <x v="28"/>
    <x v="0"/>
    <s v="Average"/>
    <n v="0"/>
  </r>
  <r>
    <x v="757"/>
    <x v="694"/>
    <n v="391"/>
    <x v="15"/>
    <s v="14-09-2007"/>
    <s v="Springer Science &amp; Business Media"/>
    <x v="0"/>
    <n v="0"/>
    <n v="0"/>
    <x v="15"/>
    <x v="0"/>
    <s v="Average"/>
    <n v="0"/>
  </r>
  <r>
    <x v="758"/>
    <x v="695"/>
    <n v="35"/>
    <x v="20"/>
    <s v="01-08-2023"/>
    <s v="ABDO"/>
    <x v="0"/>
    <n v="0"/>
    <n v="0"/>
    <x v="26"/>
    <x v="0"/>
    <s v="Average"/>
    <n v="0"/>
  </r>
  <r>
    <x v="759"/>
    <x v="696"/>
    <n v="196"/>
    <x v="38"/>
    <s v="01-01-2005"/>
    <s v="University of Michigan Press"/>
    <x v="0"/>
    <n v="0"/>
    <n v="0"/>
    <x v="25"/>
    <x v="0"/>
    <s v="Average"/>
    <n v="0"/>
  </r>
  <r>
    <x v="760"/>
    <x v="697"/>
    <n v="322"/>
    <x v="15"/>
    <s v="08-06-2012"/>
    <s v="Courier Corporation"/>
    <x v="0"/>
    <n v="0"/>
    <n v="0"/>
    <x v="9"/>
    <x v="0"/>
    <s v="Average"/>
    <n v="0"/>
  </r>
  <r>
    <x v="761"/>
    <x v="698"/>
    <n v="316"/>
    <x v="15"/>
    <s v="18-09-2012"/>
    <s v="Springer Science &amp; Business Media"/>
    <x v="0"/>
    <n v="0"/>
    <n v="0"/>
    <x v="9"/>
    <x v="0"/>
    <s v="Average"/>
    <n v="0"/>
  </r>
  <r>
    <x v="762"/>
    <x v="699"/>
    <n v="311"/>
    <x v="15"/>
    <s v="22-04-2014"/>
    <s v="Springer Science &amp; Business Media"/>
    <x v="0"/>
    <n v="0"/>
    <n v="0"/>
    <x v="8"/>
    <x v="0"/>
    <s v="Average"/>
    <n v="0"/>
  </r>
  <r>
    <x v="763"/>
    <x v="700"/>
    <n v="583"/>
    <x v="2"/>
    <s v="01-10-2009"/>
    <s v="Simon and Schuster"/>
    <x v="0"/>
    <n v="0"/>
    <n v="0"/>
    <x v="29"/>
    <x v="0"/>
    <s v="Average"/>
    <n v="0"/>
  </r>
  <r>
    <x v="764"/>
    <x v="701"/>
    <n v="177"/>
    <x v="2"/>
    <s v="18-04-2017"/>
    <s v="Lulu.com"/>
    <x v="0"/>
    <n v="0"/>
    <n v="0"/>
    <x v="3"/>
    <x v="0"/>
    <s v="Average"/>
    <n v="0"/>
  </r>
  <r>
    <x v="765"/>
    <x v="702"/>
    <n v="268"/>
    <x v="8"/>
    <s v="01-01-2004"/>
    <s v="Wakefield Press"/>
    <x v="0"/>
    <n v="0"/>
    <n v="0"/>
    <x v="22"/>
    <x v="0"/>
    <s v="Average"/>
    <n v="0"/>
  </r>
  <r>
    <x v="766"/>
    <x v="703"/>
    <n v="289"/>
    <x v="15"/>
    <s v="16-12-2021"/>
    <s v="Cambridge University Press"/>
    <x v="0"/>
    <n v="0"/>
    <n v="0"/>
    <x v="12"/>
    <x v="0"/>
    <s v="Average"/>
    <n v="0"/>
  </r>
  <r>
    <x v="767"/>
    <x v="704"/>
    <n v="349"/>
    <x v="15"/>
    <s v="23-03-2023"/>
    <s v="Cambridge University Press"/>
    <x v="0"/>
    <n v="0"/>
    <n v="0"/>
    <x v="26"/>
    <x v="0"/>
    <s v="Average"/>
    <n v="0"/>
  </r>
  <r>
    <x v="768"/>
    <x v="705"/>
    <n v="100"/>
    <x v="15"/>
    <s v="25-01-2025"/>
    <s v="Publifye AS"/>
    <x v="0"/>
    <n v="0"/>
    <n v="0"/>
    <x v="34"/>
    <x v="0"/>
    <s v="Average"/>
    <n v="0"/>
  </r>
  <r>
    <x v="769"/>
    <x v="706"/>
    <n v="280"/>
    <x v="38"/>
    <s v="05-03-2009"/>
    <s v="Oxford University Press"/>
    <x v="0"/>
    <n v="0"/>
    <n v="0"/>
    <x v="29"/>
    <x v="0"/>
    <s v="Average"/>
    <n v="0"/>
  </r>
  <r>
    <x v="757"/>
    <x v="705"/>
    <n v="171"/>
    <x v="15"/>
    <s v="12-02-2025"/>
    <s v="Publifye AS"/>
    <x v="0"/>
    <n v="0"/>
    <n v="0"/>
    <x v="34"/>
    <x v="0"/>
    <s v="Average"/>
    <n v="0"/>
  </r>
  <r>
    <x v="770"/>
    <x v="707"/>
    <n v="380"/>
    <x v="11"/>
    <s v="01-01-1997"/>
    <s v="Universidad de Sevilla"/>
    <x v="0"/>
    <n v="0"/>
    <n v="0"/>
    <x v="42"/>
    <x v="0"/>
    <s v="Average"/>
    <n v="0"/>
  </r>
  <r>
    <x v="771"/>
    <x v="708"/>
    <n v="445"/>
    <x v="15"/>
    <s v="10-03-2023"/>
    <s v="CRC Press"/>
    <x v="0"/>
    <n v="0"/>
    <n v="0"/>
    <x v="26"/>
    <x v="0"/>
    <s v="Average"/>
    <n v="0"/>
  </r>
  <r>
    <x v="772"/>
    <x v="709"/>
    <n v="342"/>
    <x v="15"/>
    <s v="20-05-2020"/>
    <s v="Springer Nature"/>
    <x v="0"/>
    <n v="0"/>
    <n v="0"/>
    <x v="17"/>
    <x v="0"/>
    <s v="Average"/>
    <n v="0"/>
  </r>
  <r>
    <x v="773"/>
    <x v="710"/>
    <n v="362"/>
    <x v="38"/>
    <s v="03-06-2004"/>
    <s v="Cambridge University Press"/>
    <x v="0"/>
    <n v="4"/>
    <n v="1"/>
    <x v="22"/>
    <x v="2"/>
    <s v="Average"/>
    <n v="4"/>
  </r>
  <r>
    <x v="774"/>
    <x v="711"/>
    <n v="356"/>
    <x v="38"/>
    <s v="30-09-1997"/>
    <s v="Springer Science &amp; Business Media"/>
    <x v="0"/>
    <n v="0"/>
    <n v="0"/>
    <x v="42"/>
    <x v="0"/>
    <s v="Average"/>
    <n v="0"/>
  </r>
  <r>
    <x v="775"/>
    <x v="712"/>
    <n v="345"/>
    <x v="34"/>
    <s v="30-01-2013"/>
    <s v="Springer Science &amp; Business Media"/>
    <x v="0"/>
    <n v="0"/>
    <n v="0"/>
    <x v="28"/>
    <x v="0"/>
    <s v="Average"/>
    <n v="0"/>
  </r>
  <r>
    <x v="776"/>
    <x v="713"/>
    <n v="206"/>
    <x v="32"/>
    <s v="01-01-1999"/>
    <s v="LIT Verlag Münster"/>
    <x v="0"/>
    <n v="0"/>
    <n v="0"/>
    <x v="36"/>
    <x v="0"/>
    <s v="Average"/>
    <n v="0"/>
  </r>
  <r>
    <x v="777"/>
    <x v="714"/>
    <n v="69"/>
    <x v="15"/>
    <s v="01-01-1982"/>
    <s v="Geological Society of America"/>
    <x v="0"/>
    <n v="0"/>
    <n v="0"/>
    <x v="49"/>
    <x v="0"/>
    <s v="Average"/>
    <n v="0"/>
  </r>
  <r>
    <x v="778"/>
    <x v="715"/>
    <n v="309"/>
    <x v="34"/>
    <s v="15-12-2023"/>
    <s v="CRC Press"/>
    <x v="0"/>
    <n v="0"/>
    <n v="0"/>
    <x v="26"/>
    <x v="0"/>
    <s v="Average"/>
    <n v="0"/>
  </r>
  <r>
    <x v="779"/>
    <x v="716"/>
    <n v="484"/>
    <x v="3"/>
    <s v="01-01-1989"/>
    <s v="Museum Tusculanum Press"/>
    <x v="0"/>
    <n v="0"/>
    <n v="0"/>
    <x v="43"/>
    <x v="0"/>
    <s v="Average"/>
    <n v="0"/>
  </r>
  <r>
    <x v="780"/>
    <x v="717"/>
    <n v="516"/>
    <x v="63"/>
    <s v="01-01-2009"/>
    <s v="Excel Books India"/>
    <x v="0"/>
    <n v="0"/>
    <n v="0"/>
    <x v="29"/>
    <x v="0"/>
    <s v="Average"/>
    <n v="0"/>
  </r>
  <r>
    <x v="781"/>
    <x v="718"/>
    <n v="786"/>
    <x v="25"/>
    <s v="01-01-2004"/>
    <s v="Heinemann"/>
    <x v="0"/>
    <n v="0"/>
    <n v="0"/>
    <x v="22"/>
    <x v="0"/>
    <s v="Average"/>
    <n v="0"/>
  </r>
  <r>
    <x v="782"/>
    <x v="719"/>
    <n v="856"/>
    <x v="40"/>
    <s v="01-01-2010"/>
    <s v="American Foundation for the Blind"/>
    <x v="0"/>
    <n v="0"/>
    <n v="0"/>
    <x v="1"/>
    <x v="0"/>
    <s v="Average"/>
    <n v="0"/>
  </r>
  <r>
    <x v="783"/>
    <x v="720"/>
    <n v="187"/>
    <x v="19"/>
    <s v="05-03-2009"/>
    <s v="Oxford University Press"/>
    <x v="0"/>
    <n v="0"/>
    <n v="0"/>
    <x v="29"/>
    <x v="0"/>
    <s v="Average"/>
    <n v="0"/>
  </r>
  <r>
    <x v="784"/>
    <x v="721"/>
    <n v="874"/>
    <x v="64"/>
    <s v="01-01-2000"/>
    <s v="American Foundation for the Blind"/>
    <x v="0"/>
    <n v="0"/>
    <n v="0"/>
    <x v="23"/>
    <x v="0"/>
    <s v="Average"/>
    <n v="0"/>
  </r>
  <r>
    <x v="785"/>
    <x v="722"/>
    <n v="702"/>
    <x v="34"/>
    <s v="26-11-2013"/>
    <s v="CRC Press"/>
    <x v="0"/>
    <n v="0"/>
    <n v="0"/>
    <x v="28"/>
    <x v="0"/>
    <s v="Average"/>
    <n v="0"/>
  </r>
  <r>
    <x v="786"/>
    <x v="723"/>
    <n v="344"/>
    <x v="34"/>
    <s v="03-03-2009"/>
    <s v="PHI Learning Pvt. Ltd."/>
    <x v="0"/>
    <n v="0"/>
    <n v="0"/>
    <x v="29"/>
    <x v="0"/>
    <s v="Average"/>
    <n v="0"/>
  </r>
  <r>
    <x v="787"/>
    <x v="724"/>
    <n v="658"/>
    <x v="34"/>
    <s v="30-12-2010"/>
    <s v="John Wiley &amp; Sons"/>
    <x v="0"/>
    <n v="0"/>
    <n v="0"/>
    <x v="1"/>
    <x v="0"/>
    <s v="Average"/>
    <n v="0"/>
  </r>
  <r>
    <x v="788"/>
    <x v="725"/>
    <n v="448"/>
    <x v="32"/>
    <s v="23-05-2023"/>
    <s v="Springer Nature"/>
    <x v="0"/>
    <n v="0"/>
    <n v="0"/>
    <x v="26"/>
    <x v="0"/>
    <s v="Average"/>
    <n v="0"/>
  </r>
  <r>
    <x v="789"/>
    <x v="726"/>
    <n v="336"/>
    <x v="25"/>
    <s v="28-02-2003"/>
    <s v="John Wiley &amp; Sons"/>
    <x v="0"/>
    <n v="0"/>
    <n v="0"/>
    <x v="10"/>
    <x v="0"/>
    <s v="Average"/>
    <n v="0"/>
  </r>
  <r>
    <x v="790"/>
    <x v="727"/>
    <n v="258"/>
    <x v="34"/>
    <s v="20-07-2010"/>
    <s v="CRC Press"/>
    <x v="0"/>
    <n v="0"/>
    <n v="0"/>
    <x v="1"/>
    <x v="0"/>
    <s v="Average"/>
    <n v="0"/>
  </r>
  <r>
    <x v="791"/>
    <x v="728"/>
    <n v="416"/>
    <x v="32"/>
    <s v="17-03-2020"/>
    <s v="Springer Nature"/>
    <x v="0"/>
    <n v="0"/>
    <n v="0"/>
    <x v="17"/>
    <x v="0"/>
    <s v="Average"/>
    <n v="0"/>
  </r>
  <r>
    <x v="792"/>
    <x v="729"/>
    <n v="935"/>
    <x v="34"/>
    <s v="06-12-2012"/>
    <s v="Springer Science &amp; Business Media"/>
    <x v="0"/>
    <n v="0"/>
    <n v="0"/>
    <x v="9"/>
    <x v="0"/>
    <s v="Average"/>
    <n v="0"/>
  </r>
  <r>
    <x v="793"/>
    <x v="730"/>
    <n v="521"/>
    <x v="17"/>
    <s v="31-07-2008"/>
    <s v="Jones &amp; Bartlett Publishers"/>
    <x v="0"/>
    <n v="0"/>
    <n v="0"/>
    <x v="5"/>
    <x v="0"/>
    <s v="Average"/>
    <n v="0"/>
  </r>
  <r>
    <x v="794"/>
    <x v="731"/>
    <n v="333"/>
    <x v="15"/>
    <s v="08-09-2015"/>
    <s v="Springer"/>
    <x v="0"/>
    <n v="0"/>
    <n v="0"/>
    <x v="14"/>
    <x v="0"/>
    <s v="Average"/>
    <n v="0"/>
  </r>
  <r>
    <x v="795"/>
    <x v="732"/>
    <n v="518"/>
    <x v="5"/>
    <s v="22-07-1999"/>
    <s v="Indiana University Press"/>
    <x v="0"/>
    <n v="0"/>
    <n v="0"/>
    <x v="36"/>
    <x v="0"/>
    <s v="Average"/>
    <n v="0"/>
  </r>
  <r>
    <x v="796"/>
    <x v="733"/>
    <n v="168"/>
    <x v="34"/>
    <s v="22-10-2013"/>
    <s v="Elsevier"/>
    <x v="0"/>
    <n v="0"/>
    <n v="0"/>
    <x v="28"/>
    <x v="0"/>
    <s v="Average"/>
    <n v="0"/>
  </r>
  <r>
    <x v="796"/>
    <x v="734"/>
    <n v="264"/>
    <x v="34"/>
    <s v="01-01-2000"/>
    <s v="Thomas Telford"/>
    <x v="0"/>
    <n v="3"/>
    <n v="1"/>
    <x v="23"/>
    <x v="1"/>
    <s v="Average"/>
    <n v="3"/>
  </r>
  <r>
    <x v="797"/>
    <x v="735"/>
    <n v="394"/>
    <x v="34"/>
    <s v="01-01-2002"/>
    <s v="CRC Press"/>
    <x v="0"/>
    <n v="0"/>
    <n v="0"/>
    <x v="6"/>
    <x v="0"/>
    <s v="Average"/>
    <n v="0"/>
  </r>
  <r>
    <x v="798"/>
    <x v="736"/>
    <n v="262"/>
    <x v="25"/>
    <s v="01-01-2001"/>
    <s v="Jones &amp; Bartlett Learning"/>
    <x v="0"/>
    <n v="0"/>
    <n v="0"/>
    <x v="32"/>
    <x v="0"/>
    <s v="Average"/>
    <n v="0"/>
  </r>
  <r>
    <x v="799"/>
    <x v="719"/>
    <n v="722"/>
    <x v="40"/>
    <s v="01-01-2010"/>
    <s v="American Foundation for the Blind"/>
    <x v="0"/>
    <n v="0"/>
    <n v="0"/>
    <x v="1"/>
    <x v="0"/>
    <s v="Average"/>
    <n v="0"/>
  </r>
  <r>
    <x v="800"/>
    <x v="737"/>
    <n v="613"/>
    <x v="12"/>
    <s v="01-03-2016"/>
    <s v="Emmaus Road Publishing"/>
    <x v="0"/>
    <n v="0"/>
    <n v="0"/>
    <x v="18"/>
    <x v="0"/>
    <s v="Average"/>
    <n v="0"/>
  </r>
  <r>
    <x v="801"/>
    <x v="738"/>
    <n v="256"/>
    <x v="34"/>
    <s v="16-01-1991"/>
    <s v="John Wiley &amp; Sons"/>
    <x v="0"/>
    <n v="0"/>
    <n v="0"/>
    <x v="55"/>
    <x v="0"/>
    <s v="Average"/>
    <n v="0"/>
  </r>
  <r>
    <x v="802"/>
    <x v="739"/>
    <n v="392"/>
    <x v="34"/>
    <s v="15-04-2008"/>
    <s v="John Wiley &amp; Sons"/>
    <x v="0"/>
    <n v="0"/>
    <n v="0"/>
    <x v="5"/>
    <x v="0"/>
    <s v="Average"/>
    <n v="0"/>
  </r>
  <r>
    <x v="803"/>
    <x v="740"/>
    <n v="488"/>
    <x v="11"/>
    <s v="01-01-2021"/>
    <s v="Thakur Publicatoin Private Limited"/>
    <x v="0"/>
    <n v="0"/>
    <n v="0"/>
    <x v="12"/>
    <x v="0"/>
    <s v="Average"/>
    <n v="0"/>
  </r>
  <r>
    <x v="804"/>
    <x v="741"/>
    <n v="132"/>
    <x v="11"/>
    <s v="01-01-2006"/>
    <s v="Atlantic Publishers &amp; Dist"/>
    <x v="0"/>
    <n v="0"/>
    <n v="0"/>
    <x v="24"/>
    <x v="0"/>
    <s v="Average"/>
    <n v="0"/>
  </r>
  <r>
    <x v="805"/>
    <x v="628"/>
    <n v="32"/>
    <x v="0"/>
    <s v="12-07-2016"/>
    <s v="Gale Cengage Learning"/>
    <x v="0"/>
    <n v="0"/>
    <n v="0"/>
    <x v="18"/>
    <x v="0"/>
    <s v="Average"/>
    <n v="0"/>
  </r>
  <r>
    <x v="806"/>
    <x v="742"/>
    <n v="124"/>
    <x v="25"/>
    <s v="01-01-2001"/>
    <s v="Amer. Assoc. for Clinical Chemistry"/>
    <x v="0"/>
    <n v="0"/>
    <n v="0"/>
    <x v="32"/>
    <x v="0"/>
    <s v="Average"/>
    <n v="0"/>
  </r>
  <r>
    <x v="807"/>
    <x v="743"/>
    <n v="322"/>
    <x v="32"/>
    <s v="30-08-2016"/>
    <s v="&quot;O'Reilly Media, Inc.&quot;"/>
    <x v="0"/>
    <n v="0"/>
    <n v="0"/>
    <x v="18"/>
    <x v="0"/>
    <s v="Average"/>
    <n v="0"/>
  </r>
  <r>
    <x v="808"/>
    <x v="744"/>
    <n v="462"/>
    <x v="11"/>
    <s v="30-09-2023"/>
    <s v="Springer Nature"/>
    <x v="0"/>
    <n v="0"/>
    <n v="0"/>
    <x v="26"/>
    <x v="0"/>
    <s v="Average"/>
    <n v="0"/>
  </r>
  <r>
    <x v="809"/>
    <x v="745"/>
    <n v="300"/>
    <x v="21"/>
    <s v="09-03-2011"/>
    <s v="SCB Distributors"/>
    <x v="0"/>
    <n v="0"/>
    <n v="0"/>
    <x v="27"/>
    <x v="0"/>
    <s v="Average"/>
    <n v="0"/>
  </r>
  <r>
    <x v="810"/>
    <x v="746"/>
    <n v="220"/>
    <x v="34"/>
    <s v="01-01-2006"/>
    <s v="Juta and Company Ltd"/>
    <x v="0"/>
    <n v="0"/>
    <n v="0"/>
    <x v="24"/>
    <x v="0"/>
    <s v="Average"/>
    <n v="0"/>
  </r>
  <r>
    <x v="811"/>
    <x v="747"/>
    <n v="132"/>
    <x v="25"/>
    <s v="01-01-2004"/>
    <s v="Amer. Assoc. for Clinical Chemistry"/>
    <x v="0"/>
    <n v="0"/>
    <n v="0"/>
    <x v="22"/>
    <x v="0"/>
    <s v="Average"/>
    <n v="0"/>
  </r>
  <r>
    <x v="812"/>
    <x v="748"/>
    <n v="130"/>
    <x v="47"/>
    <s v="24-01-2019"/>
    <s v="American Mathematical Soc."/>
    <x v="0"/>
    <n v="0"/>
    <n v="0"/>
    <x v="20"/>
    <x v="0"/>
    <s v="Average"/>
    <n v="0"/>
  </r>
  <r>
    <x v="813"/>
    <x v="749"/>
    <n v="131"/>
    <x v="15"/>
    <s v="15-11-2016"/>
    <s v="Research in Genomics"/>
    <x v="0"/>
    <n v="5"/>
    <n v="2"/>
    <x v="18"/>
    <x v="2"/>
    <s v="Average"/>
    <n v="10"/>
  </r>
  <r>
    <x v="814"/>
    <x v="746"/>
    <n v="244"/>
    <x v="65"/>
    <s v="01-01-2005"/>
    <s v="Juta and Company Ltd"/>
    <x v="0"/>
    <n v="4"/>
    <n v="1"/>
    <x v="25"/>
    <x v="2"/>
    <s v="Average"/>
    <n v="4"/>
  </r>
  <r>
    <x v="815"/>
    <x v="750"/>
    <n v="602"/>
    <x v="32"/>
    <s v="25-07-2007"/>
    <s v="CRC Press"/>
    <x v="0"/>
    <n v="0"/>
    <n v="0"/>
    <x v="15"/>
    <x v="0"/>
    <s v="Average"/>
    <n v="0"/>
  </r>
  <r>
    <x v="816"/>
    <x v="751"/>
    <n v="527"/>
    <x v="17"/>
    <s v="29-06-2010"/>
    <s v="Oxford University Press"/>
    <x v="0"/>
    <n v="0"/>
    <n v="0"/>
    <x v="1"/>
    <x v="0"/>
    <s v="Average"/>
    <n v="0"/>
  </r>
  <r>
    <x v="817"/>
    <x v="752"/>
    <n v="118"/>
    <x v="12"/>
    <s v="31-03-2019"/>
    <s v="Lulu.com"/>
    <x v="0"/>
    <n v="0"/>
    <n v="0"/>
    <x v="20"/>
    <x v="0"/>
    <s v="Average"/>
    <n v="0"/>
  </r>
  <r>
    <x v="818"/>
    <x v="753"/>
    <n v="23"/>
    <x v="12"/>
    <s v="21-11-2007"/>
    <s v="GRIN Verlag"/>
    <x v="0"/>
    <n v="0"/>
    <n v="0"/>
    <x v="15"/>
    <x v="0"/>
    <s v="Average"/>
    <n v="0"/>
  </r>
  <r>
    <x v="819"/>
    <x v="754"/>
    <n v="148"/>
    <x v="25"/>
    <s v="01-01-2002"/>
    <s v="Amer. Assoc. for Clinical Chemistry"/>
    <x v="0"/>
    <n v="0"/>
    <n v="0"/>
    <x v="6"/>
    <x v="0"/>
    <s v="Average"/>
    <n v="0"/>
  </r>
  <r>
    <x v="820"/>
    <x v="755"/>
    <n v="292"/>
    <x v="25"/>
    <s v="01-01-2007"/>
    <s v="ISA"/>
    <x v="0"/>
    <n v="0"/>
    <n v="0"/>
    <x v="15"/>
    <x v="0"/>
    <s v="Average"/>
    <n v="0"/>
  </r>
  <r>
    <x v="821"/>
    <x v="756"/>
    <n v="52"/>
    <x v="29"/>
    <s v="10-05-2012"/>
    <s v="ibooks"/>
    <x v="0"/>
    <n v="0"/>
    <n v="0"/>
    <x v="9"/>
    <x v="0"/>
    <s v="Average"/>
    <n v="0"/>
  </r>
  <r>
    <x v="822"/>
    <x v="757"/>
    <n v="323"/>
    <x v="0"/>
    <s v="17-05-2021"/>
    <s v="Kevin R. Smith"/>
    <x v="0"/>
    <n v="0"/>
    <n v="0"/>
    <x v="12"/>
    <x v="0"/>
    <s v="Average"/>
    <n v="0"/>
  </r>
  <r>
    <x v="823"/>
    <x v="758"/>
    <n v="786"/>
    <x v="32"/>
    <s v="01-01-2005"/>
    <s v="Addison-Wesley Professional"/>
    <x v="0"/>
    <n v="4.5"/>
    <n v="2"/>
    <x v="25"/>
    <x v="2"/>
    <s v="Average"/>
    <n v="9"/>
  </r>
  <r>
    <x v="824"/>
    <x v="759"/>
    <n v="351"/>
    <x v="32"/>
    <s v="26-07-2023"/>
    <s v="SERP Media"/>
    <x v="0"/>
    <n v="0"/>
    <n v="0"/>
    <x v="26"/>
    <x v="0"/>
    <s v="Average"/>
    <n v="0"/>
  </r>
  <r>
    <x v="825"/>
    <x v="760"/>
    <n v="20"/>
    <x v="46"/>
    <s v="11-02-2023"/>
    <s v="Milkyway Media"/>
    <x v="0"/>
    <n v="0"/>
    <n v="0"/>
    <x v="26"/>
    <x v="0"/>
    <s v="Average"/>
    <n v="0"/>
  </r>
  <r>
    <x v="826"/>
    <x v="761"/>
    <n v="494"/>
    <x v="2"/>
    <s v="18-09-2014"/>
    <s v="Font Forlag AS"/>
    <x v="9"/>
    <n v="0"/>
    <n v="0"/>
    <x v="8"/>
    <x v="0"/>
    <s v="Average"/>
    <n v="0"/>
  </r>
  <r>
    <x v="827"/>
    <x v="762"/>
    <n v="68"/>
    <x v="29"/>
    <s v="26-07-2017"/>
    <s v="Titan Comics"/>
    <x v="0"/>
    <n v="0"/>
    <n v="0"/>
    <x v="3"/>
    <x v="0"/>
    <s v="Average"/>
    <n v="0"/>
  </r>
  <r>
    <x v="828"/>
    <x v="763"/>
    <n v="154"/>
    <x v="29"/>
    <s v="13-11-2012"/>
    <s v="Vertigo"/>
    <x v="0"/>
    <n v="0"/>
    <n v="0"/>
    <x v="9"/>
    <x v="0"/>
    <s v="Average"/>
    <n v="0"/>
  </r>
  <r>
    <x v="829"/>
    <x v="764"/>
    <n v="205"/>
    <x v="7"/>
    <s v="20-09-2011"/>
    <s v="John Wiley &amp; Sons"/>
    <x v="0"/>
    <n v="5"/>
    <n v="1"/>
    <x v="27"/>
    <x v="2"/>
    <s v="Average"/>
    <n v="5"/>
  </r>
  <r>
    <x v="830"/>
    <x v="765"/>
    <n v="366"/>
    <x v="28"/>
    <s v="06-12-2011"/>
    <s v="BenBella Books, Inc."/>
    <x v="0"/>
    <n v="0"/>
    <n v="0"/>
    <x v="27"/>
    <x v="0"/>
    <s v="Average"/>
    <n v="0"/>
  </r>
  <r>
    <x v="831"/>
    <x v="766"/>
    <n v="137"/>
    <x v="12"/>
    <s v="02-04-2008"/>
    <s v="Lulu.com"/>
    <x v="0"/>
    <n v="0"/>
    <n v="0"/>
    <x v="5"/>
    <x v="0"/>
    <s v="Average"/>
    <n v="0"/>
  </r>
  <r>
    <x v="832"/>
    <x v="767"/>
    <n v="347"/>
    <x v="0"/>
    <s v="18-03-2010"/>
    <s v="Xlibris Corporation"/>
    <x v="0"/>
    <n v="5"/>
    <n v="1"/>
    <x v="1"/>
    <x v="2"/>
    <s v="Average"/>
    <n v="5"/>
  </r>
  <r>
    <x v="831"/>
    <x v="768"/>
    <n v="68"/>
    <x v="0"/>
    <s v="01-01-2006"/>
    <s v="Alpha International"/>
    <x v="0"/>
    <n v="4"/>
    <n v="1"/>
    <x v="24"/>
    <x v="2"/>
    <s v="Average"/>
    <n v="4"/>
  </r>
  <r>
    <x v="833"/>
    <x v="769"/>
    <n v="88"/>
    <x v="12"/>
    <s v="01-05-2006"/>
    <s v="Moody Publishers"/>
    <x v="0"/>
    <n v="0"/>
    <n v="0"/>
    <x v="24"/>
    <x v="0"/>
    <s v="Average"/>
    <n v="0"/>
  </r>
  <r>
    <x v="834"/>
    <x v="770"/>
    <n v="143"/>
    <x v="0"/>
    <s v="01-01-2006"/>
    <s v="Wm. B. Eerdmans Publishing"/>
    <x v="0"/>
    <n v="4"/>
    <n v="3"/>
    <x v="24"/>
    <x v="2"/>
    <s v="Average"/>
    <n v="12"/>
  </r>
  <r>
    <x v="835"/>
    <x v="771"/>
    <n v="135"/>
    <x v="12"/>
    <s v="19-04-2004"/>
    <s v="HarperChristian + ORM"/>
    <x v="0"/>
    <n v="0"/>
    <n v="0"/>
    <x v="22"/>
    <x v="0"/>
    <s v="Average"/>
    <n v="0"/>
  </r>
  <r>
    <x v="836"/>
    <x v="772"/>
    <n v="100"/>
    <x v="12"/>
    <s v="01-01-2004"/>
    <s v="Harvest House Publishers"/>
    <x v="0"/>
    <n v="0"/>
    <n v="0"/>
    <x v="22"/>
    <x v="0"/>
    <s v="Average"/>
    <n v="0"/>
  </r>
  <r>
    <x v="837"/>
    <x v="773"/>
    <n v="264"/>
    <x v="12"/>
    <s v="01-04-2006"/>
    <s v="Baker Books"/>
    <x v="0"/>
    <n v="0"/>
    <n v="0"/>
    <x v="24"/>
    <x v="0"/>
    <s v="Average"/>
    <n v="0"/>
  </r>
  <r>
    <x v="838"/>
    <x v="774"/>
    <n v="96"/>
    <x v="0"/>
    <s v="01-01-2006"/>
    <s v="Les Editions Fides"/>
    <x v="7"/>
    <n v="0"/>
    <n v="0"/>
    <x v="24"/>
    <x v="0"/>
    <s v="Average"/>
    <n v="0"/>
  </r>
  <r>
    <x v="839"/>
    <x v="775"/>
    <n v="116"/>
    <x v="0"/>
    <s v="01-12-2005"/>
    <s v="Zondervan"/>
    <x v="0"/>
    <n v="0"/>
    <n v="0"/>
    <x v="25"/>
    <x v="0"/>
    <s v="Average"/>
    <n v="0"/>
  </r>
  <r>
    <x v="840"/>
    <x v="776"/>
    <n v="178"/>
    <x v="8"/>
    <s v="01-01-2005"/>
    <s v="Andrews McMeel Publishing"/>
    <x v="0"/>
    <n v="3.5"/>
    <n v="7"/>
    <x v="25"/>
    <x v="1"/>
    <s v="Average"/>
    <n v="24.5"/>
  </r>
  <r>
    <x v="841"/>
    <x v="777"/>
    <n v="263"/>
    <x v="2"/>
    <s v="04-06-2015"/>
    <s v="Faber &amp; Faber"/>
    <x v="0"/>
    <n v="0"/>
    <n v="0"/>
    <x v="14"/>
    <x v="0"/>
    <s v="Average"/>
    <n v="0"/>
  </r>
  <r>
    <x v="841"/>
    <x v="778"/>
    <n v="351"/>
    <x v="2"/>
    <s v="01-07-2002"/>
    <s v="Bethany House"/>
    <x v="0"/>
    <n v="0"/>
    <n v="0"/>
    <x v="6"/>
    <x v="0"/>
    <s v="Average"/>
    <n v="0"/>
  </r>
  <r>
    <x v="842"/>
    <x v="779"/>
    <n v="245"/>
    <x v="0"/>
    <s v="10-01-2014"/>
    <s v="McFarland"/>
    <x v="0"/>
    <n v="4"/>
    <n v="3"/>
    <x v="8"/>
    <x v="2"/>
    <s v="Average"/>
    <n v="12"/>
  </r>
  <r>
    <x v="843"/>
    <x v="780"/>
    <n v="212"/>
    <x v="5"/>
    <s v="08-04-2025"/>
    <s v="Mango Media"/>
    <x v="0"/>
    <n v="0"/>
    <n v="0"/>
    <x v="34"/>
    <x v="0"/>
    <s v="Average"/>
    <n v="0"/>
  </r>
  <r>
    <x v="844"/>
    <x v="781"/>
    <n v="316"/>
    <x v="6"/>
    <s v="01-01-2010"/>
    <s v="Peter Lang"/>
    <x v="0"/>
    <n v="0"/>
    <n v="0"/>
    <x v="1"/>
    <x v="0"/>
    <s v="Average"/>
    <n v="0"/>
  </r>
  <r>
    <x v="845"/>
    <x v="782"/>
    <n v="255"/>
    <x v="0"/>
    <s v="10-01-2014"/>
    <s v="McFarland"/>
    <x v="0"/>
    <n v="0"/>
    <n v="0"/>
    <x v="8"/>
    <x v="0"/>
    <s v="Average"/>
    <n v="0"/>
  </r>
  <r>
    <x v="841"/>
    <x v="783"/>
    <n v="206"/>
    <x v="2"/>
    <s v="04-08-2020"/>
    <s v="BoD – Books on Demand"/>
    <x v="0"/>
    <n v="0"/>
    <n v="0"/>
    <x v="17"/>
    <x v="0"/>
    <s v="Average"/>
    <n v="0"/>
  </r>
  <r>
    <x v="846"/>
    <x v="784"/>
    <n v="252"/>
    <x v="0"/>
    <s v="28-05-2013"/>
    <s v="Ashgate Publishing, Ltd."/>
    <x v="0"/>
    <n v="0"/>
    <n v="0"/>
    <x v="28"/>
    <x v="0"/>
    <s v="Average"/>
    <n v="0"/>
  </r>
  <r>
    <x v="847"/>
    <x v="785"/>
    <n v="60"/>
    <x v="49"/>
    <s v="01-01-2006"/>
    <s v="Dramatic Publishing"/>
    <x v="0"/>
    <n v="0"/>
    <n v="0"/>
    <x v="24"/>
    <x v="0"/>
    <s v="Average"/>
    <n v="0"/>
  </r>
  <r>
    <x v="841"/>
    <x v="786"/>
    <n v="324"/>
    <x v="2"/>
    <s v="15-06-2010"/>
    <s v="Simon and Schuster"/>
    <x v="0"/>
    <n v="0"/>
    <n v="0"/>
    <x v="1"/>
    <x v="0"/>
    <s v="Average"/>
    <n v="0"/>
  </r>
  <r>
    <x v="848"/>
    <x v="787"/>
    <n v="112"/>
    <x v="9"/>
    <s v="09-02-2021"/>
    <s v="Aladdin"/>
    <x v="0"/>
    <n v="0"/>
    <n v="0"/>
    <x v="12"/>
    <x v="0"/>
    <s v="Average"/>
    <n v="0"/>
  </r>
  <r>
    <x v="841"/>
    <x v="788"/>
    <n v="224"/>
    <x v="2"/>
    <s v="12-02-2013"/>
    <s v="Simon and Schuster"/>
    <x v="0"/>
    <n v="0"/>
    <n v="0"/>
    <x v="28"/>
    <x v="0"/>
    <s v="Average"/>
    <n v="0"/>
  </r>
  <r>
    <x v="849"/>
    <x v="789"/>
    <n v="388"/>
    <x v="2"/>
    <s v="13-03-2013"/>
    <s v="Xlibris Corporation"/>
    <x v="0"/>
    <n v="0"/>
    <n v="0"/>
    <x v="28"/>
    <x v="0"/>
    <s v="Average"/>
    <n v="0"/>
  </r>
  <r>
    <x v="850"/>
    <x v="790"/>
    <n v="459"/>
    <x v="5"/>
    <s v="06-06-2011"/>
    <s v="Springer"/>
    <x v="0"/>
    <n v="0"/>
    <n v="0"/>
    <x v="27"/>
    <x v="0"/>
    <s v="Average"/>
    <n v="0"/>
  </r>
  <r>
    <x v="851"/>
    <x v="791"/>
    <n v="958"/>
    <x v="45"/>
    <s v="15-10-2011"/>
    <s v="Hyweb Technology Co. Ltd."/>
    <x v="0"/>
    <n v="0"/>
    <n v="0"/>
    <x v="27"/>
    <x v="0"/>
    <s v="Average"/>
    <n v="0"/>
  </r>
  <r>
    <x v="852"/>
    <x v="792"/>
    <n v="104"/>
    <x v="29"/>
    <s v="07-12-2010"/>
    <s v="Bluewater Productions"/>
    <x v="0"/>
    <n v="0"/>
    <n v="0"/>
    <x v="1"/>
    <x v="0"/>
    <s v="Average"/>
    <n v="0"/>
  </r>
  <r>
    <x v="841"/>
    <x v="793"/>
    <n v="162"/>
    <x v="23"/>
    <s v="01-05-2009"/>
    <s v="AuthorHouse"/>
    <x v="0"/>
    <n v="0"/>
    <n v="0"/>
    <x v="29"/>
    <x v="0"/>
    <s v="Average"/>
    <n v="0"/>
  </r>
  <r>
    <x v="853"/>
    <x v="794"/>
    <n v="121"/>
    <x v="31"/>
    <s v="21-04-2022"/>
    <s v="Riverdale Avenue Books LLC"/>
    <x v="0"/>
    <n v="0"/>
    <n v="0"/>
    <x v="13"/>
    <x v="0"/>
    <s v="Average"/>
    <n v="0"/>
  </r>
  <r>
    <x v="854"/>
    <x v="795"/>
    <n v="269"/>
    <x v="5"/>
    <s v="17-03-2016"/>
    <s v="Svenska Historiska Media Förlag "/>
    <x v="0"/>
    <n v="0"/>
    <n v="0"/>
    <x v="18"/>
    <x v="0"/>
    <s v="Average"/>
    <n v="0"/>
  </r>
  <r>
    <x v="855"/>
    <x v="796"/>
    <n v="229"/>
    <x v="28"/>
    <s v="26-10-2012"/>
    <s v="John Hunt Publishing"/>
    <x v="0"/>
    <n v="0"/>
    <n v="0"/>
    <x v="9"/>
    <x v="0"/>
    <s v="Average"/>
    <n v="0"/>
  </r>
  <r>
    <x v="856"/>
    <x v="797"/>
    <n v="274"/>
    <x v="28"/>
    <s v="04-10-2011"/>
    <s v="BenBella Books"/>
    <x v="0"/>
    <n v="0"/>
    <n v="0"/>
    <x v="27"/>
    <x v="0"/>
    <s v="Average"/>
    <n v="0"/>
  </r>
  <r>
    <x v="841"/>
    <x v="798"/>
    <n v="362"/>
    <x v="15"/>
    <s v="11-12-2013"/>
    <s v="Springer"/>
    <x v="0"/>
    <n v="0"/>
    <n v="0"/>
    <x v="28"/>
    <x v="0"/>
    <s v="Average"/>
    <n v="0"/>
  </r>
  <r>
    <x v="857"/>
    <x v="487"/>
    <n v="334"/>
    <x v="9"/>
    <s v="03-01-2019"/>
    <s v="Scholastic UK"/>
    <x v="0"/>
    <n v="0"/>
    <n v="0"/>
    <x v="20"/>
    <x v="0"/>
    <s v="Average"/>
    <n v="0"/>
  </r>
  <r>
    <x v="858"/>
    <x v="487"/>
    <n v="304"/>
    <x v="9"/>
    <s v="01-03-2012"/>
    <s v="Scholastic UK"/>
    <x v="0"/>
    <n v="4"/>
    <n v="1"/>
    <x v="9"/>
    <x v="2"/>
    <s v="Average"/>
    <n v="4"/>
  </r>
  <r>
    <x v="859"/>
    <x v="487"/>
    <n v="787"/>
    <x v="9"/>
    <s v="03-10-2013"/>
    <s v="Scholastic UK"/>
    <x v="0"/>
    <n v="4.5"/>
    <n v="2"/>
    <x v="28"/>
    <x v="2"/>
    <s v="Average"/>
    <n v="9"/>
  </r>
  <r>
    <x v="860"/>
    <x v="799"/>
    <n v="255"/>
    <x v="0"/>
    <s v="24-07-2012"/>
    <s v="McFarland"/>
    <x v="0"/>
    <n v="0"/>
    <n v="0"/>
    <x v="9"/>
    <x v="0"/>
    <s v="Average"/>
    <n v="0"/>
  </r>
  <r>
    <x v="861"/>
    <x v="800"/>
    <n v="249"/>
    <x v="20"/>
    <s v="29-06-2015"/>
    <s v="Plexus Publishing"/>
    <x v="0"/>
    <n v="0"/>
    <n v="0"/>
    <x v="14"/>
    <x v="0"/>
    <s v="Average"/>
    <n v="0"/>
  </r>
  <r>
    <x v="862"/>
    <x v="801"/>
    <n v="23"/>
    <x v="29"/>
    <s v="10-12-2015"/>
    <s v="Bluewater Productions"/>
    <x v="0"/>
    <n v="0"/>
    <n v="0"/>
    <x v="14"/>
    <x v="0"/>
    <s v="Average"/>
    <n v="0"/>
  </r>
  <r>
    <x v="863"/>
    <x v="500"/>
    <n v="26"/>
    <x v="2"/>
    <s v="13-05-2014"/>
    <s v="Andrews UK Limited"/>
    <x v="0"/>
    <n v="0"/>
    <n v="0"/>
    <x v="8"/>
    <x v="0"/>
    <s v="Average"/>
    <n v="0"/>
  </r>
  <r>
    <x v="528"/>
    <x v="505"/>
    <n v="246"/>
    <x v="20"/>
    <s v="28-11-2023"/>
    <s v="CHANGDER OUTLINE"/>
    <x v="0"/>
    <n v="0"/>
    <n v="0"/>
    <x v="26"/>
    <x v="0"/>
    <s v="Average"/>
    <n v="0"/>
  </r>
  <r>
    <x v="864"/>
    <x v="802"/>
    <n v="186"/>
    <x v="20"/>
    <s v="24-03-2012"/>
    <s v="Scholastic UK"/>
    <x v="0"/>
    <n v="0"/>
    <n v="0"/>
    <x v="9"/>
    <x v="0"/>
    <s v="Average"/>
    <n v="0"/>
  </r>
  <r>
    <x v="865"/>
    <x v="803"/>
    <n v="196"/>
    <x v="16"/>
    <s v="21-08-2014"/>
    <s v="Greenhaven Publishing LLC"/>
    <x v="0"/>
    <n v="0"/>
    <n v="0"/>
    <x v="8"/>
    <x v="0"/>
    <s v="Average"/>
    <n v="0"/>
  </r>
  <r>
    <x v="866"/>
    <x v="804"/>
    <n v="203"/>
    <x v="0"/>
    <s v="12-07-2012"/>
    <s v="McFarland"/>
    <x v="0"/>
    <n v="0"/>
    <n v="0"/>
    <x v="9"/>
    <x v="0"/>
    <s v="Average"/>
    <n v="0"/>
  </r>
  <r>
    <x v="867"/>
    <x v="805"/>
    <n v="265"/>
    <x v="0"/>
    <s v="13-03-2014"/>
    <s v="McFarland"/>
    <x v="0"/>
    <n v="0"/>
    <n v="0"/>
    <x v="8"/>
    <x v="0"/>
    <s v="Average"/>
    <n v="0"/>
  </r>
  <r>
    <x v="868"/>
    <x v="487"/>
    <n v="340"/>
    <x v="2"/>
    <s v="01-01-2010"/>
    <s v="Fragment"/>
    <x v="10"/>
    <n v="0"/>
    <n v="0"/>
    <x v="1"/>
    <x v="0"/>
    <s v="Average"/>
    <n v="0"/>
  </r>
  <r>
    <x v="869"/>
    <x v="806"/>
    <n v="347"/>
    <x v="9"/>
    <s v="01-01-2019"/>
    <s v="Fragment"/>
    <x v="10"/>
    <n v="0"/>
    <n v="0"/>
    <x v="20"/>
    <x v="0"/>
    <s v="Average"/>
    <n v="0"/>
  </r>
  <r>
    <x v="870"/>
    <x v="807"/>
    <n v="240"/>
    <x v="8"/>
    <s v="02-07-2012"/>
    <s v="Kings Road Publishing"/>
    <x v="0"/>
    <n v="0"/>
    <n v="0"/>
    <x v="9"/>
    <x v="0"/>
    <s v="Average"/>
    <n v="0"/>
  </r>
  <r>
    <x v="871"/>
    <x v="808"/>
    <n v="74"/>
    <x v="11"/>
    <s v="01-07-2016"/>
    <s v="Teacher Created Materials"/>
    <x v="0"/>
    <n v="0"/>
    <n v="0"/>
    <x v="18"/>
    <x v="0"/>
    <s v="Average"/>
    <n v="0"/>
  </r>
  <r>
    <x v="872"/>
    <x v="809"/>
    <n v="201"/>
    <x v="0"/>
    <s v="08-06-2015"/>
    <s v="McFarland"/>
    <x v="0"/>
    <n v="0"/>
    <n v="0"/>
    <x v="14"/>
    <x v="0"/>
    <s v="Average"/>
    <n v="0"/>
  </r>
  <r>
    <x v="873"/>
    <x v="806"/>
    <n v="371"/>
    <x v="2"/>
    <s v="01-01-2020"/>
    <s v="Fragment"/>
    <x v="10"/>
    <n v="0"/>
    <n v="0"/>
    <x v="17"/>
    <x v="0"/>
    <s v="Average"/>
    <n v="0"/>
  </r>
  <r>
    <x v="874"/>
    <x v="810"/>
    <n v="95"/>
    <x v="7"/>
    <s v="15-12-2020"/>
    <s v="BRILL"/>
    <x v="0"/>
    <n v="0"/>
    <n v="0"/>
    <x v="17"/>
    <x v="0"/>
    <s v="Average"/>
    <n v="0"/>
  </r>
  <r>
    <x v="875"/>
    <x v="487"/>
    <n v="564"/>
    <x v="36"/>
    <s v="18-03-2025"/>
    <s v="Scholastic Inc."/>
    <x v="0"/>
    <n v="0"/>
    <n v="0"/>
    <x v="34"/>
    <x v="0"/>
    <s v="Average"/>
    <n v="0"/>
  </r>
  <r>
    <x v="876"/>
    <x v="811"/>
    <n v="418"/>
    <x v="47"/>
    <s v="01-01-2000"/>
    <s v="American Mathematical Soc."/>
    <x v="0"/>
    <n v="0"/>
    <n v="0"/>
    <x v="23"/>
    <x v="0"/>
    <s v="Average"/>
    <n v="0"/>
  </r>
  <r>
    <x v="877"/>
    <x v="812"/>
    <n v="162"/>
    <x v="10"/>
    <s v="20-02-2025"/>
    <s v="Publifye AS"/>
    <x v="0"/>
    <n v="0"/>
    <n v="0"/>
    <x v="34"/>
    <x v="0"/>
    <s v="Average"/>
    <n v="0"/>
  </r>
  <r>
    <x v="878"/>
    <x v="813"/>
    <n v="356"/>
    <x v="47"/>
    <s v="30-01-1960"/>
    <s v="American Mathematical Soc."/>
    <x v="0"/>
    <n v="0"/>
    <n v="0"/>
    <x v="56"/>
    <x v="0"/>
    <s v="Average"/>
    <n v="0"/>
  </r>
  <r>
    <x v="879"/>
    <x v="814"/>
    <n v="111"/>
    <x v="24"/>
    <s v="01-05-2023"/>
    <s v=" Independently published"/>
    <x v="0"/>
    <n v="0"/>
    <n v="0"/>
    <x v="26"/>
    <x v="0"/>
    <s v="Average"/>
    <n v="0"/>
  </r>
  <r>
    <x v="880"/>
    <x v="815"/>
    <n v="200"/>
    <x v="5"/>
    <s v="27-06-2011"/>
    <s v="National Academies Press"/>
    <x v="0"/>
    <n v="0"/>
    <n v="0"/>
    <x v="27"/>
    <x v="0"/>
    <s v="Average"/>
    <n v="0"/>
  </r>
  <r>
    <x v="881"/>
    <x v="816"/>
    <n v="152"/>
    <x v="19"/>
    <s v="30-05-2024"/>
    <s v="Cambridge University Press"/>
    <x v="0"/>
    <n v="0"/>
    <n v="0"/>
    <x v="16"/>
    <x v="0"/>
    <s v="Average"/>
    <n v="0"/>
  </r>
  <r>
    <x v="882"/>
    <x v="817"/>
    <n v="360"/>
    <x v="15"/>
    <s v="14-06-2021"/>
    <s v="Springer Nature"/>
    <x v="0"/>
    <n v="0"/>
    <n v="0"/>
    <x v="12"/>
    <x v="0"/>
    <s v="Average"/>
    <n v="0"/>
  </r>
  <r>
    <x v="883"/>
    <x v="818"/>
    <n v="476"/>
    <x v="5"/>
    <s v="27-03-2006"/>
    <s v="Cambridge University Press"/>
    <x v="0"/>
    <n v="0"/>
    <n v="0"/>
    <x v="24"/>
    <x v="0"/>
    <s v="Average"/>
    <n v="0"/>
  </r>
  <r>
    <x v="884"/>
    <x v="819"/>
    <n v="154"/>
    <x v="9"/>
    <s v="12-08-2016"/>
    <s v="Enrich Spot Limited"/>
    <x v="0"/>
    <n v="0"/>
    <n v="0"/>
    <x v="18"/>
    <x v="0"/>
    <s v="Average"/>
    <n v="0"/>
  </r>
  <r>
    <x v="885"/>
    <x v="820"/>
    <n v="143"/>
    <x v="2"/>
    <s v="08-12-2023"/>
    <s v="Strelbytskyy Multimedia Publishing"/>
    <x v="0"/>
    <n v="0"/>
    <n v="0"/>
    <x v="26"/>
    <x v="0"/>
    <s v="Average"/>
    <n v="0"/>
  </r>
  <r>
    <x v="886"/>
    <x v="820"/>
    <n v="121"/>
    <x v="18"/>
    <s v="08-12-2023"/>
    <s v="Strelbytskyy Multimedia Publishing"/>
    <x v="0"/>
    <n v="0"/>
    <n v="0"/>
    <x v="26"/>
    <x v="0"/>
    <s v="Average"/>
    <n v="0"/>
  </r>
  <r>
    <x v="887"/>
    <x v="820"/>
    <n v="802"/>
    <x v="2"/>
    <s v="22-12-2023"/>
    <s v="DigiCat"/>
    <x v="0"/>
    <n v="0"/>
    <n v="0"/>
    <x v="26"/>
    <x v="0"/>
    <s v="Average"/>
    <n v="0"/>
  </r>
  <r>
    <x v="888"/>
    <x v="820"/>
    <n v="388"/>
    <x v="2"/>
    <s v="12-03-2024"/>
    <s v="ببلومانيا للنشر والتوزيع"/>
    <x v="0"/>
    <n v="0"/>
    <n v="0"/>
    <x v="16"/>
    <x v="0"/>
    <s v="Average"/>
    <n v="0"/>
  </r>
  <r>
    <x v="889"/>
    <x v="821"/>
    <n v="197"/>
    <x v="0"/>
    <s v="21-11-2014"/>
    <s v="McFarland"/>
    <x v="0"/>
    <n v="0"/>
    <n v="0"/>
    <x v="8"/>
    <x v="0"/>
    <s v="Average"/>
    <n v="0"/>
  </r>
  <r>
    <x v="890"/>
    <x v="819"/>
    <n v="178"/>
    <x v="9"/>
    <s v="12-08-2016"/>
    <s v="Enrich Spot Limited"/>
    <x v="0"/>
    <n v="0"/>
    <n v="0"/>
    <x v="18"/>
    <x v="0"/>
    <s v="Average"/>
    <n v="0"/>
  </r>
  <r>
    <x v="891"/>
    <x v="819"/>
    <n v="170"/>
    <x v="9"/>
    <s v="12-08-2016"/>
    <s v="Enrich Spot Limited"/>
    <x v="0"/>
    <n v="4.5"/>
    <n v="2"/>
    <x v="18"/>
    <x v="2"/>
    <s v="Average"/>
    <n v="9"/>
  </r>
  <r>
    <x v="892"/>
    <x v="822"/>
    <n v="322"/>
    <x v="7"/>
    <s v="13-11-2013"/>
    <s v="Open Court"/>
    <x v="0"/>
    <n v="0"/>
    <n v="0"/>
    <x v="28"/>
    <x v="0"/>
    <s v="Average"/>
    <n v="0"/>
  </r>
  <r>
    <x v="893"/>
    <x v="819"/>
    <n v="186"/>
    <x v="9"/>
    <s v="12-08-2016"/>
    <s v="Enrich Spot Limited"/>
    <x v="0"/>
    <n v="0"/>
    <n v="0"/>
    <x v="18"/>
    <x v="0"/>
    <s v="Average"/>
    <n v="0"/>
  </r>
  <r>
    <x v="894"/>
    <x v="819"/>
    <n v="194"/>
    <x v="9"/>
    <s v="12-08-2016"/>
    <s v="Enrich Spot Limited"/>
    <x v="0"/>
    <n v="0"/>
    <n v="0"/>
    <x v="18"/>
    <x v="0"/>
    <s v="Average"/>
    <n v="0"/>
  </r>
  <r>
    <x v="895"/>
    <x v="819"/>
    <n v="202"/>
    <x v="9"/>
    <s v="12-08-2016"/>
    <s v="Enrich Spot Limited"/>
    <x v="0"/>
    <n v="0"/>
    <n v="0"/>
    <x v="18"/>
    <x v="0"/>
    <s v="Average"/>
    <n v="0"/>
  </r>
  <r>
    <x v="896"/>
    <x v="823"/>
    <n v="172"/>
    <x v="36"/>
    <s v="24-06-2022"/>
    <s v="Gramedia Pustaka Utama"/>
    <x v="2"/>
    <n v="0"/>
    <n v="0"/>
    <x v="13"/>
    <x v="0"/>
    <s v="Average"/>
    <n v="0"/>
  </r>
  <r>
    <x v="897"/>
    <x v="823"/>
    <n v="168"/>
    <x v="36"/>
    <s v="24-06-2022"/>
    <s v="Gramedia Pustaka Utama"/>
    <x v="2"/>
    <n v="0"/>
    <n v="0"/>
    <x v="13"/>
    <x v="0"/>
    <s v="Average"/>
    <n v="0"/>
  </r>
  <r>
    <x v="898"/>
    <x v="820"/>
    <n v="5494"/>
    <x v="2"/>
    <s v="01-02-2021"/>
    <s v="Strelbytskyy Multimedia Publishing"/>
    <x v="0"/>
    <n v="0"/>
    <n v="0"/>
    <x v="12"/>
    <x v="0"/>
    <s v="Average"/>
    <n v="0"/>
  </r>
  <r>
    <x v="899"/>
    <x v="823"/>
    <n v="150"/>
    <x v="36"/>
    <s v="24-06-2022"/>
    <s v="Gramedia Pustaka Utama"/>
    <x v="2"/>
    <n v="0"/>
    <n v="0"/>
    <x v="13"/>
    <x v="0"/>
    <s v="Average"/>
    <n v="0"/>
  </r>
  <r>
    <x v="900"/>
    <x v="823"/>
    <n v="198"/>
    <x v="36"/>
    <s v="24-06-2022"/>
    <s v="Gramedia Pustaka Utama"/>
    <x v="2"/>
    <n v="0"/>
    <n v="0"/>
    <x v="13"/>
    <x v="0"/>
    <s v="Average"/>
    <n v="0"/>
  </r>
  <r>
    <x v="901"/>
    <x v="505"/>
    <n v="54"/>
    <x v="20"/>
    <s v="21-11-2023"/>
    <s v="CHANGDER OUTLINE"/>
    <x v="0"/>
    <n v="0"/>
    <n v="0"/>
    <x v="26"/>
    <x v="0"/>
    <s v="Average"/>
    <n v="0"/>
  </r>
  <r>
    <x v="902"/>
    <x v="824"/>
    <n v="242"/>
    <x v="20"/>
    <s v="28-08-2008"/>
    <s v="Carson-Dellosa Publishing"/>
    <x v="0"/>
    <n v="0"/>
    <n v="0"/>
    <x v="5"/>
    <x v="0"/>
    <s v="Average"/>
    <n v="0"/>
  </r>
  <r>
    <x v="901"/>
    <x v="825"/>
    <n v="68"/>
    <x v="66"/>
    <s v="01-01-1998"/>
    <s v="In the Hands of a Child"/>
    <x v="0"/>
    <n v="4.5"/>
    <n v="5"/>
    <x v="47"/>
    <x v="2"/>
    <s v="Average"/>
    <n v="22.5"/>
  </r>
  <r>
    <x v="903"/>
    <x v="826"/>
    <n v="69"/>
    <x v="0"/>
    <s v="02-11-2017"/>
    <s v="GRIN Verlag"/>
    <x v="0"/>
    <n v="0"/>
    <n v="0"/>
    <x v="3"/>
    <x v="0"/>
    <s v="Average"/>
    <n v="0"/>
  </r>
  <r>
    <x v="904"/>
    <x v="827"/>
    <n v="231"/>
    <x v="2"/>
    <s v="13-05-2021"/>
    <s v="Wipf and Stock Publishers"/>
    <x v="0"/>
    <n v="0"/>
    <n v="0"/>
    <x v="12"/>
    <x v="0"/>
    <s v="Average"/>
    <n v="0"/>
  </r>
  <r>
    <x v="905"/>
    <x v="828"/>
    <n v="102"/>
    <x v="9"/>
    <s v="25-09-2024"/>
    <s v="Seven Books"/>
    <x v="0"/>
    <n v="0"/>
    <n v="0"/>
    <x v="16"/>
    <x v="0"/>
    <s v="Average"/>
    <n v="0"/>
  </r>
  <r>
    <x v="906"/>
    <x v="829"/>
    <n v="327"/>
    <x v="31"/>
    <s v="19-10-2022"/>
    <s v="Springer Nature"/>
    <x v="0"/>
    <n v="0"/>
    <n v="0"/>
    <x v="13"/>
    <x v="0"/>
    <s v="Average"/>
    <n v="0"/>
  </r>
  <r>
    <x v="905"/>
    <x v="830"/>
    <n v="168"/>
    <x v="9"/>
    <s v="01-01-2009"/>
    <s v="Sterling Publishing Company, Inc."/>
    <x v="0"/>
    <n v="5"/>
    <n v="1"/>
    <x v="29"/>
    <x v="2"/>
    <s v="Average"/>
    <n v="5"/>
  </r>
  <r>
    <x v="907"/>
    <x v="831"/>
    <n v="50"/>
    <x v="2"/>
    <s v="01-01-2014"/>
    <s v="Lulu.com"/>
    <x v="0"/>
    <n v="0"/>
    <n v="0"/>
    <x v="8"/>
    <x v="0"/>
    <s v="Average"/>
    <n v="0"/>
  </r>
  <r>
    <x v="908"/>
    <x v="832"/>
    <n v="245"/>
    <x v="7"/>
    <s v="12-01-2010"/>
    <s v="John Wiley &amp; Sons"/>
    <x v="0"/>
    <n v="0"/>
    <n v="0"/>
    <x v="1"/>
    <x v="0"/>
    <s v="Average"/>
    <n v="0"/>
  </r>
  <r>
    <x v="905"/>
    <x v="833"/>
    <n v="74"/>
    <x v="30"/>
    <s v="01-01-2010"/>
    <s v="Raintree"/>
    <x v="0"/>
    <n v="0"/>
    <n v="0"/>
    <x v="1"/>
    <x v="0"/>
    <s v="Average"/>
    <n v="0"/>
  </r>
  <r>
    <x v="909"/>
    <x v="828"/>
    <n v="379"/>
    <x v="9"/>
    <s v="21-12-2023"/>
    <s v="DigiCat"/>
    <x v="0"/>
    <n v="0"/>
    <n v="0"/>
    <x v="26"/>
    <x v="0"/>
    <s v="Average"/>
    <n v="0"/>
  </r>
  <r>
    <x v="910"/>
    <x v="834"/>
    <n v="35"/>
    <x v="49"/>
    <s v="13-02-2024"/>
    <s v="Stage Partners"/>
    <x v="0"/>
    <n v="0"/>
    <n v="0"/>
    <x v="16"/>
    <x v="0"/>
    <s v="Average"/>
    <n v="0"/>
  </r>
  <r>
    <x v="911"/>
    <x v="828"/>
    <n v="202"/>
    <x v="2"/>
    <s v="19-06-2017"/>
    <s v="Lulu.com"/>
    <x v="0"/>
    <n v="0"/>
    <n v="0"/>
    <x v="3"/>
    <x v="0"/>
    <s v="Average"/>
    <n v="0"/>
  </r>
  <r>
    <x v="912"/>
    <x v="828"/>
    <n v="204"/>
    <x v="2"/>
    <s v="07-04-2016"/>
    <s v="Lulu.com"/>
    <x v="0"/>
    <n v="0"/>
    <n v="0"/>
    <x v="18"/>
    <x v="0"/>
    <s v="Average"/>
    <n v="0"/>
  </r>
  <r>
    <x v="913"/>
    <x v="828"/>
    <n v="121"/>
    <x v="9"/>
    <s v="01-08-2018"/>
    <s v="Om Books International"/>
    <x v="0"/>
    <n v="0"/>
    <n v="0"/>
    <x v="7"/>
    <x v="0"/>
    <s v="Average"/>
    <n v="0"/>
  </r>
  <r>
    <x v="914"/>
    <x v="828"/>
    <n v="293"/>
    <x v="45"/>
    <s v="01-01-1972"/>
    <s v="bilibook.com"/>
    <x v="11"/>
    <n v="0"/>
    <n v="0"/>
    <x v="35"/>
    <x v="0"/>
    <s v="Average"/>
    <n v="0"/>
  </r>
  <r>
    <x v="915"/>
    <x v="835"/>
    <n v="180"/>
    <x v="2"/>
    <s v="03-12-2013"/>
    <s v="Courier Corporation"/>
    <x v="0"/>
    <n v="0"/>
    <n v="0"/>
    <x v="28"/>
    <x v="0"/>
    <s v="Average"/>
    <n v="0"/>
  </r>
  <r>
    <x v="916"/>
    <x v="836"/>
    <n v="228"/>
    <x v="18"/>
    <s v="01-01-1994"/>
    <s v="Reaktion Books"/>
    <x v="0"/>
    <n v="0"/>
    <n v="0"/>
    <x v="30"/>
    <x v="0"/>
    <s v="Average"/>
    <n v="0"/>
  </r>
  <r>
    <x v="915"/>
    <x v="837"/>
    <n v="212"/>
    <x v="2"/>
    <s v="01-12-2005"/>
    <s v="Prestwick House Inc"/>
    <x v="0"/>
    <n v="0"/>
    <n v="0"/>
    <x v="25"/>
    <x v="0"/>
    <s v="Average"/>
    <n v="0"/>
  </r>
  <r>
    <x v="917"/>
    <x v="838"/>
    <n v="194"/>
    <x v="2"/>
    <s v="15-09-2022"/>
    <s v="DigiCat"/>
    <x v="0"/>
    <n v="0"/>
    <n v="0"/>
    <x v="13"/>
    <x v="0"/>
    <s v="Average"/>
    <n v="0"/>
  </r>
  <r>
    <x v="918"/>
    <x v="835"/>
    <n v="99"/>
    <x v="9"/>
    <s v="30-04-2012"/>
    <s v="Courier Corporation"/>
    <x v="0"/>
    <n v="0"/>
    <n v="0"/>
    <x v="9"/>
    <x v="0"/>
    <s v="Average"/>
    <n v="0"/>
  </r>
  <r>
    <x v="915"/>
    <x v="839"/>
    <n v="121"/>
    <x v="0"/>
    <s v="21-04-2008"/>
    <s v="A&amp;C Black"/>
    <x v="0"/>
    <n v="0"/>
    <n v="0"/>
    <x v="5"/>
    <x v="0"/>
    <s v="Average"/>
    <n v="0"/>
  </r>
  <r>
    <x v="919"/>
    <x v="838"/>
    <n v="220"/>
    <x v="11"/>
    <s v="01-01-2006"/>
    <s v="Prestwick House Inc"/>
    <x v="0"/>
    <n v="0"/>
    <n v="0"/>
    <x v="24"/>
    <x v="0"/>
    <s v="Average"/>
    <n v="0"/>
  </r>
  <r>
    <x v="915"/>
    <x v="840"/>
    <n v="80"/>
    <x v="67"/>
    <s v="01-08-2011"/>
    <s v="Capstone"/>
    <x v="0"/>
    <n v="0"/>
    <n v="0"/>
    <x v="27"/>
    <x v="0"/>
    <s v="Average"/>
    <n v="0"/>
  </r>
  <r>
    <x v="920"/>
    <x v="835"/>
    <n v="185"/>
    <x v="2"/>
    <s v="03-02-2016"/>
    <s v="e-artnow (Open Publishing)"/>
    <x v="0"/>
    <n v="4"/>
    <n v="1"/>
    <x v="18"/>
    <x v="2"/>
    <s v="Average"/>
    <n v="4"/>
  </r>
  <r>
    <x v="915"/>
    <x v="838"/>
    <n v="272"/>
    <x v="2"/>
    <s v="06-09-1994"/>
    <s v="Univ of California Press"/>
    <x v="0"/>
    <n v="0"/>
    <n v="0"/>
    <x v="30"/>
    <x v="0"/>
    <s v="Average"/>
    <n v="0"/>
  </r>
  <r>
    <x v="915"/>
    <x v="525"/>
    <n v="279"/>
    <x v="68"/>
    <s v="01-01-2009"/>
    <s v="Infobase Publishing"/>
    <x v="0"/>
    <n v="0"/>
    <n v="0"/>
    <x v="29"/>
    <x v="0"/>
    <s v="Average"/>
    <n v="0"/>
  </r>
  <r>
    <x v="921"/>
    <x v="835"/>
    <n v="236"/>
    <x v="2"/>
    <s v="19-12-2023"/>
    <s v="Good Press"/>
    <x v="0"/>
    <n v="0"/>
    <n v="0"/>
    <x v="26"/>
    <x v="0"/>
    <s v="Average"/>
    <n v="0"/>
  </r>
  <r>
    <x v="922"/>
    <x v="835"/>
    <n v="237"/>
    <x v="2"/>
    <s v="28-11-2023"/>
    <s v="Good Press"/>
    <x v="0"/>
    <n v="0"/>
    <n v="0"/>
    <x v="26"/>
    <x v="0"/>
    <s v="Average"/>
    <n v="0"/>
  </r>
  <r>
    <x v="915"/>
    <x v="841"/>
    <n v="121"/>
    <x v="9"/>
    <s v="01-12-2018"/>
    <s v="Om Books International"/>
    <x v="0"/>
    <n v="0"/>
    <n v="0"/>
    <x v="7"/>
    <x v="0"/>
    <s v="Average"/>
    <n v="0"/>
  </r>
  <r>
    <x v="923"/>
    <x v="835"/>
    <n v="292"/>
    <x v="2"/>
    <s v="13-12-2023"/>
    <s v="E-Kitap Projesi &amp; Cheapest Books"/>
    <x v="0"/>
    <n v="0"/>
    <n v="0"/>
    <x v="26"/>
    <x v="0"/>
    <s v="Average"/>
    <n v="0"/>
  </r>
  <r>
    <x v="924"/>
    <x v="842"/>
    <n v="321"/>
    <x v="8"/>
    <s v="25-06-2002"/>
    <s v="Simon and Schuster"/>
    <x v="0"/>
    <n v="4"/>
    <n v="27"/>
    <x v="6"/>
    <x v="2"/>
    <s v="Average"/>
    <n v="108"/>
  </r>
  <r>
    <x v="925"/>
    <x v="493"/>
    <n v="633"/>
    <x v="2"/>
    <s v="28-03-2006"/>
    <s v="Simon and Schuster"/>
    <x v="0"/>
    <n v="4"/>
    <n v="34"/>
    <x v="24"/>
    <x v="2"/>
    <s v="Average"/>
    <n v="136"/>
  </r>
  <r>
    <x v="926"/>
    <x v="493"/>
    <n v="511"/>
    <x v="2"/>
    <s v="07-10-2010"/>
    <s v="Edizioni Mondadori"/>
    <x v="4"/>
    <n v="4"/>
    <n v="19"/>
    <x v="1"/>
    <x v="2"/>
    <s v="Average"/>
    <n v="76"/>
  </r>
  <r>
    <x v="927"/>
    <x v="493"/>
    <n v="559"/>
    <x v="2"/>
    <s v="07-10-2010"/>
    <s v="Edizioni Mondadori"/>
    <x v="4"/>
    <n v="4"/>
    <n v="12"/>
    <x v="1"/>
    <x v="2"/>
    <s v="Average"/>
    <n v="48"/>
  </r>
  <r>
    <x v="928"/>
    <x v="493"/>
    <n v="613"/>
    <x v="2"/>
    <s v="07-10-2010"/>
    <s v="Edizioni Mondadori"/>
    <x v="4"/>
    <n v="4"/>
    <n v="14"/>
    <x v="1"/>
    <x v="2"/>
    <s v="Average"/>
    <n v="56"/>
  </r>
  <r>
    <x v="929"/>
    <x v="490"/>
    <n v="220"/>
    <x v="2"/>
    <s v="25-04-2002"/>
    <s v="Cambridge University Press"/>
    <x v="0"/>
    <n v="0"/>
    <n v="0"/>
    <x v="6"/>
    <x v="0"/>
    <s v="Average"/>
    <n v="0"/>
  </r>
  <r>
    <x v="930"/>
    <x v="490"/>
    <n v="165"/>
    <x v="2"/>
    <s v="13-03-2021"/>
    <s v="東西文坊"/>
    <x v="12"/>
    <n v="0"/>
    <n v="0"/>
    <x v="12"/>
    <x v="0"/>
    <s v="Average"/>
    <n v="0"/>
  </r>
  <r>
    <x v="931"/>
    <x v="492"/>
    <n v="227"/>
    <x v="2"/>
    <s v="01-03-2023"/>
    <s v="Aegitas"/>
    <x v="0"/>
    <n v="0"/>
    <n v="0"/>
    <x v="26"/>
    <x v="0"/>
    <s v="Average"/>
    <n v="0"/>
  </r>
  <r>
    <x v="932"/>
    <x v="492"/>
    <n v="230"/>
    <x v="2"/>
    <s v="29-02-2024"/>
    <s v="ببلومانيا للنشر والتوزيع"/>
    <x v="0"/>
    <n v="0"/>
    <n v="0"/>
    <x v="16"/>
    <x v="0"/>
    <s v="Average"/>
    <n v="0"/>
  </r>
  <r>
    <x v="933"/>
    <x v="492"/>
    <n v="29"/>
    <x v="2"/>
    <s v="26-07-2024"/>
    <s v="MB Cooltura"/>
    <x v="0"/>
    <n v="0"/>
    <n v="0"/>
    <x v="16"/>
    <x v="0"/>
    <s v="Average"/>
    <n v="0"/>
  </r>
  <r>
    <x v="934"/>
    <x v="492"/>
    <n v="162"/>
    <x v="2"/>
    <s v="01-03-2023"/>
    <s v="Aegitas"/>
    <x v="0"/>
    <n v="0"/>
    <n v="0"/>
    <x v="26"/>
    <x v="0"/>
    <s v="Average"/>
    <n v="0"/>
  </r>
  <r>
    <x v="935"/>
    <x v="492"/>
    <n v="47"/>
    <x v="2"/>
    <s v="16-11-2023"/>
    <s v="MB Cooltura"/>
    <x v="0"/>
    <n v="0"/>
    <n v="0"/>
    <x v="26"/>
    <x v="0"/>
    <s v="Average"/>
    <n v="0"/>
  </r>
  <r>
    <x v="936"/>
    <x v="492"/>
    <n v="200"/>
    <x v="2"/>
    <s v="23-11-2023"/>
    <s v="Strelbytskyy Multimedia Publishing"/>
    <x v="0"/>
    <n v="0"/>
    <n v="0"/>
    <x v="26"/>
    <x v="0"/>
    <s v="Average"/>
    <n v="0"/>
  </r>
  <r>
    <x v="937"/>
    <x v="492"/>
    <n v="34"/>
    <x v="2"/>
    <s v="24-11-2023"/>
    <s v="MB Cooltura"/>
    <x v="0"/>
    <n v="0"/>
    <n v="0"/>
    <x v="26"/>
    <x v="0"/>
    <s v="Average"/>
    <n v="0"/>
  </r>
  <r>
    <x v="938"/>
    <x v="492"/>
    <n v="36"/>
    <x v="2"/>
    <s v="28-01-2023"/>
    <s v="MB Cooltura"/>
    <x v="0"/>
    <n v="0"/>
    <n v="0"/>
    <x v="26"/>
    <x v="0"/>
    <s v="Average"/>
    <n v="0"/>
  </r>
  <r>
    <x v="939"/>
    <x v="492"/>
    <n v="224"/>
    <x v="36"/>
    <s v="27-01-2023"/>
    <s v="Gramedia Pustaka Utama"/>
    <x v="2"/>
    <n v="0"/>
    <n v="0"/>
    <x v="26"/>
    <x v="0"/>
    <s v="Average"/>
    <n v="0"/>
  </r>
  <r>
    <x v="940"/>
    <x v="492"/>
    <n v="31"/>
    <x v="2"/>
    <s v="20-12-2020"/>
    <s v="MB Cooltura"/>
    <x v="0"/>
    <n v="0"/>
    <n v="0"/>
    <x v="17"/>
    <x v="0"/>
    <s v="Average"/>
    <n v="0"/>
  </r>
  <r>
    <x v="941"/>
    <x v="492"/>
    <n v="17"/>
    <x v="2"/>
    <s v="15-11-2023"/>
    <s v="Strelbytskyy Multimedia Publishing"/>
    <x v="0"/>
    <n v="0"/>
    <n v="0"/>
    <x v="26"/>
    <x v="0"/>
    <s v="Average"/>
    <n v="0"/>
  </r>
  <r>
    <x v="942"/>
    <x v="492"/>
    <n v="24"/>
    <x v="2"/>
    <s v="02-10-2020"/>
    <s v="MB Cooltura"/>
    <x v="0"/>
    <n v="0"/>
    <n v="0"/>
    <x v="17"/>
    <x v="0"/>
    <s v="Average"/>
    <n v="0"/>
  </r>
  <r>
    <x v="943"/>
    <x v="492"/>
    <n v="25"/>
    <x v="2"/>
    <s v="24-03-2023"/>
    <s v="MB Cooltura"/>
    <x v="0"/>
    <n v="0"/>
    <n v="0"/>
    <x v="26"/>
    <x v="0"/>
    <s v="Average"/>
    <n v="0"/>
  </r>
  <r>
    <x v="944"/>
    <x v="492"/>
    <n v="241"/>
    <x v="2"/>
    <s v="05-03-2025"/>
    <s v="Aegitas"/>
    <x v="0"/>
    <n v="0"/>
    <n v="0"/>
    <x v="34"/>
    <x v="0"/>
    <s v="Average"/>
    <n v="0"/>
  </r>
  <r>
    <x v="945"/>
    <x v="492"/>
    <n v="17"/>
    <x v="2"/>
    <s v="08-10-2023"/>
    <s v="MB Cooltura"/>
    <x v="0"/>
    <n v="0"/>
    <n v="0"/>
    <x v="26"/>
    <x v="0"/>
    <s v="Average"/>
    <n v="0"/>
  </r>
  <r>
    <x v="946"/>
    <x v="492"/>
    <n v="55"/>
    <x v="2"/>
    <s v="30-05-2023"/>
    <s v="MB Cooltura"/>
    <x v="0"/>
    <n v="0"/>
    <n v="0"/>
    <x v="26"/>
    <x v="0"/>
    <s v="Average"/>
    <n v="0"/>
  </r>
  <r>
    <x v="947"/>
    <x v="492"/>
    <n v="292"/>
    <x v="9"/>
    <s v="06-08-2018"/>
    <s v="Gramedia Pustaka Utama"/>
    <x v="2"/>
    <n v="0"/>
    <n v="0"/>
    <x v="7"/>
    <x v="0"/>
    <s v="Average"/>
    <n v="0"/>
  </r>
  <r>
    <x v="948"/>
    <x v="492"/>
    <n v="45"/>
    <x v="2"/>
    <s v="15-09-2023"/>
    <s v="MB Cooltura"/>
    <x v="0"/>
    <n v="0"/>
    <n v="0"/>
    <x v="26"/>
    <x v="0"/>
    <s v="Average"/>
    <n v="0"/>
  </r>
  <r>
    <x v="949"/>
    <x v="492"/>
    <n v="32"/>
    <x v="2"/>
    <s v="29-08-2023"/>
    <s v="MB Cooltura"/>
    <x v="0"/>
    <n v="0"/>
    <n v="0"/>
    <x v="26"/>
    <x v="0"/>
    <s v="Average"/>
    <n v="0"/>
  </r>
  <r>
    <x v="950"/>
    <x v="492"/>
    <n v="285"/>
    <x v="2"/>
    <s v="25-11-2024"/>
    <s v="MB Cooltura"/>
    <x v="11"/>
    <n v="0"/>
    <n v="0"/>
    <x v="16"/>
    <x v="0"/>
    <s v="Average"/>
    <n v="0"/>
  </r>
  <r>
    <x v="951"/>
    <x v="492"/>
    <n v="43"/>
    <x v="2"/>
    <s v="06-04-2024"/>
    <s v="MB Cooltura"/>
    <x v="0"/>
    <n v="0"/>
    <n v="0"/>
    <x v="16"/>
    <x v="0"/>
    <s v="Average"/>
    <n v="0"/>
  </r>
  <r>
    <x v="952"/>
    <x v="842"/>
    <n v="1168"/>
    <x v="2"/>
    <s v="30-07-2019"/>
    <s v="Scribner"/>
    <x v="0"/>
    <n v="5"/>
    <n v="4"/>
    <x v="20"/>
    <x v="2"/>
    <s v="Average"/>
    <n v="20"/>
  </r>
  <r>
    <x v="953"/>
    <x v="842"/>
    <n v="212"/>
    <x v="2"/>
    <s v="01-09-2000"/>
    <s v="Simon and Schuster"/>
    <x v="0"/>
    <n v="4.5"/>
    <n v="6"/>
    <x v="23"/>
    <x v="2"/>
    <s v="Average"/>
    <n v="27"/>
  </r>
  <r>
    <x v="954"/>
    <x v="842"/>
    <n v="512"/>
    <x v="2"/>
    <s v="21-05-2024"/>
    <s v="Simon and Schuster"/>
    <x v="0"/>
    <n v="0"/>
    <n v="0"/>
    <x v="16"/>
    <x v="0"/>
    <s v="Average"/>
    <n v="0"/>
  </r>
  <r>
    <x v="955"/>
    <x v="842"/>
    <n v="800"/>
    <x v="2"/>
    <s v="25-06-2024"/>
    <s v="Simon and Schuster"/>
    <x v="0"/>
    <n v="0"/>
    <n v="0"/>
    <x v="16"/>
    <x v="0"/>
    <s v="Average"/>
    <n v="0"/>
  </r>
  <r>
    <x v="956"/>
    <x v="842"/>
    <n v="432"/>
    <x v="2"/>
    <s v="28-02-2017"/>
    <s v="Simon and Schuster"/>
    <x v="0"/>
    <n v="0"/>
    <n v="0"/>
    <x v="3"/>
    <x v="0"/>
    <s v="Average"/>
    <n v="0"/>
  </r>
  <r>
    <x v="957"/>
    <x v="842"/>
    <n v="880"/>
    <x v="2"/>
    <s v="28-02-2017"/>
    <s v="Simon and Schuster"/>
    <x v="0"/>
    <n v="0"/>
    <n v="0"/>
    <x v="3"/>
    <x v="0"/>
    <s v="Average"/>
    <n v="0"/>
  </r>
  <r>
    <x v="958"/>
    <x v="842"/>
    <n v="400"/>
    <x v="2"/>
    <s v="19-04-2016"/>
    <s v="Simon and Schuster"/>
    <x v="0"/>
    <n v="5"/>
    <n v="1"/>
    <x v="18"/>
    <x v="2"/>
    <s v="Average"/>
    <n v="5"/>
  </r>
  <r>
    <x v="959"/>
    <x v="842"/>
    <n v="656"/>
    <x v="2"/>
    <s v="23-02-2016"/>
    <s v="Simon and Schuster"/>
    <x v="0"/>
    <n v="0"/>
    <n v="0"/>
    <x v="18"/>
    <x v="0"/>
    <s v="Average"/>
    <n v="0"/>
  </r>
  <r>
    <x v="960"/>
    <x v="842"/>
    <n v="512"/>
    <x v="2"/>
    <s v="10-05-2022"/>
    <s v="Simon and Schuster"/>
    <x v="0"/>
    <n v="0"/>
    <n v="0"/>
    <x v="13"/>
    <x v="0"/>
    <s v="Average"/>
    <n v="0"/>
  </r>
  <r>
    <x v="961"/>
    <x v="842"/>
    <n v="8"/>
    <x v="2"/>
    <s v="05-01-2016"/>
    <s v="Simon and Schuster"/>
    <x v="0"/>
    <n v="0"/>
    <n v="0"/>
    <x v="18"/>
    <x v="0"/>
    <s v="Average"/>
    <n v="0"/>
  </r>
  <r>
    <x v="962"/>
    <x v="842"/>
    <n v="464"/>
    <x v="2"/>
    <s v="05-09-2023"/>
    <s v="Simon and Schuster"/>
    <x v="0"/>
    <n v="0"/>
    <n v="0"/>
    <x v="26"/>
    <x v="0"/>
    <s v="Average"/>
    <n v="0"/>
  </r>
  <r>
    <x v="963"/>
    <x v="842"/>
    <n v="800"/>
    <x v="2"/>
    <s v="16-02-2016"/>
    <s v="Simon and Schuster"/>
    <x v="0"/>
    <n v="0"/>
    <n v="0"/>
    <x v="18"/>
    <x v="0"/>
    <s v="Average"/>
    <n v="0"/>
  </r>
  <r>
    <x v="964"/>
    <x v="842"/>
    <n v="688"/>
    <x v="2"/>
    <s v="28-03-2017"/>
    <s v="Simon and Schuster"/>
    <x v="0"/>
    <n v="0"/>
    <n v="0"/>
    <x v="3"/>
    <x v="0"/>
    <s v="Average"/>
    <n v="0"/>
  </r>
  <r>
    <x v="965"/>
    <x v="842"/>
    <n v="160"/>
    <x v="2"/>
    <s v="12-11-2019"/>
    <s v="Scribner"/>
    <x v="0"/>
    <n v="0"/>
    <n v="0"/>
    <x v="20"/>
    <x v="0"/>
    <s v="Average"/>
    <n v="0"/>
  </r>
  <r>
    <x v="966"/>
    <x v="842"/>
    <n v="960"/>
    <x v="2"/>
    <s v="03-05-2016"/>
    <s v="Simon and Schuster"/>
    <x v="0"/>
    <n v="5"/>
    <n v="3"/>
    <x v="18"/>
    <x v="2"/>
    <s v="Average"/>
    <n v="15"/>
  </r>
  <r>
    <x v="967"/>
    <x v="842"/>
    <n v="432"/>
    <x v="2"/>
    <s v="21-01-2025"/>
    <s v="Simon and Schuster"/>
    <x v="0"/>
    <n v="0"/>
    <n v="0"/>
    <x v="34"/>
    <x v="0"/>
    <s v="Average"/>
    <n v="0"/>
  </r>
  <r>
    <x v="968"/>
    <x v="842"/>
    <n v="512"/>
    <x v="18"/>
    <s v="01-03-2011"/>
    <s v="Simon and Schuster"/>
    <x v="0"/>
    <n v="0"/>
    <n v="0"/>
    <x v="27"/>
    <x v="0"/>
    <s v="Average"/>
    <n v="0"/>
  </r>
  <r>
    <x v="969"/>
    <x v="842"/>
    <n v="416"/>
    <x v="2"/>
    <s v="03-09-2024"/>
    <s v="Simon and Schuster"/>
    <x v="0"/>
    <n v="0"/>
    <n v="0"/>
    <x v="16"/>
    <x v="0"/>
    <s v="Average"/>
    <n v="0"/>
  </r>
  <r>
    <x v="970"/>
    <x v="842"/>
    <n v="400"/>
    <x v="2"/>
    <s v="16-02-2016"/>
    <s v="Simon and Schuster"/>
    <x v="0"/>
    <n v="0"/>
    <n v="0"/>
    <x v="18"/>
    <x v="0"/>
    <s v="Average"/>
    <n v="0"/>
  </r>
  <r>
    <x v="971"/>
    <x v="842"/>
    <n v="752"/>
    <x v="2"/>
    <s v="01-06-1999"/>
    <s v="Simon and Schuster"/>
    <x v="0"/>
    <n v="5"/>
    <n v="1"/>
    <x v="36"/>
    <x v="2"/>
    <s v="Average"/>
    <n v="5"/>
  </r>
  <r>
    <x v="972"/>
    <x v="842"/>
    <n v="69"/>
    <x v="2"/>
    <s v="14-03-2000"/>
    <s v="Simon and Schuster"/>
    <x v="0"/>
    <n v="4"/>
    <n v="8"/>
    <x v="23"/>
    <x v="2"/>
    <s v="Average"/>
    <n v="32"/>
  </r>
  <r>
    <x v="973"/>
    <x v="493"/>
    <n v="524"/>
    <x v="2"/>
    <s v="31-05-2019"/>
    <s v="Mizan Publishing"/>
    <x v="2"/>
    <n v="0"/>
    <n v="0"/>
    <x v="20"/>
    <x v="0"/>
    <s v="Average"/>
    <n v="0"/>
  </r>
  <r>
    <x v="974"/>
    <x v="493"/>
    <n v="532"/>
    <x v="2"/>
    <s v="28-03-2006"/>
    <s v="Simon and Schuster"/>
    <x v="0"/>
    <n v="5"/>
    <n v="3"/>
    <x v="24"/>
    <x v="2"/>
    <s v="Average"/>
    <n v="15"/>
  </r>
  <r>
    <x v="975"/>
    <x v="493"/>
    <n v="954"/>
    <x v="2"/>
    <s v="04-01-2010"/>
    <s v="Mizan Pustaka"/>
    <x v="2"/>
    <n v="0"/>
    <n v="0"/>
    <x v="1"/>
    <x v="0"/>
    <s v="Average"/>
    <n v="0"/>
  </r>
  <r>
    <x v="976"/>
    <x v="493"/>
    <n v="565"/>
    <x v="2"/>
    <s v="14-05-2013"/>
    <s v="Edizioni Mondadori"/>
    <x v="4"/>
    <n v="4"/>
    <n v="7"/>
    <x v="28"/>
    <x v="2"/>
    <s v="Average"/>
    <n v="28"/>
  </r>
  <r>
    <x v="977"/>
    <x v="493"/>
    <n v="19"/>
    <x v="2"/>
    <s v="18-03-2013"/>
    <s v="Edizioni Mondadori"/>
    <x v="4"/>
    <n v="4"/>
    <n v="2"/>
    <x v="28"/>
    <x v="2"/>
    <s v="Average"/>
    <n v="8"/>
  </r>
  <r>
    <x v="978"/>
    <x v="493"/>
    <n v="3219"/>
    <x v="2"/>
    <s v="16-10-2020"/>
    <s v="Arqueiro"/>
    <x v="6"/>
    <n v="0"/>
    <n v="0"/>
    <x v="17"/>
    <x v="0"/>
    <s v="Average"/>
    <n v="0"/>
  </r>
  <r>
    <x v="979"/>
    <x v="493"/>
    <n v="585"/>
    <x v="2"/>
    <s v="03-10-2017"/>
    <s v="VINTAGE ESPAÑOL"/>
    <x v="11"/>
    <n v="0"/>
    <n v="0"/>
    <x v="3"/>
    <x v="0"/>
    <s v="Average"/>
    <n v="0"/>
  </r>
  <r>
    <x v="980"/>
    <x v="493"/>
    <n v="414"/>
    <x v="2"/>
    <s v="09-11-2017"/>
    <s v="Sonia Draga Sp. z o.o."/>
    <x v="13"/>
    <n v="3"/>
    <n v="1"/>
    <x v="3"/>
    <x v="1"/>
    <s v="Average"/>
    <n v="3"/>
  </r>
  <r>
    <x v="981"/>
    <x v="493"/>
    <n v="548"/>
    <x v="2"/>
    <s v="11-09-2012"/>
    <s v="Editora Arqueiro"/>
    <x v="6"/>
    <n v="5"/>
    <n v="5"/>
    <x v="9"/>
    <x v="2"/>
    <s v="Average"/>
    <n v="25"/>
  </r>
  <r>
    <x v="982"/>
    <x v="493"/>
    <n v="300"/>
    <x v="8"/>
    <s v="01-01-2007"/>
    <s v="Arcade Publishing"/>
    <x v="0"/>
    <n v="0"/>
    <n v="0"/>
    <x v="15"/>
    <x v="0"/>
    <s v="Average"/>
    <n v="0"/>
  </r>
  <r>
    <x v="983"/>
    <x v="493"/>
    <n v="615"/>
    <x v="2"/>
    <s v="14-05-2013"/>
    <s v="VINTAGE ESPAÑOL"/>
    <x v="11"/>
    <n v="0"/>
    <n v="0"/>
    <x v="28"/>
    <x v="0"/>
    <s v="Average"/>
    <n v="0"/>
  </r>
  <r>
    <x v="984"/>
    <x v="493"/>
    <n v="582"/>
    <x v="2"/>
    <s v="08-05-2013"/>
    <s v="Bazarforlag AS"/>
    <x v="9"/>
    <n v="0"/>
    <n v="0"/>
    <x v="28"/>
    <x v="0"/>
    <s v="Average"/>
    <n v="0"/>
  </r>
  <r>
    <x v="985"/>
    <x v="493"/>
    <n v="434"/>
    <x v="2"/>
    <s v="01-01-2006"/>
    <s v="Edizioni Mondadori"/>
    <x v="4"/>
    <n v="5"/>
    <n v="6"/>
    <x v="24"/>
    <x v="2"/>
    <s v="Average"/>
    <n v="30"/>
  </r>
  <r>
    <x v="986"/>
    <x v="493"/>
    <n v="494"/>
    <x v="2"/>
    <s v="01-07-2011"/>
    <s v="MEHTA PUBLISHING HOUSE"/>
    <x v="14"/>
    <n v="0"/>
    <n v="0"/>
    <x v="27"/>
    <x v="0"/>
    <s v="Average"/>
    <n v="0"/>
  </r>
  <r>
    <x v="987"/>
    <x v="493"/>
    <n v="544"/>
    <x v="2"/>
    <s v="29-04-2025"/>
    <s v="Rizzoli"/>
    <x v="4"/>
    <n v="0"/>
    <n v="0"/>
    <x v="34"/>
    <x v="0"/>
    <s v="Average"/>
    <n v="0"/>
  </r>
  <r>
    <x v="988"/>
    <x v="494"/>
    <n v="41"/>
    <x v="39"/>
    <s v="31-05-2024"/>
    <s v="Doğan Yayınları"/>
    <x v="3"/>
    <n v="0"/>
    <n v="0"/>
    <x v="16"/>
    <x v="0"/>
    <s v="Average"/>
    <n v="0"/>
  </r>
  <r>
    <x v="989"/>
    <x v="494"/>
    <n v="20"/>
    <x v="35"/>
    <s v="12-01-2022"/>
    <s v="Yapı Kredi Yayınları"/>
    <x v="3"/>
    <n v="0"/>
    <n v="0"/>
    <x v="13"/>
    <x v="0"/>
    <s v="Average"/>
    <n v="0"/>
  </r>
  <r>
    <x v="990"/>
    <x v="494"/>
    <n v="84"/>
    <x v="36"/>
    <s v="28-09-2021"/>
    <s v="Gramedia Pustaka Utama"/>
    <x v="2"/>
    <n v="0"/>
    <n v="0"/>
    <x v="12"/>
    <x v="0"/>
    <s v="Average"/>
    <n v="0"/>
  </r>
  <r>
    <x v="991"/>
    <x v="843"/>
    <n v="884"/>
    <x v="2"/>
    <s v="01-12-2011"/>
    <s v="Leya"/>
    <x v="6"/>
    <n v="5"/>
    <n v="1"/>
    <x v="27"/>
    <x v="2"/>
    <s v="Average"/>
    <n v="5"/>
  </r>
  <r>
    <x v="992"/>
    <x v="843"/>
    <n v="407"/>
    <x v="2"/>
    <s v="01-10-2015"/>
    <s v="Leya"/>
    <x v="6"/>
    <n v="0"/>
    <n v="0"/>
    <x v="14"/>
    <x v="0"/>
    <s v="Average"/>
    <n v="0"/>
  </r>
  <r>
    <x v="993"/>
    <x v="843"/>
    <n v="1060"/>
    <x v="2"/>
    <s v="01-09-2011"/>
    <s v="Leya"/>
    <x v="6"/>
    <n v="5"/>
    <n v="1"/>
    <x v="27"/>
    <x v="2"/>
    <s v="Average"/>
    <n v="5"/>
  </r>
  <r>
    <x v="994"/>
    <x v="843"/>
    <n v="488"/>
    <x v="2"/>
    <s v="20-06-2022"/>
    <s v="PLAZA JANÉS"/>
    <x v="11"/>
    <n v="0"/>
    <n v="0"/>
    <x v="13"/>
    <x v="0"/>
    <s v="Average"/>
    <n v="0"/>
  </r>
  <r>
    <x v="995"/>
    <x v="843"/>
    <n v="294"/>
    <x v="2"/>
    <s v="08-04-2014"/>
    <s v="Edizioni Mondadori"/>
    <x v="4"/>
    <n v="0"/>
    <n v="0"/>
    <x v="8"/>
    <x v="0"/>
    <s v="Average"/>
    <n v="0"/>
  </r>
  <r>
    <x v="996"/>
    <x v="844"/>
    <n v="449"/>
    <x v="2"/>
    <s v="08-11-2022"/>
    <s v="Edizioni Mondadori"/>
    <x v="4"/>
    <n v="0"/>
    <n v="0"/>
    <x v="13"/>
    <x v="0"/>
    <s v="Average"/>
    <n v="0"/>
  </r>
  <r>
    <x v="997"/>
    <x v="843"/>
    <n v="957"/>
    <x v="2"/>
    <s v="31-10-2013"/>
    <s v="Edizioni Mondadori"/>
    <x v="4"/>
    <n v="5"/>
    <n v="3"/>
    <x v="28"/>
    <x v="2"/>
    <s v="Average"/>
    <n v="15"/>
  </r>
  <r>
    <x v="998"/>
    <x v="746"/>
    <n v="193"/>
    <x v="25"/>
    <s v="01-12-2023"/>
    <s v="Pan Macmillan South africa"/>
    <x v="0"/>
    <n v="0"/>
    <n v="0"/>
    <x v="26"/>
    <x v="0"/>
    <s v="Average"/>
    <n v="0"/>
  </r>
  <r>
    <x v="999"/>
    <x v="845"/>
    <n v="417"/>
    <x v="2"/>
    <s v="02-07-2024"/>
    <s v="Random House"/>
    <x v="0"/>
    <n v="0"/>
    <n v="0"/>
    <x v="16"/>
    <x v="0"/>
    <s v="Average"/>
    <n v="0"/>
  </r>
  <r>
    <x v="1000"/>
    <x v="846"/>
    <n v="342"/>
    <x v="2"/>
    <s v="01-04-2025"/>
    <s v="Penguin Random House New Zealand Limited"/>
    <x v="0"/>
    <n v="0"/>
    <n v="0"/>
    <x v="34"/>
    <x v="0"/>
    <s v="Average"/>
    <n v="0"/>
  </r>
  <r>
    <x v="1001"/>
    <x v="847"/>
    <n v="178"/>
    <x v="58"/>
    <s v="07-02-2012"/>
    <s v="Simon and Schuster"/>
    <x v="0"/>
    <n v="3.5"/>
    <n v="51"/>
    <x v="9"/>
    <x v="1"/>
    <s v="Average"/>
    <n v="178.5"/>
  </r>
  <r>
    <x v="1002"/>
    <x v="545"/>
    <n v="545"/>
    <x v="2"/>
    <s v="25-02-2025"/>
    <s v="Random House"/>
    <x v="0"/>
    <n v="0"/>
    <n v="0"/>
    <x v="34"/>
    <x v="0"/>
    <s v="Average"/>
    <n v="0"/>
  </r>
  <r>
    <x v="1003"/>
    <x v="545"/>
    <n v="513"/>
    <x v="2"/>
    <s v="18-03-2025"/>
    <s v="Random House"/>
    <x v="0"/>
    <n v="0"/>
    <n v="0"/>
    <x v="34"/>
    <x v="0"/>
    <s v="Average"/>
    <n v="0"/>
  </r>
  <r>
    <x v="1004"/>
    <x v="545"/>
    <n v="529"/>
    <x v="2"/>
    <s v="18-03-2025"/>
    <s v="Random House"/>
    <x v="0"/>
    <n v="0"/>
    <n v="0"/>
    <x v="34"/>
    <x v="0"/>
    <s v="Average"/>
    <n v="0"/>
  </r>
  <r>
    <x v="1005"/>
    <x v="848"/>
    <n v="417"/>
    <x v="2"/>
    <s v="05-11-2024"/>
    <s v="Random House"/>
    <x v="0"/>
    <n v="0"/>
    <n v="0"/>
    <x v="16"/>
    <x v="0"/>
    <s v="Average"/>
    <n v="0"/>
  </r>
  <r>
    <x v="1006"/>
    <x v="849"/>
    <n v="285"/>
    <x v="0"/>
    <s v="07-11-2023"/>
    <s v="McFarland"/>
    <x v="0"/>
    <n v="0"/>
    <n v="0"/>
    <x v="26"/>
    <x v="0"/>
    <s v="Average"/>
    <n v="0"/>
  </r>
  <r>
    <x v="1007"/>
    <x v="511"/>
    <n v="233"/>
    <x v="0"/>
    <s v="27-11-2015"/>
    <s v="McFarland"/>
    <x v="0"/>
    <n v="0"/>
    <n v="0"/>
    <x v="14"/>
    <x v="0"/>
    <s v="Average"/>
    <n v="0"/>
  </r>
  <r>
    <x v="1008"/>
    <x v="850"/>
    <n v="426"/>
    <x v="6"/>
    <s v="01-01-2006"/>
    <s v="Rodopi"/>
    <x v="0"/>
    <n v="0"/>
    <n v="0"/>
    <x v="24"/>
    <x v="0"/>
    <s v="Average"/>
    <n v="0"/>
  </r>
  <r>
    <x v="1009"/>
    <x v="851"/>
    <n v="311"/>
    <x v="30"/>
    <s v="01-01-2011"/>
    <s v="Rowman &amp; Littlefield"/>
    <x v="0"/>
    <n v="0"/>
    <n v="0"/>
    <x v="27"/>
    <x v="0"/>
    <s v="Average"/>
    <n v="0"/>
  </r>
  <r>
    <x v="1010"/>
    <x v="852"/>
    <n v="430"/>
    <x v="31"/>
    <s v="27-08-2007"/>
    <s v="Univ of California Press"/>
    <x v="0"/>
    <n v="0"/>
    <n v="0"/>
    <x v="15"/>
    <x v="0"/>
    <s v="Average"/>
    <n v="0"/>
  </r>
  <r>
    <x v="1011"/>
    <x v="853"/>
    <n v="180"/>
    <x v="69"/>
    <s v="01-01-2003"/>
    <s v="Open Court Publishing"/>
    <x v="0"/>
    <n v="4"/>
    <n v="1"/>
    <x v="10"/>
    <x v="2"/>
    <s v="Average"/>
    <n v="4"/>
  </r>
  <r>
    <x v="1012"/>
    <x v="854"/>
    <n v="214"/>
    <x v="20"/>
    <s v="01-01-2003"/>
    <s v="Tyndale House Publishers, Inc."/>
    <x v="0"/>
    <n v="0"/>
    <n v="0"/>
    <x v="10"/>
    <x v="0"/>
    <s v="Average"/>
    <n v="0"/>
  </r>
  <r>
    <x v="1013"/>
    <x v="855"/>
    <n v="142"/>
    <x v="0"/>
    <s v="17-08-2015"/>
    <s v="TAN Books"/>
    <x v="0"/>
    <n v="0"/>
    <n v="0"/>
    <x v="14"/>
    <x v="0"/>
    <s v="Average"/>
    <n v="0"/>
  </r>
  <r>
    <x v="1014"/>
    <x v="856"/>
    <n v="240"/>
    <x v="30"/>
    <s v="19-11-2024"/>
    <s v="Simon and Schuster"/>
    <x v="0"/>
    <n v="0"/>
    <n v="0"/>
    <x v="16"/>
    <x v="0"/>
    <s v="Average"/>
    <n v="0"/>
  </r>
  <r>
    <x v="1015"/>
    <x v="857"/>
    <n v="386"/>
    <x v="0"/>
    <s v="04-11-2004"/>
    <s v="Wm. B. Eerdmans Publishing"/>
    <x v="0"/>
    <n v="0"/>
    <n v="0"/>
    <x v="22"/>
    <x v="0"/>
    <s v="Average"/>
    <n v="0"/>
  </r>
  <r>
    <x v="1016"/>
    <x v="858"/>
    <n v="112"/>
    <x v="0"/>
    <s v="01-01-2002"/>
    <s v="Inkling Books"/>
    <x v="0"/>
    <n v="0"/>
    <n v="0"/>
    <x v="6"/>
    <x v="0"/>
    <s v="Average"/>
    <n v="0"/>
  </r>
  <r>
    <x v="1017"/>
    <x v="859"/>
    <n v="208"/>
    <x v="54"/>
    <s v="26-09-2023"/>
    <s v="Simon and Schuster"/>
    <x v="0"/>
    <n v="0"/>
    <n v="0"/>
    <x v="26"/>
    <x v="0"/>
    <s v="Average"/>
    <n v="0"/>
  </r>
  <r>
    <x v="1018"/>
    <x v="847"/>
    <n v="192"/>
    <x v="58"/>
    <s v="30-10-2012"/>
    <s v="Simon and Schuster"/>
    <x v="0"/>
    <n v="5"/>
    <n v="2"/>
    <x v="9"/>
    <x v="2"/>
    <s v="Average"/>
    <n v="10"/>
  </r>
  <r>
    <x v="1019"/>
    <x v="860"/>
    <n v="189"/>
    <x v="12"/>
    <s v="07-06-2017"/>
    <s v="Wipf and Stock Publishers"/>
    <x v="0"/>
    <n v="0"/>
    <n v="0"/>
    <x v="3"/>
    <x v="0"/>
    <s v="Average"/>
    <n v="0"/>
  </r>
  <r>
    <x v="1020"/>
    <x v="536"/>
    <n v="426"/>
    <x v="0"/>
    <s v="01-01-2005"/>
    <s v="University Press of Kentucky"/>
    <x v="0"/>
    <n v="4"/>
    <n v="1"/>
    <x v="25"/>
    <x v="2"/>
    <s v="Average"/>
    <n v="4"/>
  </r>
  <r>
    <x v="1021"/>
    <x v="807"/>
    <n v="272"/>
    <x v="8"/>
    <s v="05-11-2012"/>
    <s v="Kings Road Publishing"/>
    <x v="0"/>
    <n v="0"/>
    <n v="0"/>
    <x v="9"/>
    <x v="0"/>
    <s v="Average"/>
    <n v="0"/>
  </r>
  <r>
    <x v="1022"/>
    <x v="861"/>
    <n v="297"/>
    <x v="3"/>
    <s v="01-09-2019"/>
    <s v="U of Nebraska Press"/>
    <x v="0"/>
    <n v="0"/>
    <n v="0"/>
    <x v="20"/>
    <x v="0"/>
    <s v="Average"/>
    <n v="0"/>
  </r>
  <r>
    <x v="1023"/>
    <x v="862"/>
    <n v="297"/>
    <x v="15"/>
    <s v="10-11-2020"/>
    <s v="MIT Press"/>
    <x v="0"/>
    <n v="0"/>
    <n v="0"/>
    <x v="17"/>
    <x v="0"/>
    <s v="Average"/>
    <n v="0"/>
  </r>
  <r>
    <x v="1024"/>
    <x v="863"/>
    <n v="233"/>
    <x v="31"/>
    <s v="05-11-2018"/>
    <s v="McFarland"/>
    <x v="0"/>
    <n v="0"/>
    <n v="0"/>
    <x v="7"/>
    <x v="0"/>
    <s v="Average"/>
    <n v="0"/>
  </r>
  <r>
    <x v="1025"/>
    <x v="864"/>
    <n v="326"/>
    <x v="3"/>
    <s v="07-11-2019"/>
    <s v="Springer Nature"/>
    <x v="0"/>
    <n v="0"/>
    <n v="0"/>
    <x v="20"/>
    <x v="0"/>
    <s v="Average"/>
    <n v="0"/>
  </r>
  <r>
    <x v="1026"/>
    <x v="865"/>
    <n v="241"/>
    <x v="2"/>
    <s v="19-06-2012"/>
    <s v="BenBella Books"/>
    <x v="0"/>
    <n v="0"/>
    <n v="0"/>
    <x v="9"/>
    <x v="0"/>
    <s v="Average"/>
    <n v="0"/>
  </r>
  <r>
    <x v="1027"/>
    <x v="866"/>
    <n v="411"/>
    <x v="2"/>
    <s v="03-02-2011"/>
    <s v="Simon and Schuster"/>
    <x v="0"/>
    <n v="0"/>
    <n v="0"/>
    <x v="27"/>
    <x v="0"/>
    <s v="Average"/>
    <n v="0"/>
  </r>
  <r>
    <x v="1028"/>
    <x v="867"/>
    <n v="170"/>
    <x v="0"/>
    <s v="20-05-2025"/>
    <s v="Pasquale De Marco"/>
    <x v="0"/>
    <n v="0"/>
    <n v="0"/>
    <x v="34"/>
    <x v="0"/>
    <s v="Average"/>
    <n v="0"/>
  </r>
  <r>
    <x v="1029"/>
    <x v="868"/>
    <n v="169"/>
    <x v="36"/>
    <s v="01-01-2018"/>
    <s v="Usborne Publishing Ltd"/>
    <x v="0"/>
    <n v="4"/>
    <n v="3"/>
    <x v="7"/>
    <x v="2"/>
    <s v="Average"/>
    <n v="12"/>
  </r>
  <r>
    <x v="1030"/>
    <x v="869"/>
    <n v="130"/>
    <x v="20"/>
    <s v="15-07-2016"/>
    <s v="Enslow Publishing, LLC"/>
    <x v="0"/>
    <n v="0"/>
    <n v="0"/>
    <x v="18"/>
    <x v="0"/>
    <s v="Average"/>
    <n v="0"/>
  </r>
  <r>
    <x v="1031"/>
    <x v="870"/>
    <n v="132"/>
    <x v="70"/>
    <s v="15-09-1999"/>
    <s v="Arcadia Publishing"/>
    <x v="0"/>
    <n v="0"/>
    <n v="0"/>
    <x v="36"/>
    <x v="0"/>
    <s v="Average"/>
    <n v="0"/>
  </r>
  <r>
    <x v="1032"/>
    <x v="871"/>
    <n v="145"/>
    <x v="8"/>
    <s v="04-12-2024"/>
    <s v="LibriHouse"/>
    <x v="0"/>
    <n v="0"/>
    <n v="0"/>
    <x v="16"/>
    <x v="0"/>
    <s v="Average"/>
    <n v="0"/>
  </r>
  <r>
    <x v="1033"/>
    <x v="872"/>
    <n v="109"/>
    <x v="8"/>
    <s v="29-04-2019"/>
    <s v="Scribd, Inc."/>
    <x v="0"/>
    <n v="0"/>
    <n v="0"/>
    <x v="20"/>
    <x v="0"/>
    <s v="Average"/>
    <n v="0"/>
  </r>
  <r>
    <x v="1034"/>
    <x v="873"/>
    <n v="146"/>
    <x v="8"/>
    <s v="12-05-2017"/>
    <s v="Dog Ear Publishing"/>
    <x v="0"/>
    <n v="0"/>
    <n v="0"/>
    <x v="3"/>
    <x v="0"/>
    <s v="Average"/>
    <n v="0"/>
  </r>
  <r>
    <x v="1035"/>
    <x v="874"/>
    <n v="145"/>
    <x v="11"/>
    <s v="01-01-2004"/>
    <s v="Stenhouse Publishers"/>
    <x v="0"/>
    <n v="0"/>
    <n v="0"/>
    <x v="22"/>
    <x v="0"/>
    <s v="Average"/>
    <n v="0"/>
  </r>
  <r>
    <x v="1036"/>
    <x v="875"/>
    <n v="257"/>
    <x v="0"/>
    <s v="01-05-2007"/>
    <s v="LSU Press"/>
    <x v="0"/>
    <n v="0"/>
    <n v="0"/>
    <x v="15"/>
    <x v="0"/>
    <s v="Average"/>
    <n v="0"/>
  </r>
  <r>
    <x v="1037"/>
    <x v="876"/>
    <n v="115"/>
    <x v="20"/>
    <s v="01-08-2015"/>
    <s v="ABDO"/>
    <x v="0"/>
    <n v="0"/>
    <n v="0"/>
    <x v="14"/>
    <x v="0"/>
    <s v="Average"/>
    <n v="0"/>
  </r>
  <r>
    <x v="1038"/>
    <x v="877"/>
    <n v="339"/>
    <x v="5"/>
    <s v="01-11-2024"/>
    <s v="University of Georgia Press"/>
    <x v="0"/>
    <n v="0"/>
    <n v="0"/>
    <x v="16"/>
    <x v="0"/>
    <s v="Average"/>
    <n v="0"/>
  </r>
  <r>
    <x v="1039"/>
    <x v="878"/>
    <n v="197"/>
    <x v="11"/>
    <s v="19-04-2021"/>
    <s v="Bloomsbury Publishing PLC"/>
    <x v="0"/>
    <n v="0"/>
    <n v="0"/>
    <x v="12"/>
    <x v="0"/>
    <s v="Average"/>
    <n v="0"/>
  </r>
  <r>
    <x v="1040"/>
    <x v="879"/>
    <n v="824"/>
    <x v="0"/>
    <s v="01-01-1994"/>
    <s v="Cambridge University Press"/>
    <x v="0"/>
    <n v="0"/>
    <n v="0"/>
    <x v="30"/>
    <x v="0"/>
    <s v="Average"/>
    <n v="0"/>
  </r>
  <r>
    <x v="1041"/>
    <x v="880"/>
    <n v="330"/>
    <x v="31"/>
    <s v="01-01-2005"/>
    <s v="Universal-Publishers"/>
    <x v="0"/>
    <n v="0"/>
    <n v="0"/>
    <x v="25"/>
    <x v="0"/>
    <s v="Average"/>
    <n v="0"/>
  </r>
  <r>
    <x v="1042"/>
    <x v="881"/>
    <n v="1096"/>
    <x v="1"/>
    <s v="01-11-2001"/>
    <s v="LSU Press"/>
    <x v="0"/>
    <n v="5"/>
    <n v="1"/>
    <x v="32"/>
    <x v="2"/>
    <s v="Average"/>
    <n v="5"/>
  </r>
  <r>
    <x v="1043"/>
    <x v="882"/>
    <n v="192"/>
    <x v="13"/>
    <s v="01-01-2004"/>
    <s v="Peter Lang"/>
    <x v="0"/>
    <n v="0"/>
    <n v="0"/>
    <x v="22"/>
    <x v="0"/>
    <s v="Average"/>
    <n v="0"/>
  </r>
  <r>
    <x v="1044"/>
    <x v="883"/>
    <n v="298"/>
    <x v="3"/>
    <s v="01-01-2009"/>
    <s v="Princeton University Press"/>
    <x v="0"/>
    <n v="0"/>
    <n v="0"/>
    <x v="29"/>
    <x v="0"/>
    <s v="Average"/>
    <n v="0"/>
  </r>
  <r>
    <x v="1045"/>
    <x v="884"/>
    <n v="329"/>
    <x v="0"/>
    <s v="10-04-2007"/>
    <s v="University of Tennessee Press"/>
    <x v="0"/>
    <n v="0"/>
    <n v="0"/>
    <x v="15"/>
    <x v="0"/>
    <s v="Average"/>
    <n v="0"/>
  </r>
  <r>
    <x v="1046"/>
    <x v="885"/>
    <n v="267"/>
    <x v="0"/>
    <s v="12-09-2022"/>
    <s v="Taylor &amp; Francis"/>
    <x v="0"/>
    <n v="0"/>
    <n v="0"/>
    <x v="13"/>
    <x v="0"/>
    <s v="Average"/>
    <n v="0"/>
  </r>
  <r>
    <x v="1047"/>
    <x v="886"/>
    <n v="223"/>
    <x v="0"/>
    <s v="26-06-2009"/>
    <s v="Xlibris Corporation"/>
    <x v="0"/>
    <n v="0"/>
    <n v="0"/>
    <x v="29"/>
    <x v="0"/>
    <s v="Average"/>
    <n v="0"/>
  </r>
  <r>
    <x v="1048"/>
    <x v="887"/>
    <n v="241"/>
    <x v="7"/>
    <s v="06-10-2020"/>
    <s v="Rowman &amp; Littlefield"/>
    <x v="0"/>
    <n v="0"/>
    <n v="0"/>
    <x v="17"/>
    <x v="0"/>
    <s v="Average"/>
    <n v="0"/>
  </r>
  <r>
    <x v="1049"/>
    <x v="888"/>
    <n v="236"/>
    <x v="31"/>
    <s v="23-07-1991"/>
    <s v="Univ of California Press"/>
    <x v="0"/>
    <n v="0"/>
    <n v="0"/>
    <x v="55"/>
    <x v="0"/>
    <s v="Average"/>
    <n v="0"/>
  </r>
  <r>
    <x v="1050"/>
    <x v="889"/>
    <n v="322"/>
    <x v="3"/>
    <s v="30-06-2023"/>
    <s v="Helion and Company"/>
    <x v="0"/>
    <n v="0"/>
    <n v="0"/>
    <x v="26"/>
    <x v="0"/>
    <s v="Average"/>
    <n v="0"/>
  </r>
  <r>
    <x v="1051"/>
    <x v="890"/>
    <n v="328"/>
    <x v="11"/>
    <s v="01-06-2010"/>
    <s v="IAP"/>
    <x v="0"/>
    <n v="0"/>
    <n v="0"/>
    <x v="1"/>
    <x v="0"/>
    <s v="Average"/>
    <n v="0"/>
  </r>
  <r>
    <x v="1052"/>
    <x v="891"/>
    <n v="736"/>
    <x v="1"/>
    <s v="01-01-1987"/>
    <s v="Royal Society of Chemistry"/>
    <x v="0"/>
    <n v="0"/>
    <n v="0"/>
    <x v="46"/>
    <x v="0"/>
    <s v="Average"/>
    <n v="0"/>
  </r>
  <r>
    <x v="1053"/>
    <x v="892"/>
    <n v="372"/>
    <x v="3"/>
    <s v="01-01-2003"/>
    <s v="Univ of California Press"/>
    <x v="0"/>
    <n v="5"/>
    <n v="1"/>
    <x v="10"/>
    <x v="2"/>
    <s v="Average"/>
    <n v="5"/>
  </r>
  <r>
    <x v="1054"/>
    <x v="893"/>
    <n v="652"/>
    <x v="17"/>
    <s v="11-11-2013"/>
    <s v="Springer Science &amp; Business Media"/>
    <x v="0"/>
    <n v="0"/>
    <n v="0"/>
    <x v="28"/>
    <x v="0"/>
    <s v="Average"/>
    <n v="0"/>
  </r>
  <r>
    <x v="1055"/>
    <x v="894"/>
    <n v="585"/>
    <x v="5"/>
    <s v="28-06-2013"/>
    <s v="John Wiley &amp; Sons"/>
    <x v="0"/>
    <n v="0"/>
    <n v="0"/>
    <x v="28"/>
    <x v="0"/>
    <s v="Average"/>
    <n v="0"/>
  </r>
  <r>
    <x v="1056"/>
    <x v="895"/>
    <n v="40"/>
    <x v="9"/>
    <s v="01-01-2010"/>
    <s v="Marshall Cavendish"/>
    <x v="0"/>
    <n v="0"/>
    <n v="0"/>
    <x v="1"/>
    <x v="0"/>
    <s v="Average"/>
    <n v="0"/>
  </r>
  <r>
    <x v="1057"/>
    <x v="896"/>
    <n v="260"/>
    <x v="8"/>
    <s v="01-01-1999"/>
    <s v="Simon and Schuster"/>
    <x v="0"/>
    <n v="4"/>
    <n v="1"/>
    <x v="36"/>
    <x v="2"/>
    <s v="Average"/>
    <n v="4"/>
  </r>
  <r>
    <x v="1058"/>
    <x v="897"/>
    <n v="562"/>
    <x v="34"/>
    <s v="01-01-1997"/>
    <s v="Courier Corporation"/>
    <x v="0"/>
    <n v="0"/>
    <n v="0"/>
    <x v="42"/>
    <x v="0"/>
    <s v="Average"/>
    <n v="0"/>
  </r>
  <r>
    <x v="1059"/>
    <x v="898"/>
    <n v="314"/>
    <x v="8"/>
    <s v="01-01-1993"/>
    <s v="Univ of Massachusetts Press"/>
    <x v="0"/>
    <n v="0"/>
    <n v="0"/>
    <x v="33"/>
    <x v="0"/>
    <s v="Average"/>
    <n v="0"/>
  </r>
  <r>
    <x v="1060"/>
    <x v="899"/>
    <n v="419"/>
    <x v="10"/>
    <s v="01-08-1977"/>
    <s v="Martinus Nijhoff Publishers"/>
    <x v="0"/>
    <n v="0"/>
    <n v="0"/>
    <x v="57"/>
    <x v="0"/>
    <s v="Average"/>
    <n v="0"/>
  </r>
  <r>
    <x v="1061"/>
    <x v="900"/>
    <n v="214"/>
    <x v="0"/>
    <s v="21-08-2013"/>
    <s v="Routledge"/>
    <x v="0"/>
    <n v="0"/>
    <n v="0"/>
    <x v="28"/>
    <x v="0"/>
    <s v="Average"/>
    <n v="0"/>
  </r>
  <r>
    <x v="1062"/>
    <x v="901"/>
    <n v="309"/>
    <x v="17"/>
    <s v="21-08-1986"/>
    <s v="Karger Medical and Scientific Publishers"/>
    <x v="0"/>
    <n v="0"/>
    <n v="0"/>
    <x v="45"/>
    <x v="0"/>
    <s v="Average"/>
    <n v="0"/>
  </r>
  <r>
    <x v="1063"/>
    <x v="902"/>
    <n v="204"/>
    <x v="0"/>
    <s v="01-01-1993"/>
    <s v="University of Pennsylvania Press"/>
    <x v="0"/>
    <n v="0"/>
    <n v="0"/>
    <x v="33"/>
    <x v="0"/>
    <s v="Average"/>
    <n v="0"/>
  </r>
  <r>
    <x v="1064"/>
    <x v="903"/>
    <n v="623"/>
    <x v="15"/>
    <s v="04-11-2016"/>
    <s v="Elsevier"/>
    <x v="0"/>
    <n v="0"/>
    <n v="0"/>
    <x v="18"/>
    <x v="0"/>
    <s v="Average"/>
    <n v="0"/>
  </r>
  <r>
    <x v="1065"/>
    <x v="904"/>
    <n v="1452"/>
    <x v="47"/>
    <s v="01-01-1995"/>
    <s v="Elsevier"/>
    <x v="0"/>
    <n v="0"/>
    <n v="0"/>
    <x v="50"/>
    <x v="0"/>
    <s v="Average"/>
    <n v="0"/>
  </r>
  <r>
    <x v="1066"/>
    <x v="905"/>
    <n v="404"/>
    <x v="3"/>
    <s v="01-11-2022"/>
    <s v="Indiana University Press"/>
    <x v="0"/>
    <n v="0"/>
    <n v="0"/>
    <x v="13"/>
    <x v="0"/>
    <s v="Average"/>
    <n v="0"/>
  </r>
  <r>
    <x v="1067"/>
    <x v="906"/>
    <n v="169"/>
    <x v="6"/>
    <s v="30-08-2014"/>
    <s v="University of Alabama Press"/>
    <x v="0"/>
    <n v="0"/>
    <n v="0"/>
    <x v="8"/>
    <x v="0"/>
    <s v="Average"/>
    <n v="0"/>
  </r>
  <r>
    <x v="1068"/>
    <x v="496"/>
    <n v="1598"/>
    <x v="2"/>
    <s v="13-11-2022"/>
    <s v="DigiCat"/>
    <x v="0"/>
    <n v="0"/>
    <n v="0"/>
    <x v="13"/>
    <x v="0"/>
    <s v="Average"/>
    <n v="0"/>
  </r>
  <r>
    <x v="1069"/>
    <x v="907"/>
    <n v="420"/>
    <x v="30"/>
    <s v="01-01-2007"/>
    <s v="Rodopi"/>
    <x v="0"/>
    <n v="0"/>
    <n v="0"/>
    <x v="15"/>
    <x v="0"/>
    <s v="Average"/>
    <n v="0"/>
  </r>
  <r>
    <x v="1070"/>
    <x v="908"/>
    <n v="3101"/>
    <x v="2"/>
    <s v="21-06-2017"/>
    <s v="e-artnow"/>
    <x v="0"/>
    <n v="0"/>
    <n v="0"/>
    <x v="3"/>
    <x v="0"/>
    <s v="Average"/>
    <n v="0"/>
  </r>
  <r>
    <x v="1071"/>
    <x v="909"/>
    <n v="155"/>
    <x v="2"/>
    <s v="03-10-2015"/>
    <s v="谷月社"/>
    <x v="0"/>
    <n v="0"/>
    <n v="0"/>
    <x v="14"/>
    <x v="0"/>
    <s v="Average"/>
    <n v="0"/>
  </r>
  <r>
    <x v="1072"/>
    <x v="910"/>
    <n v="220"/>
    <x v="2"/>
    <s v="01-01-1982"/>
    <s v="Popular Press"/>
    <x v="0"/>
    <n v="0"/>
    <n v="0"/>
    <x v="49"/>
    <x v="0"/>
    <s v="Average"/>
    <n v="0"/>
  </r>
  <r>
    <x v="1073"/>
    <x v="911"/>
    <n v="211"/>
    <x v="0"/>
    <s v="23-04-2020"/>
    <s v="McFarland"/>
    <x v="0"/>
    <n v="0"/>
    <n v="0"/>
    <x v="17"/>
    <x v="0"/>
    <s v="Average"/>
    <n v="0"/>
  </r>
  <r>
    <x v="1074"/>
    <x v="912"/>
    <n v="272"/>
    <x v="0"/>
    <s v="06-08-2013"/>
    <s v="Simon and Schuster"/>
    <x v="0"/>
    <n v="0"/>
    <n v="0"/>
    <x v="28"/>
    <x v="0"/>
    <s v="Average"/>
    <n v="0"/>
  </r>
  <r>
    <x v="1075"/>
    <x v="913"/>
    <n v="462"/>
    <x v="2"/>
    <s v="01-02-2005"/>
    <s v="Nimble Books LLC"/>
    <x v="0"/>
    <n v="0"/>
    <n v="0"/>
    <x v="25"/>
    <x v="0"/>
    <s v="Average"/>
    <n v="0"/>
  </r>
  <r>
    <x v="1076"/>
    <x v="914"/>
    <n v="28"/>
    <x v="20"/>
    <s v="01-01-2001"/>
    <s v="ABDO"/>
    <x v="0"/>
    <n v="0"/>
    <n v="0"/>
    <x v="32"/>
    <x v="0"/>
    <s v="Average"/>
    <n v="0"/>
  </r>
  <r>
    <x v="1076"/>
    <x v="915"/>
    <n v="116"/>
    <x v="20"/>
    <s v="01-10-2007"/>
    <s v="Twenty-First Century Books"/>
    <x v="0"/>
    <n v="0"/>
    <n v="0"/>
    <x v="15"/>
    <x v="0"/>
    <s v="Average"/>
    <n v="0"/>
  </r>
  <r>
    <x v="1077"/>
    <x v="916"/>
    <n v="70"/>
    <x v="13"/>
    <s v="01-08-2010"/>
    <s v="Nimble Books LLC"/>
    <x v="0"/>
    <n v="0"/>
    <n v="0"/>
    <x v="1"/>
    <x v="0"/>
    <s v="Average"/>
    <n v="0"/>
  </r>
  <r>
    <x v="1078"/>
    <x v="917"/>
    <n v="37"/>
    <x v="16"/>
    <s v="18-11-2019"/>
    <s v="Shackleton Books"/>
    <x v="11"/>
    <n v="0"/>
    <n v="0"/>
    <x v="20"/>
    <x v="0"/>
    <s v="Average"/>
    <n v="0"/>
  </r>
  <r>
    <x v="1079"/>
    <x v="918"/>
    <n v="379"/>
    <x v="9"/>
    <s v="21-09-2021"/>
    <s v="Animus"/>
    <x v="15"/>
    <n v="0"/>
    <n v="0"/>
    <x v="12"/>
    <x v="0"/>
    <s v="Average"/>
    <n v="0"/>
  </r>
  <r>
    <x v="1080"/>
    <x v="919"/>
    <n v="302"/>
    <x v="12"/>
    <s v="31-12-2009"/>
    <s v="NavPress"/>
    <x v="0"/>
    <n v="0"/>
    <n v="0"/>
    <x v="29"/>
    <x v="0"/>
    <s v="Average"/>
    <n v="0"/>
  </r>
  <r>
    <x v="1081"/>
    <x v="920"/>
    <n v="707"/>
    <x v="2"/>
    <s v="05-12-2013"/>
    <s v="Lulu.com"/>
    <x v="0"/>
    <n v="0"/>
    <n v="0"/>
    <x v="28"/>
    <x v="0"/>
    <s v="Average"/>
    <n v="0"/>
  </r>
  <r>
    <x v="1076"/>
    <x v="517"/>
    <n v="34"/>
    <x v="20"/>
    <s v="25-01-2018"/>
    <s v="Raintree"/>
    <x v="0"/>
    <n v="0"/>
    <n v="0"/>
    <x v="7"/>
    <x v="0"/>
    <s v="Average"/>
    <n v="0"/>
  </r>
  <r>
    <x v="1082"/>
    <x v="921"/>
    <n v="38"/>
    <x v="16"/>
    <s v="29-03-2018"/>
    <s v="Triangle Interactive, Inc. "/>
    <x v="0"/>
    <n v="0"/>
    <n v="0"/>
    <x v="7"/>
    <x v="0"/>
    <s v="Average"/>
    <n v="0"/>
  </r>
  <r>
    <x v="1076"/>
    <x v="922"/>
    <n v="130"/>
    <x v="71"/>
    <s v="01-01-2009"/>
    <s v="Infobase Publishing"/>
    <x v="0"/>
    <n v="0"/>
    <n v="0"/>
    <x v="29"/>
    <x v="0"/>
    <s v="Average"/>
    <n v="0"/>
  </r>
  <r>
    <x v="1076"/>
    <x v="923"/>
    <n v="133"/>
    <x v="20"/>
    <s v="01-11-2013"/>
    <s v="Infobase Learning"/>
    <x v="0"/>
    <n v="0"/>
    <n v="0"/>
    <x v="28"/>
    <x v="0"/>
    <s v="Average"/>
    <n v="0"/>
  </r>
  <r>
    <x v="1083"/>
    <x v="924"/>
    <n v="114"/>
    <x v="20"/>
    <s v="01-08-2011"/>
    <s v="ABDO"/>
    <x v="0"/>
    <n v="0"/>
    <n v="0"/>
    <x v="27"/>
    <x v="0"/>
    <s v="Average"/>
    <n v="0"/>
  </r>
  <r>
    <x v="1084"/>
    <x v="925"/>
    <n v="133"/>
    <x v="0"/>
    <s v="19-05-2025"/>
    <s v="Univ. Press of Mississippi"/>
    <x v="0"/>
    <n v="0"/>
    <n v="0"/>
    <x v="34"/>
    <x v="0"/>
    <s v="Average"/>
    <n v="0"/>
  </r>
  <r>
    <x v="1085"/>
    <x v="640"/>
    <n v="337"/>
    <x v="18"/>
    <s v="14-10-2009"/>
    <s v="HMH"/>
    <x v="0"/>
    <n v="0"/>
    <n v="0"/>
    <x v="29"/>
    <x v="0"/>
    <s v="Average"/>
    <n v="0"/>
  </r>
  <r>
    <x v="1086"/>
    <x v="640"/>
    <n v="48"/>
    <x v="7"/>
    <s v="01-01-2021"/>
    <s v="Renard Press Ltd"/>
    <x v="0"/>
    <n v="0"/>
    <n v="0"/>
    <x v="12"/>
    <x v="0"/>
    <s v="Average"/>
    <n v="0"/>
  </r>
  <r>
    <x v="1087"/>
    <x v="640"/>
    <n v="32"/>
    <x v="18"/>
    <s v="01-01-2021"/>
    <s v="Renard Press Ltd"/>
    <x v="0"/>
    <n v="5"/>
    <n v="1"/>
    <x v="12"/>
    <x v="2"/>
    <s v="Average"/>
    <n v="5"/>
  </r>
  <r>
    <x v="1088"/>
    <x v="640"/>
    <n v="102"/>
    <x v="2"/>
    <s v="18-08-2024"/>
    <s v="David De Angelis"/>
    <x v="0"/>
    <n v="0"/>
    <n v="0"/>
    <x v="16"/>
    <x v="0"/>
    <s v="Average"/>
    <n v="0"/>
  </r>
  <r>
    <x v="1089"/>
    <x v="640"/>
    <n v="1303"/>
    <x v="18"/>
    <s v="13-11-2022"/>
    <s v="DigiCat"/>
    <x v="0"/>
    <n v="0"/>
    <n v="0"/>
    <x v="13"/>
    <x v="0"/>
    <s v="Average"/>
    <n v="0"/>
  </r>
  <r>
    <x v="1090"/>
    <x v="640"/>
    <n v="48"/>
    <x v="18"/>
    <s v="26-01-2022"/>
    <s v="Renard Press Ltd"/>
    <x v="0"/>
    <n v="0"/>
    <n v="0"/>
    <x v="13"/>
    <x v="0"/>
    <s v="Average"/>
    <n v="0"/>
  </r>
  <r>
    <x v="1091"/>
    <x v="640"/>
    <n v="265"/>
    <x v="2"/>
    <s v="22-11-2022"/>
    <s v="DigiCat"/>
    <x v="0"/>
    <n v="0"/>
    <n v="0"/>
    <x v="13"/>
    <x v="0"/>
    <s v="Average"/>
    <n v="0"/>
  </r>
  <r>
    <x v="1092"/>
    <x v="640"/>
    <n v="259"/>
    <x v="2"/>
    <s v="19-03-1969"/>
    <s v="HMH"/>
    <x v="0"/>
    <n v="0"/>
    <n v="0"/>
    <x v="58"/>
    <x v="0"/>
    <s v="Average"/>
    <n v="0"/>
  </r>
  <r>
    <x v="1093"/>
    <x v="652"/>
    <n v="1292"/>
    <x v="2"/>
    <s v="01-01-2006"/>
    <s v="Collector's Library"/>
    <x v="0"/>
    <n v="0"/>
    <n v="0"/>
    <x v="24"/>
    <x v="0"/>
    <s v="Average"/>
    <n v="0"/>
  </r>
  <r>
    <x v="1094"/>
    <x v="926"/>
    <n v="220"/>
    <x v="49"/>
    <s v="01-01-1902"/>
    <s v="A&amp;C Black"/>
    <x v="0"/>
    <n v="3"/>
    <n v="2"/>
    <x v="59"/>
    <x v="1"/>
    <s v="Average"/>
    <n v="6"/>
  </r>
  <r>
    <x v="1095"/>
    <x v="855"/>
    <n v="116"/>
    <x v="0"/>
    <s v="31-10-2012"/>
    <s v="TAN Books"/>
    <x v="0"/>
    <n v="0"/>
    <n v="0"/>
    <x v="9"/>
    <x v="0"/>
    <s v="Average"/>
    <n v="0"/>
  </r>
  <r>
    <x v="1096"/>
    <x v="927"/>
    <n v="326"/>
    <x v="12"/>
    <s v="01-09-2012"/>
    <s v="Baker Books"/>
    <x v="0"/>
    <n v="0"/>
    <n v="0"/>
    <x v="9"/>
    <x v="0"/>
    <s v="Average"/>
    <n v="0"/>
  </r>
  <r>
    <x v="1097"/>
    <x v="928"/>
    <n v="114"/>
    <x v="20"/>
    <s v="18-09-2012"/>
    <s v="Houghton Mifflin Harcourt"/>
    <x v="0"/>
    <n v="0"/>
    <n v="0"/>
    <x v="9"/>
    <x v="0"/>
    <s v="Average"/>
    <n v="0"/>
  </r>
  <r>
    <x v="1098"/>
    <x v="929"/>
    <n v="389"/>
    <x v="8"/>
    <s v="21-02-2014"/>
    <s v="HMH"/>
    <x v="0"/>
    <n v="0"/>
    <n v="0"/>
    <x v="8"/>
    <x v="0"/>
    <s v="Average"/>
    <n v="0"/>
  </r>
  <r>
    <x v="1099"/>
    <x v="930"/>
    <n v="810"/>
    <x v="0"/>
    <s v="01-01-2007"/>
    <s v="Taylor &amp; Francis"/>
    <x v="0"/>
    <n v="5"/>
    <n v="2"/>
    <x v="15"/>
    <x v="2"/>
    <s v="Average"/>
    <n v="10"/>
  </r>
  <r>
    <x v="1100"/>
    <x v="536"/>
    <n v="280"/>
    <x v="10"/>
    <s v="26-10-2001"/>
    <s v="University Press of Kentucky"/>
    <x v="0"/>
    <n v="0"/>
    <n v="0"/>
    <x v="32"/>
    <x v="0"/>
    <s v="Average"/>
    <n v="0"/>
  </r>
  <r>
    <x v="1101"/>
    <x v="931"/>
    <n v="596"/>
    <x v="0"/>
    <s v="01-08-2022"/>
    <s v="John Wiley &amp; Sons"/>
    <x v="0"/>
    <n v="0"/>
    <n v="0"/>
    <x v="13"/>
    <x v="0"/>
    <s v="Average"/>
    <n v="0"/>
  </r>
  <r>
    <x v="1102"/>
    <x v="932"/>
    <n v="108"/>
    <x v="12"/>
    <s v="25-11-2014"/>
    <s v="Lulu.com"/>
    <x v="0"/>
    <n v="0"/>
    <n v="0"/>
    <x v="8"/>
    <x v="0"/>
    <s v="Average"/>
    <n v="0"/>
  </r>
  <r>
    <x v="1103"/>
    <x v="933"/>
    <n v="345"/>
    <x v="28"/>
    <s v="15-02-2010"/>
    <s v="SAGE"/>
    <x v="0"/>
    <n v="0"/>
    <n v="0"/>
    <x v="1"/>
    <x v="0"/>
    <s v="Average"/>
    <n v="0"/>
  </r>
  <r>
    <x v="1104"/>
    <x v="847"/>
    <n v="176"/>
    <x v="58"/>
    <s v="26-11-2013"/>
    <s v="Simon and Schuster"/>
    <x v="0"/>
    <n v="0"/>
    <n v="0"/>
    <x v="28"/>
    <x v="0"/>
    <s v="Average"/>
    <n v="0"/>
  </r>
  <r>
    <x v="1105"/>
    <x v="934"/>
    <n v="45"/>
    <x v="8"/>
    <s v="09-12-2019"/>
    <s v="Hourly History"/>
    <x v="0"/>
    <n v="0"/>
    <n v="0"/>
    <x v="20"/>
    <x v="0"/>
    <s v="Average"/>
    <n v="0"/>
  </r>
  <r>
    <x v="1098"/>
    <x v="935"/>
    <n v="26"/>
    <x v="20"/>
    <s v="15-08-2008"/>
    <s v="ABDO Publishing Company"/>
    <x v="0"/>
    <n v="0"/>
    <n v="0"/>
    <x v="5"/>
    <x v="0"/>
    <s v="Average"/>
    <n v="0"/>
  </r>
  <r>
    <x v="1106"/>
    <x v="936"/>
    <n v="192"/>
    <x v="15"/>
    <s v="01-01-2007"/>
    <s v="Geological Society of America"/>
    <x v="0"/>
    <n v="0"/>
    <n v="0"/>
    <x v="15"/>
    <x v="0"/>
    <s v="Average"/>
    <n v="0"/>
  </r>
  <r>
    <x v="1107"/>
    <x v="937"/>
    <n v="824"/>
    <x v="15"/>
    <s v="20-03-2009"/>
    <s v="Springer Science &amp; Business Media"/>
    <x v="0"/>
    <n v="4"/>
    <n v="1"/>
    <x v="29"/>
    <x v="2"/>
    <s v="Average"/>
    <n v="4"/>
  </r>
  <r>
    <x v="1108"/>
    <x v="938"/>
    <n v="1092"/>
    <x v="26"/>
    <s v="01-01-2006"/>
    <s v="Paul Tawrell"/>
    <x v="0"/>
    <n v="4.5"/>
    <n v="7"/>
    <x v="24"/>
    <x v="2"/>
    <s v="Average"/>
    <n v="31.5"/>
  </r>
  <r>
    <x v="1109"/>
    <x v="939"/>
    <n v="65"/>
    <x v="38"/>
    <s v="10-04-2006"/>
    <s v="University of Michigan Press"/>
    <x v="0"/>
    <n v="0"/>
    <n v="0"/>
    <x v="24"/>
    <x v="0"/>
    <s v="Average"/>
    <n v="0"/>
  </r>
  <r>
    <x v="1110"/>
    <x v="940"/>
    <n v="1243"/>
    <x v="15"/>
    <s v="08-11-2006"/>
    <s v="Springer Science &amp; Business Media"/>
    <x v="0"/>
    <n v="4"/>
    <n v="1"/>
    <x v="24"/>
    <x v="2"/>
    <s v="Average"/>
    <n v="4"/>
  </r>
  <r>
    <x v="1111"/>
    <x v="941"/>
    <n v="869"/>
    <x v="17"/>
    <s v="16-06-2021"/>
    <s v="Elsevier Health Sciences"/>
    <x v="0"/>
    <n v="0"/>
    <n v="0"/>
    <x v="12"/>
    <x v="0"/>
    <s v="Average"/>
    <n v="0"/>
  </r>
  <r>
    <x v="1112"/>
    <x v="942"/>
    <n v="798"/>
    <x v="32"/>
    <s v="03-06-2019"/>
    <s v="Springer"/>
    <x v="0"/>
    <n v="5"/>
    <n v="1"/>
    <x v="20"/>
    <x v="2"/>
    <s v="Average"/>
    <n v="5"/>
  </r>
  <r>
    <x v="1113"/>
    <x v="943"/>
    <n v="132"/>
    <x v="12"/>
    <s v="01-01-2003"/>
    <s v="Stanford University Press"/>
    <x v="0"/>
    <n v="3.5"/>
    <n v="2"/>
    <x v="10"/>
    <x v="1"/>
    <s v="Average"/>
    <n v="7"/>
  </r>
  <r>
    <x v="1114"/>
    <x v="944"/>
    <n v="692"/>
    <x v="47"/>
    <s v="14-03-2013"/>
    <s v="Springer Science &amp; Business Media"/>
    <x v="0"/>
    <n v="0"/>
    <n v="0"/>
    <x v="28"/>
    <x v="0"/>
    <s v="Average"/>
    <n v="0"/>
  </r>
  <r>
    <x v="1115"/>
    <x v="945"/>
    <n v="14"/>
    <x v="25"/>
    <s v="13-04-2023"/>
    <s v="Cisco Kid "/>
    <x v="0"/>
    <n v="0"/>
    <n v="0"/>
    <x v="26"/>
    <x v="0"/>
    <s v="Average"/>
    <n v="0"/>
  </r>
  <r>
    <x v="1116"/>
    <x v="946"/>
    <n v="152"/>
    <x v="32"/>
    <s v="05-02-2025"/>
    <s v="RFSAT Limited"/>
    <x v="0"/>
    <n v="0"/>
    <n v="0"/>
    <x v="34"/>
    <x v="0"/>
    <s v="Average"/>
    <n v="0"/>
  </r>
  <r>
    <x v="1117"/>
    <x v="947"/>
    <n v="191"/>
    <x v="15"/>
    <s v="02-05-2024"/>
    <s v="FriesenPress"/>
    <x v="0"/>
    <n v="0"/>
    <n v="0"/>
    <x v="16"/>
    <x v="0"/>
    <s v="Average"/>
    <n v="0"/>
  </r>
  <r>
    <x v="1118"/>
    <x v="948"/>
    <n v="254"/>
    <x v="15"/>
    <s v="29-11-2024"/>
    <s v="Scott Campbell"/>
    <x v="0"/>
    <n v="0"/>
    <n v="0"/>
    <x v="16"/>
    <x v="0"/>
    <s v="Average"/>
    <n v="0"/>
  </r>
  <r>
    <x v="1119"/>
    <x v="949"/>
    <n v="416"/>
    <x v="32"/>
    <s v="16-06-2016"/>
    <s v="Apress"/>
    <x v="0"/>
    <n v="0"/>
    <n v="0"/>
    <x v="18"/>
    <x v="0"/>
    <s v="Average"/>
    <n v="0"/>
  </r>
  <r>
    <x v="1120"/>
    <x v="950"/>
    <n v="669"/>
    <x v="10"/>
    <s v="26-02-2024"/>
    <s v="UCL Press"/>
    <x v="0"/>
    <n v="0"/>
    <n v="0"/>
    <x v="16"/>
    <x v="0"/>
    <s v="Average"/>
    <n v="0"/>
  </r>
  <r>
    <x v="1121"/>
    <x v="951"/>
    <n v="71"/>
    <x v="32"/>
    <s v="04-01-2016"/>
    <s v="Marcus Stuart"/>
    <x v="0"/>
    <n v="0"/>
    <n v="0"/>
    <x v="18"/>
    <x v="0"/>
    <s v="Average"/>
    <n v="0"/>
  </r>
  <r>
    <x v="1122"/>
    <x v="952"/>
    <n v="443"/>
    <x v="8"/>
    <s v="29-04-2005"/>
    <s v="Justin, Charles &amp; Co."/>
    <x v="0"/>
    <n v="0"/>
    <n v="0"/>
    <x v="25"/>
    <x v="0"/>
    <s v="Average"/>
    <n v="0"/>
  </r>
  <r>
    <x v="1123"/>
    <x v="953"/>
    <n v="225"/>
    <x v="34"/>
    <s v="22-10-2013"/>
    <s v="Elsevier"/>
    <x v="0"/>
    <n v="0"/>
    <n v="0"/>
    <x v="28"/>
    <x v="0"/>
    <s v="Average"/>
    <n v="0"/>
  </r>
  <r>
    <x v="1124"/>
    <x v="954"/>
    <n v="41"/>
    <x v="25"/>
    <s v="24-05-2017"/>
    <s v="International Monetary Fund"/>
    <x v="0"/>
    <n v="0"/>
    <n v="0"/>
    <x v="3"/>
    <x v="0"/>
    <s v="Average"/>
    <n v="0"/>
  </r>
  <r>
    <x v="1125"/>
    <x v="955"/>
    <n v="28"/>
    <x v="25"/>
    <s v="27-03-2013"/>
    <s v="International Monetary Fund"/>
    <x v="0"/>
    <n v="0"/>
    <n v="0"/>
    <x v="28"/>
    <x v="0"/>
    <s v="Average"/>
    <n v="0"/>
  </r>
  <r>
    <x v="1126"/>
    <x v="761"/>
    <n v="508"/>
    <x v="2"/>
    <s v="09-06-2016"/>
    <s v="Rizzoli"/>
    <x v="4"/>
    <n v="0"/>
    <n v="0"/>
    <x v="18"/>
    <x v="0"/>
    <s v="Average"/>
    <n v="0"/>
  </r>
  <r>
    <x v="1127"/>
    <x v="384"/>
    <n v="226"/>
    <x v="0"/>
    <s v="01-03-2021"/>
    <s v="Cambridge Scholars Publishing"/>
    <x v="0"/>
    <n v="0"/>
    <n v="0"/>
    <x v="12"/>
    <x v="0"/>
    <s v="Average"/>
    <n v="0"/>
  </r>
  <r>
    <x v="1128"/>
    <x v="956"/>
    <n v="233"/>
    <x v="5"/>
    <s v="02-12-2020"/>
    <s v="Rowman &amp; Littlefield"/>
    <x v="0"/>
    <n v="0"/>
    <n v="0"/>
    <x v="17"/>
    <x v="0"/>
    <s v="Average"/>
    <n v="0"/>
  </r>
  <r>
    <x v="1129"/>
    <x v="957"/>
    <n v="295"/>
    <x v="2"/>
    <s v="23-04-2018"/>
    <s v="Springer"/>
    <x v="0"/>
    <n v="0"/>
    <n v="0"/>
    <x v="7"/>
    <x v="0"/>
    <s v="Average"/>
    <n v="0"/>
  </r>
  <r>
    <x v="1130"/>
    <x v="958"/>
    <n v="93"/>
    <x v="23"/>
    <s v="04-03-2014"/>
    <s v="iUniverse"/>
    <x v="0"/>
    <n v="0"/>
    <n v="0"/>
    <x v="8"/>
    <x v="0"/>
    <s v="Average"/>
    <n v="0"/>
  </r>
  <r>
    <x v="1131"/>
    <x v="959"/>
    <n v="558"/>
    <x v="0"/>
    <s v="17-01-2023"/>
    <s v="Columbia University Press"/>
    <x v="0"/>
    <n v="0"/>
    <n v="0"/>
    <x v="26"/>
    <x v="0"/>
    <s v="Average"/>
    <n v="0"/>
  </r>
  <r>
    <x v="1132"/>
    <x v="960"/>
    <n v="179"/>
    <x v="0"/>
    <s v="23-04-2019"/>
    <s v="Cambridge Scholars Publishing"/>
    <x v="0"/>
    <n v="0"/>
    <n v="0"/>
    <x v="20"/>
    <x v="0"/>
    <s v="Average"/>
    <n v="0"/>
  </r>
  <r>
    <x v="1133"/>
    <x v="961"/>
    <n v="212"/>
    <x v="45"/>
    <s v="02-06-2015"/>
    <s v="Universidad Almería"/>
    <x v="0"/>
    <n v="0"/>
    <n v="0"/>
    <x v="14"/>
    <x v="0"/>
    <s v="Average"/>
    <n v="0"/>
  </r>
  <r>
    <x v="1134"/>
    <x v="962"/>
    <n v="157"/>
    <x v="0"/>
    <s v="14-07-2017"/>
    <s v="Taylor &amp; Francis"/>
    <x v="0"/>
    <n v="0"/>
    <n v="0"/>
    <x v="3"/>
    <x v="0"/>
    <s v="Average"/>
    <n v="0"/>
  </r>
  <r>
    <x v="1135"/>
    <x v="963"/>
    <n v="288"/>
    <x v="8"/>
    <s v="13-09-2022"/>
    <s v="Simon and Schuster"/>
    <x v="0"/>
    <n v="0"/>
    <n v="0"/>
    <x v="13"/>
    <x v="0"/>
    <s v="Average"/>
    <n v="0"/>
  </r>
  <r>
    <x v="1136"/>
    <x v="964"/>
    <n v="368"/>
    <x v="2"/>
    <s v="06-09-2022"/>
    <s v="Simon and Schuster"/>
    <x v="0"/>
    <n v="0"/>
    <n v="0"/>
    <x v="13"/>
    <x v="0"/>
    <s v="Average"/>
    <n v="0"/>
  </r>
  <r>
    <x v="1137"/>
    <x v="965"/>
    <n v="200"/>
    <x v="11"/>
    <s v="19-10-2021"/>
    <s v="Ahlimedia Book"/>
    <x v="0"/>
    <n v="0"/>
    <n v="0"/>
    <x v="12"/>
    <x v="0"/>
    <s v="Average"/>
    <n v="0"/>
  </r>
  <r>
    <x v="1138"/>
    <x v="966"/>
    <n v="231"/>
    <x v="0"/>
    <s v="06-08-2024"/>
    <s v="Taylor &amp; Francis"/>
    <x v="0"/>
    <n v="0"/>
    <n v="0"/>
    <x v="16"/>
    <x v="0"/>
    <s v="Average"/>
    <n v="0"/>
  </r>
  <r>
    <x v="1139"/>
    <x v="967"/>
    <n v="333"/>
    <x v="0"/>
    <s v="16-01-2023"/>
    <s v="Narr Francke Attempto Verlag"/>
    <x v="0"/>
    <n v="0"/>
    <n v="0"/>
    <x v="26"/>
    <x v="0"/>
    <s v="Average"/>
    <n v="0"/>
  </r>
  <r>
    <x v="1140"/>
    <x v="968"/>
    <n v="271"/>
    <x v="5"/>
    <s v="24-11-2020"/>
    <s v="NYU Press"/>
    <x v="0"/>
    <n v="0"/>
    <n v="0"/>
    <x v="17"/>
    <x v="0"/>
    <s v="Average"/>
    <n v="0"/>
  </r>
  <r>
    <x v="1141"/>
    <x v="969"/>
    <n v="342"/>
    <x v="0"/>
    <s v="19-09-2017"/>
    <s v="JHU Press"/>
    <x v="0"/>
    <n v="0"/>
    <n v="0"/>
    <x v="3"/>
    <x v="0"/>
    <s v="Average"/>
    <n v="0"/>
  </r>
  <r>
    <x v="1142"/>
    <x v="970"/>
    <n v="346"/>
    <x v="5"/>
    <s v="28-01-2019"/>
    <s v="Springer"/>
    <x v="0"/>
    <n v="0"/>
    <n v="0"/>
    <x v="20"/>
    <x v="0"/>
    <s v="Average"/>
    <n v="0"/>
  </r>
  <r>
    <x v="1143"/>
    <x v="384"/>
    <n v="237"/>
    <x v="0"/>
    <s v="22-02-2022"/>
    <s v="McFarland"/>
    <x v="0"/>
    <n v="0"/>
    <n v="0"/>
    <x v="13"/>
    <x v="0"/>
    <s v="Average"/>
    <n v="0"/>
  </r>
  <r>
    <x v="1144"/>
    <x v="971"/>
    <n v="306"/>
    <x v="5"/>
    <s v="01-11-2017"/>
    <s v="Springer"/>
    <x v="0"/>
    <n v="0"/>
    <n v="0"/>
    <x v="3"/>
    <x v="0"/>
    <s v="Average"/>
    <n v="0"/>
  </r>
  <r>
    <x v="1145"/>
    <x v="972"/>
    <n v="1977"/>
    <x v="0"/>
    <s v="29-10-2022"/>
    <s v="Springer Nature"/>
    <x v="0"/>
    <n v="0"/>
    <n v="0"/>
    <x v="13"/>
    <x v="0"/>
    <s v="Average"/>
    <n v="0"/>
  </r>
  <r>
    <x v="1146"/>
    <x v="973"/>
    <n v="261"/>
    <x v="0"/>
    <s v="08-04-2020"/>
    <s v="McFarland"/>
    <x v="0"/>
    <n v="0"/>
    <n v="0"/>
    <x v="17"/>
    <x v="0"/>
    <s v="Average"/>
    <n v="0"/>
  </r>
  <r>
    <x v="1147"/>
    <x v="974"/>
    <n v="309"/>
    <x v="0"/>
    <s v="16-02-2016"/>
    <s v="Columbia University Press"/>
    <x v="0"/>
    <n v="0"/>
    <n v="0"/>
    <x v="18"/>
    <x v="0"/>
    <s v="Average"/>
    <n v="0"/>
  </r>
  <r>
    <x v="1148"/>
    <x v="975"/>
    <n v="368"/>
    <x v="2"/>
    <s v="19-01-2021"/>
    <s v="Atria/Emily Bestler Books"/>
    <x v="0"/>
    <n v="0"/>
    <n v="0"/>
    <x v="12"/>
    <x v="0"/>
    <s v="Average"/>
    <n v="0"/>
  </r>
  <r>
    <x v="1149"/>
    <x v="133"/>
    <n v="216"/>
    <x v="2"/>
    <s v="01-05-2023"/>
    <s v="Molly Black"/>
    <x v="0"/>
    <n v="0"/>
    <n v="0"/>
    <x v="26"/>
    <x v="0"/>
    <s v="Average"/>
    <n v="0"/>
  </r>
  <r>
    <x v="1150"/>
    <x v="976"/>
    <n v="352"/>
    <x v="28"/>
    <s v="15-08-2016"/>
    <s v="IGI Global"/>
    <x v="0"/>
    <n v="0"/>
    <n v="0"/>
    <x v="18"/>
    <x v="0"/>
    <s v="Average"/>
    <n v="0"/>
  </r>
  <r>
    <x v="1151"/>
    <x v="977"/>
    <n v="296"/>
    <x v="2"/>
    <s v="01-08-2023"/>
    <s v="Blackstone Publishing"/>
    <x v="0"/>
    <n v="0"/>
    <n v="0"/>
    <x v="26"/>
    <x v="0"/>
    <s v="Average"/>
    <n v="0"/>
  </r>
  <r>
    <x v="1152"/>
    <x v="978"/>
    <n v="184"/>
    <x v="5"/>
    <s v="21-04-2023"/>
    <s v="Taylor &amp; Francis"/>
    <x v="0"/>
    <n v="0"/>
    <n v="0"/>
    <x v="26"/>
    <x v="0"/>
    <s v="Average"/>
    <n v="0"/>
  </r>
  <r>
    <x v="1153"/>
    <x v="979"/>
    <n v="117"/>
    <x v="6"/>
    <s v="07-02-2025"/>
    <s v="Springer Nature"/>
    <x v="0"/>
    <n v="0"/>
    <n v="0"/>
    <x v="34"/>
    <x v="0"/>
    <s v="Average"/>
    <n v="0"/>
  </r>
  <r>
    <x v="1154"/>
    <x v="980"/>
    <n v="214"/>
    <x v="1"/>
    <s v="15-05-2025"/>
    <s v="BoD - Books on Demand"/>
    <x v="0"/>
    <n v="0"/>
    <n v="0"/>
    <x v="34"/>
    <x v="0"/>
    <s v="Average"/>
    <n v="0"/>
  </r>
  <r>
    <x v="1155"/>
    <x v="981"/>
    <n v="284"/>
    <x v="2"/>
    <s v="01-04-2015"/>
    <s v="Graham Wilson"/>
    <x v="0"/>
    <n v="5"/>
    <n v="1"/>
    <x v="14"/>
    <x v="2"/>
    <s v="Average"/>
    <n v="5"/>
  </r>
  <r>
    <x v="1156"/>
    <x v="982"/>
    <n v="277"/>
    <x v="58"/>
    <s v="01-11-2017"/>
    <s v="Anvil Publishing, Inc."/>
    <x v="0"/>
    <n v="0"/>
    <n v="0"/>
    <x v="3"/>
    <x v="0"/>
    <s v="Average"/>
    <n v="0"/>
  </r>
  <r>
    <x v="1157"/>
    <x v="983"/>
    <n v="320"/>
    <x v="2"/>
    <s v="04-02-2014"/>
    <s v="Simon and Schuster"/>
    <x v="0"/>
    <n v="0"/>
    <n v="0"/>
    <x v="8"/>
    <x v="0"/>
    <s v="Average"/>
    <n v="0"/>
  </r>
  <r>
    <x v="1158"/>
    <x v="984"/>
    <n v="263"/>
    <x v="31"/>
    <s v="14-09-2019"/>
    <s v="Springer Nature"/>
    <x v="0"/>
    <n v="0"/>
    <n v="0"/>
    <x v="20"/>
    <x v="0"/>
    <s v="Average"/>
    <n v="0"/>
  </r>
  <r>
    <x v="1159"/>
    <x v="985"/>
    <n v="678"/>
    <x v="2"/>
    <s v="18-08-2009"/>
    <s v="Qanita"/>
    <x v="2"/>
    <n v="0"/>
    <n v="0"/>
    <x v="29"/>
    <x v="0"/>
    <s v="Average"/>
    <n v="0"/>
  </r>
  <r>
    <x v="1160"/>
    <x v="763"/>
    <n v="274"/>
    <x v="29"/>
    <s v="03-06-2014"/>
    <s v="Vertigo"/>
    <x v="0"/>
    <n v="0"/>
    <n v="0"/>
    <x v="8"/>
    <x v="0"/>
    <s v="Average"/>
    <n v="0"/>
  </r>
  <r>
    <x v="1161"/>
    <x v="986"/>
    <n v="343"/>
    <x v="28"/>
    <s v="16-10-2012"/>
    <s v="Springer"/>
    <x v="0"/>
    <n v="0"/>
    <n v="0"/>
    <x v="9"/>
    <x v="0"/>
    <s v="Average"/>
    <n v="0"/>
  </r>
  <r>
    <x v="1162"/>
    <x v="987"/>
    <n v="629"/>
    <x v="2"/>
    <s v="14-01-2019"/>
    <s v="Mizan Qanita"/>
    <x v="2"/>
    <n v="0"/>
    <n v="0"/>
    <x v="20"/>
    <x v="0"/>
    <s v="Average"/>
    <n v="0"/>
  </r>
  <r>
    <x v="1163"/>
    <x v="988"/>
    <n v="226"/>
    <x v="25"/>
    <s v="01-01-2012"/>
    <s v="DS Brewer"/>
    <x v="0"/>
    <n v="0"/>
    <n v="0"/>
    <x v="9"/>
    <x v="0"/>
    <s v="Average"/>
    <n v="0"/>
  </r>
  <r>
    <x v="1164"/>
    <x v="989"/>
    <n v="274"/>
    <x v="5"/>
    <s v="03-01-2022"/>
    <s v="Springer Nature"/>
    <x v="0"/>
    <n v="0"/>
    <n v="0"/>
    <x v="13"/>
    <x v="0"/>
    <s v="Average"/>
    <n v="0"/>
  </r>
  <r>
    <x v="1165"/>
    <x v="990"/>
    <n v="641"/>
    <x v="25"/>
    <s v="05-03-2013"/>
    <s v="Routledge"/>
    <x v="0"/>
    <n v="1"/>
    <n v="1"/>
    <x v="28"/>
    <x v="0"/>
    <s v="Average"/>
    <n v="1"/>
  </r>
  <r>
    <x v="1166"/>
    <x v="991"/>
    <n v="149"/>
    <x v="30"/>
    <s v="29-03-2019"/>
    <s v="Wipf and Stock Publishers"/>
    <x v="0"/>
    <n v="0"/>
    <n v="0"/>
    <x v="20"/>
    <x v="0"/>
    <s v="Average"/>
    <n v="0"/>
  </r>
  <r>
    <x v="1167"/>
    <x v="992"/>
    <n v="263"/>
    <x v="5"/>
    <s v="06-05-2024"/>
    <s v="Lexington Books"/>
    <x v="0"/>
    <n v="0"/>
    <n v="0"/>
    <x v="16"/>
    <x v="0"/>
    <s v="Average"/>
    <n v="0"/>
  </r>
  <r>
    <x v="1168"/>
    <x v="993"/>
    <n v="533"/>
    <x v="30"/>
    <s v="15-01-2020"/>
    <s v="Bloomsbury Publishing PLC"/>
    <x v="0"/>
    <n v="0"/>
    <n v="0"/>
    <x v="17"/>
    <x v="0"/>
    <s v="Average"/>
    <n v="0"/>
  </r>
  <r>
    <x v="1169"/>
    <x v="994"/>
    <n v="202"/>
    <x v="31"/>
    <s v="24-06-2024"/>
    <s v="Andrews UK Limited"/>
    <x v="0"/>
    <n v="0"/>
    <n v="0"/>
    <x v="16"/>
    <x v="0"/>
    <s v="Average"/>
    <n v="0"/>
  </r>
  <r>
    <x v="1170"/>
    <x v="995"/>
    <n v="272"/>
    <x v="9"/>
    <s v="06-05-2014"/>
    <s v="Simon and Schuster"/>
    <x v="0"/>
    <n v="0"/>
    <n v="0"/>
    <x v="8"/>
    <x v="0"/>
    <s v="Average"/>
    <n v="0"/>
  </r>
  <r>
    <x v="1171"/>
    <x v="996"/>
    <n v="794"/>
    <x v="31"/>
    <s v="06-12-2011"/>
    <s v="Andrews McMeel Publishing"/>
    <x v="0"/>
    <n v="0"/>
    <n v="0"/>
    <x v="27"/>
    <x v="0"/>
    <s v="Average"/>
    <n v="0"/>
  </r>
  <r>
    <x v="1172"/>
    <x v="997"/>
    <n v="272"/>
    <x v="0"/>
    <s v="01-01-2015"/>
    <s v="Cambridge University Press"/>
    <x v="0"/>
    <n v="0"/>
    <n v="0"/>
    <x v="14"/>
    <x v="0"/>
    <s v="Average"/>
    <n v="0"/>
  </r>
  <r>
    <x v="1173"/>
    <x v="998"/>
    <n v="237"/>
    <x v="5"/>
    <s v="02-03-2016"/>
    <s v="McFarland"/>
    <x v="0"/>
    <n v="0"/>
    <n v="0"/>
    <x v="18"/>
    <x v="0"/>
    <s v="Average"/>
    <n v="0"/>
  </r>
  <r>
    <x v="1174"/>
    <x v="999"/>
    <n v="263"/>
    <x v="8"/>
    <s v="04-04-2011"/>
    <s v="Kings Road Publishing"/>
    <x v="0"/>
    <n v="0"/>
    <n v="0"/>
    <x v="27"/>
    <x v="0"/>
    <s v="Average"/>
    <n v="0"/>
  </r>
  <r>
    <x v="1175"/>
    <x v="1000"/>
    <n v="187"/>
    <x v="28"/>
    <s v="08-12-2016"/>
    <s v="Taylor &amp; Francis"/>
    <x v="0"/>
    <n v="0"/>
    <n v="0"/>
    <x v="18"/>
    <x v="0"/>
    <s v="Average"/>
    <n v="0"/>
  </r>
  <r>
    <x v="1176"/>
    <x v="1001"/>
    <n v="387"/>
    <x v="31"/>
    <s v="09-09-2014"/>
    <s v="Univ. Press of Mississippi"/>
    <x v="0"/>
    <n v="0"/>
    <n v="0"/>
    <x v="8"/>
    <x v="0"/>
    <s v="Average"/>
    <n v="0"/>
  </r>
  <r>
    <x v="1177"/>
    <x v="1002"/>
    <n v="231"/>
    <x v="5"/>
    <s v="19-08-2024"/>
    <s v="Taylor &amp; Francis"/>
    <x v="0"/>
    <n v="0"/>
    <n v="0"/>
    <x v="16"/>
    <x v="0"/>
    <s v="Average"/>
    <n v="0"/>
  </r>
  <r>
    <x v="1178"/>
    <x v="1003"/>
    <n v="208"/>
    <x v="31"/>
    <s v="12-04-2021"/>
    <s v="McFarland"/>
    <x v="0"/>
    <n v="0"/>
    <n v="0"/>
    <x v="12"/>
    <x v="0"/>
    <s v="Average"/>
    <n v="0"/>
  </r>
  <r>
    <x v="1179"/>
    <x v="1004"/>
    <n v="320"/>
    <x v="8"/>
    <s v="17-10-2017"/>
    <s v="Cider Mill Press"/>
    <x v="0"/>
    <n v="0"/>
    <n v="0"/>
    <x v="3"/>
    <x v="0"/>
    <s v="Average"/>
    <n v="0"/>
  </r>
  <r>
    <x v="1180"/>
    <x v="1005"/>
    <n v="289"/>
    <x v="5"/>
    <s v="03-07-2017"/>
    <s v="Springer"/>
    <x v="0"/>
    <n v="0"/>
    <n v="0"/>
    <x v="3"/>
    <x v="0"/>
    <s v="Average"/>
    <n v="0"/>
  </r>
  <r>
    <x v="1181"/>
    <x v="1006"/>
    <n v="206"/>
    <x v="7"/>
    <s v="28-08-2017"/>
    <s v="BRILL"/>
    <x v="0"/>
    <n v="0"/>
    <n v="0"/>
    <x v="3"/>
    <x v="0"/>
    <s v="Average"/>
    <n v="0"/>
  </r>
  <r>
    <x v="1182"/>
    <x v="1007"/>
    <n v="218"/>
    <x v="0"/>
    <s v="02-01-2018"/>
    <s v="Columbia University Press"/>
    <x v="0"/>
    <n v="0"/>
    <n v="0"/>
    <x v="7"/>
    <x v="0"/>
    <s v="Average"/>
    <n v="0"/>
  </r>
  <r>
    <x v="1183"/>
    <x v="1008"/>
    <n v="184"/>
    <x v="31"/>
    <s v="13-11-2012"/>
    <s v="Springer"/>
    <x v="0"/>
    <n v="0"/>
    <n v="0"/>
    <x v="9"/>
    <x v="0"/>
    <s v="Average"/>
    <n v="0"/>
  </r>
  <r>
    <x v="1184"/>
    <x v="1009"/>
    <n v="1368"/>
    <x v="31"/>
    <s v="06-03-2015"/>
    <s v="SCB Distributors"/>
    <x v="0"/>
    <n v="0"/>
    <n v="0"/>
    <x v="14"/>
    <x v="0"/>
    <s v="Average"/>
    <n v="0"/>
  </r>
  <r>
    <x v="1185"/>
    <x v="996"/>
    <n v="802"/>
    <x v="30"/>
    <s v="04-12-2012"/>
    <s v="Andrews McMeel Publishing"/>
    <x v="0"/>
    <n v="0"/>
    <n v="0"/>
    <x v="9"/>
    <x v="0"/>
    <s v="Average"/>
    <n v="0"/>
  </r>
  <r>
    <x v="1186"/>
    <x v="1010"/>
    <n v="496"/>
    <x v="31"/>
    <s v="30-10-2018"/>
    <s v="John Wiley &amp; Sons"/>
    <x v="0"/>
    <n v="0"/>
    <n v="0"/>
    <x v="7"/>
    <x v="0"/>
    <s v="Average"/>
    <n v="0"/>
  </r>
  <r>
    <x v="1187"/>
    <x v="1011"/>
    <n v="172"/>
    <x v="8"/>
    <s v="01-01-2006"/>
    <s v="Paulist Press"/>
    <x v="0"/>
    <n v="0"/>
    <n v="0"/>
    <x v="24"/>
    <x v="0"/>
    <s v="Average"/>
    <n v="0"/>
  </r>
  <r>
    <x v="1188"/>
    <x v="628"/>
    <n v="38"/>
    <x v="0"/>
    <s v="01-01-2016"/>
    <s v="Gale, Cengage Learning "/>
    <x v="0"/>
    <n v="0"/>
    <n v="0"/>
    <x v="18"/>
    <x v="0"/>
    <s v="Average"/>
    <n v="0"/>
  </r>
  <r>
    <x v="1189"/>
    <x v="1012"/>
    <n v="161"/>
    <x v="30"/>
    <s v="25-05-2011"/>
    <s v="Skyhorse"/>
    <x v="0"/>
    <n v="0"/>
    <n v="0"/>
    <x v="27"/>
    <x v="0"/>
    <s v="Average"/>
    <n v="0"/>
  </r>
  <r>
    <x v="1190"/>
    <x v="1013"/>
    <n v="228"/>
    <x v="0"/>
    <s v="01-11-2009"/>
    <s v="Sterling Publishing Company, Inc."/>
    <x v="0"/>
    <n v="0"/>
    <n v="0"/>
    <x v="29"/>
    <x v="0"/>
    <s v="Average"/>
    <n v="0"/>
  </r>
  <r>
    <x v="1191"/>
    <x v="1014"/>
    <n v="148"/>
    <x v="0"/>
    <s v="01-05-2006"/>
    <s v="Editorial Mundo Hispano"/>
    <x v="11"/>
    <n v="3"/>
    <n v="2"/>
    <x v="24"/>
    <x v="1"/>
    <s v="Average"/>
    <n v="6"/>
  </r>
  <r>
    <x v="1192"/>
    <x v="1015"/>
    <n v="311"/>
    <x v="7"/>
    <s v="01-01-2010"/>
    <s v="Open Court Publishing"/>
    <x v="0"/>
    <n v="0"/>
    <n v="0"/>
    <x v="1"/>
    <x v="0"/>
    <s v="Average"/>
    <n v="0"/>
  </r>
  <r>
    <x v="1193"/>
    <x v="1016"/>
    <n v="140"/>
    <x v="0"/>
    <s v="01-03-2005"/>
    <s v="Editorial Portavoz"/>
    <x v="11"/>
    <n v="0"/>
    <n v="0"/>
    <x v="25"/>
    <x v="0"/>
    <s v="Average"/>
    <n v="0"/>
  </r>
  <r>
    <x v="1194"/>
    <x v="1017"/>
    <n v="368"/>
    <x v="1"/>
    <s v="03-11-2009"/>
    <s v="Simon and Schuster"/>
    <x v="0"/>
    <n v="0"/>
    <n v="0"/>
    <x v="29"/>
    <x v="0"/>
    <s v="Average"/>
    <n v="0"/>
  </r>
  <r>
    <x v="1195"/>
    <x v="1018"/>
    <n v="210"/>
    <x v="6"/>
    <s v="01-07-2013"/>
    <s v="A&amp;C Black"/>
    <x v="0"/>
    <n v="0"/>
    <n v="0"/>
    <x v="28"/>
    <x v="0"/>
    <s v="Average"/>
    <n v="0"/>
  </r>
  <r>
    <x v="1196"/>
    <x v="1019"/>
    <n v="67"/>
    <x v="45"/>
    <s v="10-02-2012"/>
    <s v="Oxford University Press"/>
    <x v="0"/>
    <n v="0"/>
    <n v="0"/>
    <x v="9"/>
    <x v="0"/>
    <s v="Average"/>
    <n v="0"/>
  </r>
  <r>
    <x v="1197"/>
    <x v="1020"/>
    <n v="340"/>
    <x v="12"/>
    <s v="01-01-2004"/>
    <s v="Ignatius Press"/>
    <x v="0"/>
    <n v="2.5"/>
    <n v="2"/>
    <x v="22"/>
    <x v="0"/>
    <s v="Average"/>
    <n v="5"/>
  </r>
  <r>
    <x v="1198"/>
    <x v="1021"/>
    <n v="393"/>
    <x v="1"/>
    <s v="01-01-2004"/>
    <s v="iUniverse"/>
    <x v="0"/>
    <n v="0"/>
    <n v="0"/>
    <x v="22"/>
    <x v="0"/>
    <s v="Average"/>
    <n v="0"/>
  </r>
  <r>
    <x v="1199"/>
    <x v="1022"/>
    <n v="133"/>
    <x v="6"/>
    <s v="04-02-2015"/>
    <s v="EDUCatt - Ente per il diritto allo studio universitario dell'Università Cattolica"/>
    <x v="0"/>
    <n v="0"/>
    <n v="0"/>
    <x v="14"/>
    <x v="0"/>
    <s v="Average"/>
    <n v="0"/>
  </r>
  <r>
    <x v="1200"/>
    <x v="1023"/>
    <n v="936"/>
    <x v="0"/>
    <s v="01-08-2019"/>
    <s v="Infobase Holdings, Inc"/>
    <x v="0"/>
    <n v="0"/>
    <n v="0"/>
    <x v="20"/>
    <x v="0"/>
    <s v="Average"/>
    <n v="0"/>
  </r>
  <r>
    <x v="1201"/>
    <x v="1024"/>
    <n v="257"/>
    <x v="31"/>
    <s v="13-03-2015"/>
    <s v="McFarland"/>
    <x v="0"/>
    <n v="0"/>
    <n v="0"/>
    <x v="14"/>
    <x v="0"/>
    <s v="Average"/>
    <n v="0"/>
  </r>
  <r>
    <x v="1202"/>
    <x v="1025"/>
    <n v="578"/>
    <x v="12"/>
    <s v="30-12-2010"/>
    <s v="A&amp;C Black"/>
    <x v="0"/>
    <n v="0"/>
    <n v="0"/>
    <x v="1"/>
    <x v="0"/>
    <s v="Average"/>
    <n v="0"/>
  </r>
  <r>
    <x v="1203"/>
    <x v="1026"/>
    <n v="106"/>
    <x v="5"/>
    <s v="22-05-2014"/>
    <s v="University of Chicago Press"/>
    <x v="0"/>
    <n v="0"/>
    <n v="0"/>
    <x v="8"/>
    <x v="0"/>
    <s v="Average"/>
    <n v="0"/>
  </r>
  <r>
    <x v="1204"/>
    <x v="1027"/>
    <n v="490"/>
    <x v="2"/>
    <s v="02-07-2012"/>
    <s v="Patakis Publishers"/>
    <x v="16"/>
    <n v="0"/>
    <n v="0"/>
    <x v="9"/>
    <x v="0"/>
    <s v="Average"/>
    <n v="0"/>
  </r>
  <r>
    <x v="1205"/>
    <x v="1027"/>
    <n v="574"/>
    <x v="2"/>
    <s v="13-12-2012"/>
    <s v="Patakis Publishers"/>
    <x v="16"/>
    <n v="0"/>
    <n v="0"/>
    <x v="9"/>
    <x v="0"/>
    <s v="Average"/>
    <n v="0"/>
  </r>
  <r>
    <x v="1206"/>
    <x v="1028"/>
    <n v="99"/>
    <x v="8"/>
    <s v="17-12-2012"/>
    <s v="Riverdale Avenue Books LLC"/>
    <x v="0"/>
    <n v="0"/>
    <n v="0"/>
    <x v="9"/>
    <x v="0"/>
    <s v="Average"/>
    <n v="0"/>
  </r>
  <r>
    <x v="1207"/>
    <x v="1029"/>
    <n v="367"/>
    <x v="38"/>
    <s v="12-11-2019"/>
    <s v="NYU Press"/>
    <x v="0"/>
    <n v="0"/>
    <n v="0"/>
    <x v="20"/>
    <x v="0"/>
    <s v="Average"/>
    <n v="0"/>
  </r>
  <r>
    <x v="1208"/>
    <x v="1030"/>
    <n v="192"/>
    <x v="11"/>
    <s v="09-03-2020"/>
    <s v="BRILL"/>
    <x v="0"/>
    <n v="0"/>
    <n v="0"/>
    <x v="17"/>
    <x v="0"/>
    <s v="Average"/>
    <n v="0"/>
  </r>
  <r>
    <x v="381"/>
    <x v="356"/>
    <n v="254"/>
    <x v="0"/>
    <s v="01-01-2015"/>
    <s v="Nordic Academic Press"/>
    <x v="0"/>
    <n v="0"/>
    <n v="0"/>
    <x v="14"/>
    <x v="0"/>
    <s v="Average"/>
    <n v="0"/>
  </r>
  <r>
    <x v="1209"/>
    <x v="273"/>
    <n v="3095"/>
    <x v="32"/>
    <s v="12-12-2016"/>
    <s v="IGI Global"/>
    <x v="0"/>
    <n v="5"/>
    <n v="1"/>
    <x v="18"/>
    <x v="2"/>
    <s v="Average"/>
    <n v="5"/>
  </r>
  <r>
    <x v="1210"/>
    <x v="1031"/>
    <n v="254"/>
    <x v="5"/>
    <s v="05-02-2019"/>
    <s v="University of California Press"/>
    <x v="0"/>
    <n v="0"/>
    <n v="0"/>
    <x v="20"/>
    <x v="0"/>
    <s v="Average"/>
    <n v="0"/>
  </r>
  <r>
    <x v="1211"/>
    <x v="1032"/>
    <n v="245"/>
    <x v="31"/>
    <s v="04-10-2017"/>
    <s v="Springer"/>
    <x v="0"/>
    <n v="1"/>
    <n v="1"/>
    <x v="3"/>
    <x v="0"/>
    <s v="Average"/>
    <n v="1"/>
  </r>
  <r>
    <x v="1212"/>
    <x v="1033"/>
    <n v="156"/>
    <x v="13"/>
    <s v="31-05-2016"/>
    <s v="Univ of California Press"/>
    <x v="0"/>
    <n v="0"/>
    <n v="0"/>
    <x v="18"/>
    <x v="0"/>
    <s v="Average"/>
    <n v="0"/>
  </r>
  <r>
    <x v="1213"/>
    <x v="1034"/>
    <n v="240"/>
    <x v="32"/>
    <s v="15-03-2015"/>
    <s v="University of Iowa Press"/>
    <x v="0"/>
    <n v="0"/>
    <n v="0"/>
    <x v="14"/>
    <x v="0"/>
    <s v="Average"/>
    <n v="0"/>
  </r>
  <r>
    <x v="1214"/>
    <x v="1035"/>
    <n v="186"/>
    <x v="5"/>
    <s v="27-11-2018"/>
    <s v="MIT Press"/>
    <x v="0"/>
    <n v="0"/>
    <n v="0"/>
    <x v="7"/>
    <x v="0"/>
    <s v="Average"/>
    <n v="0"/>
  </r>
  <r>
    <x v="1215"/>
    <x v="1036"/>
    <n v="297"/>
    <x v="0"/>
    <s v="26-06-2014"/>
    <s v="Cambridge Scholars Publishing"/>
    <x v="0"/>
    <n v="0"/>
    <n v="0"/>
    <x v="8"/>
    <x v="0"/>
    <s v="Average"/>
    <n v="0"/>
  </r>
  <r>
    <x v="1216"/>
    <x v="1037"/>
    <n v="226"/>
    <x v="32"/>
    <s v="01-06-2014"/>
    <s v="Technics Publications"/>
    <x v="0"/>
    <n v="0"/>
    <n v="0"/>
    <x v="8"/>
    <x v="0"/>
    <s v="Average"/>
    <n v="0"/>
  </r>
  <r>
    <x v="1217"/>
    <x v="1038"/>
    <n v="321"/>
    <x v="25"/>
    <s v="31-07-2014"/>
    <s v="M.E. Sharpe"/>
    <x v="0"/>
    <n v="0"/>
    <n v="0"/>
    <x v="8"/>
    <x v="0"/>
    <s v="Average"/>
    <n v="0"/>
  </r>
  <r>
    <x v="1218"/>
    <x v="1028"/>
    <n v="79"/>
    <x v="8"/>
    <s v="09-02-2015"/>
    <s v="Riverdale Avenue Books LLC"/>
    <x v="0"/>
    <n v="0"/>
    <n v="0"/>
    <x v="14"/>
    <x v="0"/>
    <s v="Average"/>
    <n v="0"/>
  </r>
  <r>
    <x v="1219"/>
    <x v="1039"/>
    <n v="452"/>
    <x v="5"/>
    <s v="28-04-2016"/>
    <s v="Springer"/>
    <x v="0"/>
    <n v="0"/>
    <n v="0"/>
    <x v="18"/>
    <x v="0"/>
    <s v="Average"/>
    <n v="0"/>
  </r>
  <r>
    <x v="1220"/>
    <x v="1040"/>
    <n v="253"/>
    <x v="31"/>
    <s v="19-09-2019"/>
    <s v="McFarland"/>
    <x v="0"/>
    <n v="0"/>
    <n v="0"/>
    <x v="20"/>
    <x v="0"/>
    <s v="Average"/>
    <n v="0"/>
  </r>
  <r>
    <x v="1221"/>
    <x v="1041"/>
    <n v="385"/>
    <x v="0"/>
    <s v="26-11-2013"/>
    <s v="BenBella Books, Inc."/>
    <x v="0"/>
    <n v="0"/>
    <n v="0"/>
    <x v="28"/>
    <x v="0"/>
    <s v="Average"/>
    <n v="0"/>
  </r>
  <r>
    <x v="1222"/>
    <x v="1028"/>
    <n v="76"/>
    <x v="8"/>
    <s v="09-02-2015"/>
    <s v="Riverdale Avenue Books LLC"/>
    <x v="0"/>
    <n v="0"/>
    <n v="0"/>
    <x v="14"/>
    <x v="0"/>
    <s v="Average"/>
    <n v="0"/>
  </r>
  <r>
    <x v="1223"/>
    <x v="1042"/>
    <n v="318"/>
    <x v="5"/>
    <s v="19-03-2019"/>
    <s v="Princeton University Press"/>
    <x v="0"/>
    <n v="0"/>
    <n v="0"/>
    <x v="20"/>
    <x v="0"/>
    <s v="Average"/>
    <n v="0"/>
  </r>
  <r>
    <x v="1224"/>
    <x v="1043"/>
    <n v="419"/>
    <x v="28"/>
    <s v="17-10-2024"/>
    <s v="Karnac Books"/>
    <x v="0"/>
    <n v="0"/>
    <n v="0"/>
    <x v="16"/>
    <x v="0"/>
    <s v="Average"/>
    <n v="0"/>
  </r>
  <r>
    <x v="1225"/>
    <x v="1044"/>
    <n v="290"/>
    <x v="40"/>
    <s v="22-05-2020"/>
    <s v="IGI Global"/>
    <x v="0"/>
    <n v="0"/>
    <n v="0"/>
    <x v="17"/>
    <x v="0"/>
    <s v="Average"/>
    <n v="0"/>
  </r>
  <r>
    <x v="1226"/>
    <x v="1045"/>
    <n v="430"/>
    <x v="34"/>
    <s v="30-04-2014"/>
    <s v="IGI Global"/>
    <x v="0"/>
    <n v="0"/>
    <n v="0"/>
    <x v="8"/>
    <x v="0"/>
    <s v="Average"/>
    <n v="0"/>
  </r>
  <r>
    <x v="1227"/>
    <x v="1046"/>
    <n v="256"/>
    <x v="31"/>
    <s v="06-11-2017"/>
    <s v="Cambridge Scholars Publishing"/>
    <x v="0"/>
    <n v="0"/>
    <n v="0"/>
    <x v="3"/>
    <x v="0"/>
    <s v="Average"/>
    <n v="0"/>
  </r>
  <r>
    <x v="1228"/>
    <x v="1047"/>
    <n v="146"/>
    <x v="20"/>
    <s v="17-06-2014"/>
    <s v="LED Edizioni Universitarie"/>
    <x v="0"/>
    <n v="0"/>
    <n v="0"/>
    <x v="8"/>
    <x v="0"/>
    <s v="Average"/>
    <n v="0"/>
  </r>
  <r>
    <x v="1229"/>
    <x v="1048"/>
    <n v="149"/>
    <x v="8"/>
    <s v="07-06-2012"/>
    <s v="Bloomsbury Publishing PLC"/>
    <x v="0"/>
    <n v="0"/>
    <n v="0"/>
    <x v="9"/>
    <x v="0"/>
    <s v="Average"/>
    <n v="0"/>
  </r>
  <r>
    <x v="1229"/>
    <x v="1049"/>
    <n v="148"/>
    <x v="8"/>
    <s v="01-01-2012"/>
    <s v="Bloomsbury Publishing PLC"/>
    <x v="0"/>
    <n v="0"/>
    <n v="0"/>
    <x v="9"/>
    <x v="0"/>
    <s v="Average"/>
    <n v="0"/>
  </r>
  <r>
    <x v="1230"/>
    <x v="1050"/>
    <n v="210"/>
    <x v="20"/>
    <s v="01-06-2010"/>
    <s v="ECW Press"/>
    <x v="0"/>
    <n v="4"/>
    <n v="4"/>
    <x v="1"/>
    <x v="2"/>
    <s v="Average"/>
    <n v="16"/>
  </r>
  <r>
    <x v="1229"/>
    <x v="1051"/>
    <n v="116"/>
    <x v="16"/>
    <s v="01-08-2010"/>
    <s v="Twenty-First Century Books"/>
    <x v="0"/>
    <n v="4.5"/>
    <n v="2"/>
    <x v="1"/>
    <x v="2"/>
    <s v="Average"/>
    <n v="9"/>
  </r>
  <r>
    <x v="1231"/>
    <x v="1052"/>
    <n v="279"/>
    <x v="3"/>
    <s v="23-12-2024"/>
    <s v="Rowman &amp; Littlefield"/>
    <x v="0"/>
    <n v="0"/>
    <n v="0"/>
    <x v="16"/>
    <x v="0"/>
    <s v="Average"/>
    <n v="0"/>
  </r>
  <r>
    <x v="1232"/>
    <x v="1053"/>
    <n v="202"/>
    <x v="20"/>
    <s v="15-06-2010"/>
    <s v="Ulysses Press"/>
    <x v="0"/>
    <n v="0"/>
    <n v="0"/>
    <x v="1"/>
    <x v="0"/>
    <s v="Average"/>
    <n v="0"/>
  </r>
  <r>
    <x v="1233"/>
    <x v="1054"/>
    <n v="82"/>
    <x v="12"/>
    <s v="08-12-2013"/>
    <s v="Read the Spirit"/>
    <x v="0"/>
    <n v="0"/>
    <n v="0"/>
    <x v="28"/>
    <x v="0"/>
    <s v="Average"/>
    <n v="0"/>
  </r>
  <r>
    <x v="1234"/>
    <x v="1051"/>
    <n v="52"/>
    <x v="20"/>
    <s v="01-01-2012"/>
    <s v="Lerner Publications"/>
    <x v="0"/>
    <n v="4.5"/>
    <n v="3"/>
    <x v="9"/>
    <x v="2"/>
    <s v="Average"/>
    <n v="13.5"/>
  </r>
  <r>
    <x v="1235"/>
    <x v="1055"/>
    <n v="249"/>
    <x v="20"/>
    <s v="29-06-2015"/>
    <s v="Plexus Publishing"/>
    <x v="0"/>
    <n v="0"/>
    <n v="0"/>
    <x v="14"/>
    <x v="0"/>
    <s v="Average"/>
    <n v="0"/>
  </r>
  <r>
    <x v="1236"/>
    <x v="1056"/>
    <n v="265"/>
    <x v="16"/>
    <s v="04-12-2012"/>
    <s v="BenBella Books, Inc."/>
    <x v="0"/>
    <n v="0"/>
    <n v="0"/>
    <x v="9"/>
    <x v="0"/>
    <s v="Average"/>
    <n v="0"/>
  </r>
  <r>
    <x v="1237"/>
    <x v="1057"/>
    <n v="36"/>
    <x v="20"/>
    <s v="01-01-2013"/>
    <s v="Lerner Publications"/>
    <x v="0"/>
    <n v="0"/>
    <n v="0"/>
    <x v="28"/>
    <x v="0"/>
    <s v="Average"/>
    <n v="0"/>
  </r>
  <r>
    <x v="1238"/>
    <x v="1058"/>
    <n v="251"/>
    <x v="0"/>
    <s v="02-02-2022"/>
    <s v="McFarland"/>
    <x v="0"/>
    <n v="0"/>
    <n v="0"/>
    <x v="13"/>
    <x v="0"/>
    <s v="Average"/>
    <n v="0"/>
  </r>
  <r>
    <x v="1239"/>
    <x v="1059"/>
    <n v="227"/>
    <x v="11"/>
    <s v="24-09-2014"/>
    <s v="Springer"/>
    <x v="0"/>
    <n v="0"/>
    <n v="0"/>
    <x v="8"/>
    <x v="0"/>
    <s v="Average"/>
    <n v="0"/>
  </r>
  <r>
    <x v="1240"/>
    <x v="1060"/>
    <n v="250"/>
    <x v="0"/>
    <s v="14-10-2015"/>
    <s v="McFarland"/>
    <x v="0"/>
    <n v="0"/>
    <n v="0"/>
    <x v="14"/>
    <x v="0"/>
    <s v="Average"/>
    <n v="0"/>
  </r>
  <r>
    <x v="1241"/>
    <x v="1061"/>
    <n v="36"/>
    <x v="20"/>
    <s v="01-01-2018"/>
    <s v="Lerner Publications ™"/>
    <x v="0"/>
    <n v="0"/>
    <n v="0"/>
    <x v="7"/>
    <x v="0"/>
    <s v="Average"/>
    <n v="0"/>
  </r>
  <r>
    <x v="1242"/>
    <x v="1062"/>
    <n v="600"/>
    <x v="47"/>
    <s v="01-11-1998"/>
    <s v="Springer Science &amp; Business Media"/>
    <x v="0"/>
    <n v="0"/>
    <n v="0"/>
    <x v="47"/>
    <x v="0"/>
    <s v="Average"/>
    <n v="0"/>
  </r>
  <r>
    <x v="1243"/>
    <x v="1063"/>
    <n v="427"/>
    <x v="3"/>
    <s v="01-06-2003"/>
    <s v="Eliot Werner Publications/Percheron Press"/>
    <x v="0"/>
    <n v="0"/>
    <n v="0"/>
    <x v="10"/>
    <x v="0"/>
    <s v="Average"/>
    <n v="0"/>
  </r>
  <r>
    <x v="1244"/>
    <x v="1064"/>
    <n v="269"/>
    <x v="17"/>
    <s v="01-01-2016"/>
    <s v="Oxford University Press"/>
    <x v="0"/>
    <n v="0"/>
    <n v="0"/>
    <x v="18"/>
    <x v="0"/>
    <s v="Average"/>
    <n v="0"/>
  </r>
  <r>
    <x v="1245"/>
    <x v="1065"/>
    <n v="873"/>
    <x v="28"/>
    <s v="01-01-1999"/>
    <s v="Elsevier"/>
    <x v="0"/>
    <n v="1"/>
    <n v="5"/>
    <x v="36"/>
    <x v="0"/>
    <s v="Average"/>
    <n v="5"/>
  </r>
  <r>
    <x v="1246"/>
    <x v="1066"/>
    <n v="529"/>
    <x v="17"/>
    <s v="22-06-2023"/>
    <s v="Cambridge University Press"/>
    <x v="0"/>
    <n v="0"/>
    <n v="0"/>
    <x v="26"/>
    <x v="0"/>
    <s v="Average"/>
    <n v="0"/>
  </r>
  <r>
    <x v="1247"/>
    <x v="1067"/>
    <n v="424"/>
    <x v="25"/>
    <s v="20-11-2024"/>
    <s v="SAGE Publications Limited"/>
    <x v="0"/>
    <n v="0"/>
    <n v="0"/>
    <x v="16"/>
    <x v="0"/>
    <s v="Average"/>
    <n v="0"/>
  </r>
  <r>
    <x v="1248"/>
    <x v="1068"/>
    <n v="332"/>
    <x v="7"/>
    <s v="01-01-1997"/>
    <s v="McGill-Queen's Press - MQUP"/>
    <x v="0"/>
    <n v="0"/>
    <n v="0"/>
    <x v="42"/>
    <x v="0"/>
    <s v="Average"/>
    <n v="0"/>
  </r>
  <r>
    <x v="1249"/>
    <x v="1069"/>
    <n v="343"/>
    <x v="47"/>
    <s v="01-01-2005"/>
    <s v="American Mathematical Soc."/>
    <x v="0"/>
    <n v="0"/>
    <n v="0"/>
    <x v="25"/>
    <x v="0"/>
    <s v="Average"/>
    <n v="0"/>
  </r>
  <r>
    <x v="1250"/>
    <x v="1070"/>
    <n v="744"/>
    <x v="15"/>
    <s v="01-06-2003"/>
    <s v="S. Chand Publishing"/>
    <x v="0"/>
    <n v="3.5"/>
    <n v="8"/>
    <x v="10"/>
    <x v="1"/>
    <s v="Average"/>
    <n v="28"/>
  </r>
  <r>
    <x v="1251"/>
    <x v="1071"/>
    <n v="609"/>
    <x v="15"/>
    <s v="06-10-2015"/>
    <s v="Springer"/>
    <x v="0"/>
    <n v="0"/>
    <n v="0"/>
    <x v="14"/>
    <x v="0"/>
    <s v="Average"/>
    <n v="0"/>
  </r>
  <r>
    <x v="1252"/>
    <x v="1072"/>
    <n v="465"/>
    <x v="17"/>
    <s v="22-11-2022"/>
    <s v="Elsevier Health Sciences"/>
    <x v="0"/>
    <n v="0"/>
    <n v="0"/>
    <x v="13"/>
    <x v="0"/>
    <s v="Average"/>
    <n v="0"/>
  </r>
  <r>
    <x v="1253"/>
    <x v="1073"/>
    <n v="754"/>
    <x v="28"/>
    <s v="07-10-2011"/>
    <s v="Academic Press"/>
    <x v="0"/>
    <n v="0"/>
    <n v="0"/>
    <x v="27"/>
    <x v="0"/>
    <s v="Average"/>
    <n v="0"/>
  </r>
  <r>
    <x v="1254"/>
    <x v="1074"/>
    <n v="237"/>
    <x v="6"/>
    <s v="03-09-2012"/>
    <s v="Multilingual Matters"/>
    <x v="0"/>
    <n v="0"/>
    <n v="0"/>
    <x v="9"/>
    <x v="0"/>
    <s v="Average"/>
    <n v="0"/>
  </r>
  <r>
    <x v="1255"/>
    <x v="1075"/>
    <n v="438"/>
    <x v="11"/>
    <s v="01-05-2012"/>
    <s v="IAP"/>
    <x v="0"/>
    <n v="0"/>
    <n v="0"/>
    <x v="9"/>
    <x v="0"/>
    <s v="Average"/>
    <n v="0"/>
  </r>
  <r>
    <x v="1256"/>
    <x v="1076"/>
    <n v="870"/>
    <x v="47"/>
    <s v="01-01-2010"/>
    <s v="S. Chand Publishing"/>
    <x v="0"/>
    <n v="5"/>
    <n v="1"/>
    <x v="1"/>
    <x v="2"/>
    <s v="Average"/>
    <n v="5"/>
  </r>
  <r>
    <x v="1257"/>
    <x v="1077"/>
    <n v="324"/>
    <x v="0"/>
    <s v="22-06-2009"/>
    <s v="BenBella Books, Inc."/>
    <x v="0"/>
    <n v="0"/>
    <n v="0"/>
    <x v="29"/>
    <x v="0"/>
    <s v="Average"/>
    <n v="0"/>
  </r>
  <r>
    <x v="1258"/>
    <x v="1078"/>
    <n v="257"/>
    <x v="0"/>
    <s v="01-01-2005"/>
    <s v="John Wiley &amp; Sons"/>
    <x v="0"/>
    <n v="0"/>
    <n v="0"/>
    <x v="25"/>
    <x v="0"/>
    <s v="Average"/>
    <n v="0"/>
  </r>
  <r>
    <x v="1259"/>
    <x v="1079"/>
    <n v="226"/>
    <x v="9"/>
    <s v="02-11-2010"/>
    <s v="BenBella Books"/>
    <x v="0"/>
    <n v="5"/>
    <n v="1"/>
    <x v="1"/>
    <x v="2"/>
    <s v="Average"/>
    <n v="5"/>
  </r>
  <r>
    <x v="1260"/>
    <x v="1080"/>
    <n v="377"/>
    <x v="12"/>
    <s v="04-05-2011"/>
    <s v="John Wiley &amp; Sons"/>
    <x v="0"/>
    <n v="0"/>
    <n v="0"/>
    <x v="27"/>
    <x v="0"/>
    <s v="Average"/>
    <n v="0"/>
  </r>
  <r>
    <x v="1261"/>
    <x v="684"/>
    <n v="256"/>
    <x v="0"/>
    <s v="01-09-2005"/>
    <s v="Baker Books"/>
    <x v="0"/>
    <n v="0"/>
    <n v="0"/>
    <x v="25"/>
    <x v="0"/>
    <s v="Average"/>
    <n v="0"/>
  </r>
  <r>
    <x v="1262"/>
    <x v="1081"/>
    <n v="176"/>
    <x v="12"/>
    <s v="23-11-2010"/>
    <s v="Canon Press &amp;amp; Book Service"/>
    <x v="0"/>
    <n v="0"/>
    <n v="0"/>
    <x v="1"/>
    <x v="0"/>
    <s v="Average"/>
    <n v="0"/>
  </r>
  <r>
    <x v="1263"/>
    <x v="1082"/>
    <n v="111"/>
    <x v="0"/>
    <s v="01-10-2007"/>
    <s v="Baker Books"/>
    <x v="0"/>
    <n v="3"/>
    <n v="2"/>
    <x v="15"/>
    <x v="1"/>
    <s v="Average"/>
    <n v="6"/>
  </r>
  <r>
    <x v="1264"/>
    <x v="823"/>
    <n v="156"/>
    <x v="2"/>
    <s v="01-01-2018"/>
    <s v="Wyatt North Publishing, LLC"/>
    <x v="0"/>
    <n v="3"/>
    <n v="2"/>
    <x v="7"/>
    <x v="1"/>
    <s v="Average"/>
    <n v="6"/>
  </r>
  <r>
    <x v="1265"/>
    <x v="1083"/>
    <n v="177"/>
    <x v="9"/>
    <s v="01-01-2008"/>
    <s v="Paulist Press"/>
    <x v="0"/>
    <n v="0"/>
    <n v="0"/>
    <x v="5"/>
    <x v="0"/>
    <s v="Average"/>
    <n v="0"/>
  </r>
  <r>
    <x v="1266"/>
    <x v="1084"/>
    <n v="167"/>
    <x v="12"/>
    <s v="08-02-2013"/>
    <s v="Oxford University Press"/>
    <x v="0"/>
    <n v="0"/>
    <n v="0"/>
    <x v="28"/>
    <x v="0"/>
    <s v="Average"/>
    <n v="0"/>
  </r>
  <r>
    <x v="1267"/>
    <x v="1085"/>
    <n v="158"/>
    <x v="8"/>
    <s v="03-09-2009"/>
    <s v="Ignatius Press"/>
    <x v="0"/>
    <n v="0"/>
    <n v="0"/>
    <x v="29"/>
    <x v="0"/>
    <s v="Average"/>
    <n v="0"/>
  </r>
  <r>
    <x v="1267"/>
    <x v="1086"/>
    <n v="140"/>
    <x v="8"/>
    <s v="01-01-2001"/>
    <s v="Paulist Press"/>
    <x v="0"/>
    <n v="0"/>
    <n v="0"/>
    <x v="32"/>
    <x v="0"/>
    <s v="Average"/>
    <n v="0"/>
  </r>
  <r>
    <x v="1268"/>
    <x v="1087"/>
    <n v="142"/>
    <x v="9"/>
    <s v="04-02-2025"/>
    <s v="Moody Publishers"/>
    <x v="0"/>
    <n v="0"/>
    <n v="0"/>
    <x v="34"/>
    <x v="0"/>
    <s v="Average"/>
    <n v="0"/>
  </r>
  <r>
    <x v="1269"/>
    <x v="828"/>
    <n v="346"/>
    <x v="9"/>
    <s v="23-03-2011"/>
    <s v="Broadview Press"/>
    <x v="0"/>
    <n v="0"/>
    <n v="0"/>
    <x v="27"/>
    <x v="0"/>
    <s v="Average"/>
    <n v="0"/>
  </r>
  <r>
    <x v="1270"/>
    <x v="828"/>
    <n v="93"/>
    <x v="9"/>
    <s v="26-09-2017"/>
    <s v="Applesauce Press"/>
    <x v="0"/>
    <n v="0"/>
    <n v="0"/>
    <x v="3"/>
    <x v="0"/>
    <s v="Average"/>
    <n v="0"/>
  </r>
  <r>
    <x v="1271"/>
    <x v="828"/>
    <n v="89"/>
    <x v="49"/>
    <s v="01-08-2016"/>
    <s v="Vij Books India Pvt Ltd"/>
    <x v="0"/>
    <n v="0"/>
    <n v="0"/>
    <x v="18"/>
    <x v="0"/>
    <s v="Average"/>
    <n v="0"/>
  </r>
  <r>
    <x v="1272"/>
    <x v="1088"/>
    <n v="447"/>
    <x v="2"/>
    <s v="05-10-2023"/>
    <s v="Atlantic Books"/>
    <x v="0"/>
    <n v="0"/>
    <n v="0"/>
    <x v="26"/>
    <x v="0"/>
    <s v="Average"/>
    <n v="0"/>
  </r>
  <r>
    <x v="1273"/>
    <x v="1089"/>
    <n v="1230"/>
    <x v="2"/>
    <s v="05-11-2015"/>
    <s v="Fantasious"/>
    <x v="2"/>
    <n v="0"/>
    <n v="0"/>
    <x v="14"/>
    <x v="0"/>
    <s v="Average"/>
    <n v="0"/>
  </r>
  <r>
    <x v="1274"/>
    <x v="1090"/>
    <n v="819"/>
    <x v="2"/>
    <s v="09-08-2023"/>
    <s v="PLAZA JANÉS"/>
    <x v="11"/>
    <n v="0"/>
    <n v="0"/>
    <x v="26"/>
    <x v="0"/>
    <s v="Average"/>
    <n v="0"/>
  </r>
  <r>
    <x v="1275"/>
    <x v="1089"/>
    <n v="87"/>
    <x v="2"/>
    <s v="01-06-2016"/>
    <s v="Natur &amp; Kultur"/>
    <x v="17"/>
    <n v="0"/>
    <n v="0"/>
    <x v="18"/>
    <x v="0"/>
    <s v="Average"/>
    <n v="0"/>
  </r>
  <r>
    <x v="1276"/>
    <x v="545"/>
    <n v="1124"/>
    <x v="2"/>
    <s v="22-06-2023"/>
    <s v="PLAZA &amp; JANÉS"/>
    <x v="11"/>
    <n v="0"/>
    <n v="0"/>
    <x v="26"/>
    <x v="0"/>
    <s v="Average"/>
    <n v="0"/>
  </r>
  <r>
    <x v="1277"/>
    <x v="1091"/>
    <n v="587"/>
    <x v="2"/>
    <s v="01-01-2013"/>
    <s v="Leya"/>
    <x v="6"/>
    <n v="0"/>
    <n v="0"/>
    <x v="28"/>
    <x v="0"/>
    <s v="Average"/>
    <n v="0"/>
  </r>
  <r>
    <x v="1278"/>
    <x v="1092"/>
    <n v="2279"/>
    <x v="2"/>
    <s v="28-07-2018"/>
    <s v="은행나무"/>
    <x v="18"/>
    <n v="0"/>
    <n v="0"/>
    <x v="7"/>
    <x v="0"/>
    <s v="Average"/>
    <n v="0"/>
  </r>
  <r>
    <x v="1279"/>
    <x v="1093"/>
    <n v="256"/>
    <x v="72"/>
    <s v="08-09-2020"/>
    <s v="Harriman House"/>
    <x v="0"/>
    <n v="4.3"/>
    <n v="250000"/>
    <x v="17"/>
    <x v="2"/>
    <s v="Average"/>
    <n v="1075000"/>
  </r>
  <r>
    <x v="1280"/>
    <x v="1094"/>
    <n v="336"/>
    <x v="72"/>
    <s v="01-04-1997"/>
    <s v="Warner Books"/>
    <x v="0"/>
    <n v="4.0999999999999996"/>
    <n v="1000000"/>
    <x v="42"/>
    <x v="2"/>
    <s v="Average"/>
    <n v="4099999.9999999995"/>
  </r>
  <r>
    <x v="1281"/>
    <x v="1095"/>
    <n v="368"/>
    <x v="72"/>
    <s v="01-01-1992"/>
    <s v="Penguin Books"/>
    <x v="0"/>
    <n v="4"/>
    <n v="150000"/>
    <x v="48"/>
    <x v="2"/>
    <s v="Average"/>
    <n v="600000"/>
  </r>
  <r>
    <x v="1282"/>
    <x v="1096"/>
    <n v="352"/>
    <x v="72"/>
    <s v="23-03-2009"/>
    <s v="Workman Publishing"/>
    <x v="0"/>
    <n v="4.2"/>
    <n v="200000"/>
    <x v="29"/>
    <x v="2"/>
    <s v="Average"/>
    <n v="840000"/>
  </r>
  <r>
    <x v="1283"/>
    <x v="1097"/>
    <n v="272"/>
    <x v="72"/>
    <s v="01-10-1996"/>
    <s v="Taylor Trade Publishing"/>
    <x v="0"/>
    <n v="4.0999999999999996"/>
    <n v="300000"/>
    <x v="0"/>
    <x v="2"/>
    <s v="Average"/>
    <n v="1230000"/>
  </r>
  <r>
    <x v="1284"/>
    <x v="1098"/>
    <n v="349"/>
    <x v="72"/>
    <s v="17-09-2003"/>
    <s v="Thomas Nelson"/>
    <x v="0"/>
    <n v="4.2"/>
    <n v="400000"/>
    <x v="10"/>
    <x v="2"/>
    <s v="Average"/>
    <n v="1680000"/>
  </r>
  <r>
    <x v="1285"/>
    <x v="1099"/>
    <n v="238"/>
    <x v="39"/>
    <s v="21-08-1937"/>
    <s v="The Ralston Society"/>
    <x v="0"/>
    <n v="4.3"/>
    <n v="600000"/>
    <x v="60"/>
    <x v="2"/>
    <s v="Average"/>
    <n v="2580000"/>
  </r>
  <r>
    <x v="1286"/>
    <x v="1100"/>
    <n v="640"/>
    <x v="73"/>
    <s v="01-01-1949"/>
    <s v="Harper &amp; Brothers"/>
    <x v="0"/>
    <n v="4.3"/>
    <n v="200000"/>
    <x v="61"/>
    <x v="2"/>
    <s v="Average"/>
    <n v="860000"/>
  </r>
  <r>
    <x v="1287"/>
    <x v="1101"/>
    <n v="320"/>
    <x v="39"/>
    <s v="16-10-2018"/>
    <s v="Avery"/>
    <x v="0"/>
    <n v="4.4000000000000004"/>
    <n v="700000"/>
    <x v="7"/>
    <x v="2"/>
    <s v="Average"/>
    <n v="3080000.0000000005"/>
  </r>
  <r>
    <x v="1288"/>
    <x v="1102"/>
    <n v="144"/>
    <x v="72"/>
    <s v="01-01-1926"/>
    <s v="Penguin Books"/>
    <x v="0"/>
    <n v="4.3"/>
    <n v="400000"/>
    <x v="62"/>
    <x v="2"/>
    <s v="Average"/>
    <n v="1720000"/>
  </r>
  <r>
    <x v="1289"/>
    <x v="1103"/>
    <n v="464"/>
    <x v="73"/>
    <s v="01-01-1973"/>
    <s v="W.W. Norton &amp; Company"/>
    <x v="0"/>
    <n v="4.0999999999999996"/>
    <n v="100000"/>
    <x v="63"/>
    <x v="2"/>
    <s v="Average"/>
    <n v="409999.99999999994"/>
  </r>
  <r>
    <x v="1290"/>
    <x v="1104"/>
    <n v="288"/>
    <x v="39"/>
    <s v="18-04-2017"/>
    <s v="Viking"/>
    <x v="0"/>
    <n v="4.0999999999999996"/>
    <n v="120000"/>
    <x v="3"/>
    <x v="2"/>
    <s v="Average"/>
    <n v="491999.99999999994"/>
  </r>
  <r>
    <x v="1291"/>
    <x v="1105"/>
    <n v="286"/>
    <x v="72"/>
    <s v="18-06-2016"/>
    <s v="CreateSpace"/>
    <x v="0"/>
    <n v="4.4000000000000004"/>
    <n v="80000"/>
    <x v="18"/>
    <x v="2"/>
    <s v="Average"/>
    <n v="352000"/>
  </r>
  <r>
    <x v="1292"/>
    <x v="1106"/>
    <n v="368"/>
    <x v="72"/>
    <s v="30-03-2021"/>
    <s v="Rodale Books"/>
    <x v="0"/>
    <n v="4.4000000000000004"/>
    <n v="50000"/>
    <x v="12"/>
    <x v="2"/>
    <s v="Average"/>
    <n v="220000.00000000003"/>
  </r>
  <r>
    <x v="1293"/>
    <x v="1107"/>
    <n v="432"/>
    <x v="39"/>
    <s v="15-08-1989"/>
    <s v="Free Press"/>
    <x v="0"/>
    <n v="4.2"/>
    <n v="700000"/>
    <x v="43"/>
    <x v="2"/>
    <s v="Average"/>
    <n v="2940000"/>
  </r>
  <r>
    <x v="1294"/>
    <x v="1108"/>
    <n v="336"/>
    <x v="72"/>
    <s v="04-01-2011"/>
    <s v="Viperion Publishing"/>
    <x v="0"/>
    <n v="4.3"/>
    <n v="90000"/>
    <x v="27"/>
    <x v="2"/>
    <s v="Average"/>
    <n v="387000"/>
  </r>
  <r>
    <x v="1295"/>
    <x v="1109"/>
    <n v="288"/>
    <x v="72"/>
    <s v="02-05-2017"/>
    <s v="TarcherPerigee"/>
    <x v="0"/>
    <n v="4"/>
    <n v="60000"/>
    <x v="3"/>
    <x v="2"/>
    <s v="Average"/>
    <n v="240000"/>
  </r>
  <r>
    <x v="1296"/>
    <x v="1110"/>
    <n v="296"/>
    <x v="72"/>
    <s v="21-11-2016"/>
    <s v="Wiley"/>
    <x v="0"/>
    <n v="4.4000000000000004"/>
    <n v="100000"/>
    <x v="18"/>
    <x v="2"/>
    <s v="Average"/>
    <n v="440000.00000000006"/>
  </r>
  <r>
    <x v="1297"/>
    <x v="1111"/>
    <n v="336"/>
    <x v="72"/>
    <s v="06-04-1999"/>
    <s v="Wellspring/Ballantine"/>
    <x v="0"/>
    <n v="4.0999999999999996"/>
    <n v="30000"/>
    <x v="36"/>
    <x v="2"/>
    <s v="Average"/>
    <n v="122999.99999999999"/>
  </r>
  <r>
    <x v="1298"/>
    <x v="1112"/>
    <n v="368"/>
    <x v="73"/>
    <s v="23-08-2001"/>
    <s v="Random House"/>
    <x v="0"/>
    <n v="4.0999999999999996"/>
    <n v="80000"/>
    <x v="32"/>
    <x v="2"/>
    <s v="Average"/>
    <n v="328000"/>
  </r>
  <r>
    <x v="1299"/>
    <x v="1113"/>
    <n v="384"/>
    <x v="72"/>
    <s v="01-02-2022"/>
    <s v="Penguin Books"/>
    <x v="0"/>
    <n v="4.2"/>
    <n v="25000"/>
    <x v="13"/>
    <x v="2"/>
    <s v="Average"/>
    <n v="105000"/>
  </r>
  <r>
    <x v="1300"/>
    <x v="1114"/>
    <n v="208"/>
    <x v="72"/>
    <s v="07-08-2018"/>
    <s v="Currency"/>
    <x v="0"/>
    <n v="4"/>
    <n v="20000"/>
    <x v="7"/>
    <x v="2"/>
    <s v="Average"/>
    <n v="80000"/>
  </r>
  <r>
    <x v="1301"/>
    <x v="1115"/>
    <n v="336"/>
    <x v="72"/>
    <s v="26-12-2023"/>
    <s v="Portfolio"/>
    <x v="0"/>
    <n v="4.3"/>
    <n v="30000"/>
    <x v="26"/>
    <x v="2"/>
    <s v="Average"/>
    <n v="129000"/>
  </r>
  <r>
    <x v="1302"/>
    <x v="1116"/>
    <n v="288"/>
    <x v="72"/>
    <s v="30-04-2024"/>
    <s v="Grand Central Publishing"/>
    <x v="0"/>
    <n v="4.2"/>
    <n v="15000"/>
    <x v="16"/>
    <x v="2"/>
    <s v="Average"/>
    <n v="63000"/>
  </r>
  <r>
    <x v="1303"/>
    <x v="1117"/>
    <n v="336"/>
    <x v="73"/>
    <s v="18-08-2006"/>
    <s v="Wiley"/>
    <x v="0"/>
    <n v="4.3"/>
    <n v="50000"/>
    <x v="24"/>
    <x v="2"/>
    <s v="Average"/>
    <n v="215000"/>
  </r>
  <r>
    <x v="1304"/>
    <x v="1118"/>
    <n v="224"/>
    <x v="72"/>
    <s v="31-03-2015"/>
    <s v="Portfolio"/>
    <x v="0"/>
    <n v="4"/>
    <n v="30000"/>
    <x v="14"/>
    <x v="2"/>
    <s v="Average"/>
    <n v="120000"/>
  </r>
  <r>
    <x v="1305"/>
    <x v="1119"/>
    <n v="432"/>
    <x v="73"/>
    <s v="07-04-2005"/>
    <s v="McGraw-Hill Education"/>
    <x v="0"/>
    <n v="4.2"/>
    <n v="40000"/>
    <x v="25"/>
    <x v="2"/>
    <s v="Average"/>
    <n v="168000"/>
  </r>
  <r>
    <x v="1306"/>
    <x v="1120"/>
    <n v="208"/>
    <x v="72"/>
    <s v="10-07-2018"/>
    <s v="Harper Business"/>
    <x v="0"/>
    <n v="4.2"/>
    <n v="20000"/>
    <x v="7"/>
    <x v="2"/>
    <s v="Average"/>
    <n v="84000"/>
  </r>
  <r>
    <x v="1307"/>
    <x v="1121"/>
    <n v="688"/>
    <x v="72"/>
    <s v="18-11-2014"/>
    <s v="Simon &amp; Schuster"/>
    <x v="0"/>
    <n v="4.0999999999999996"/>
    <n v="100000"/>
    <x v="8"/>
    <x v="2"/>
    <s v="Average"/>
    <n v="409999.99999999994"/>
  </r>
  <r>
    <x v="1308"/>
    <x v="1122"/>
    <n v="272"/>
    <x v="72"/>
    <s v="01-01-2004"/>
    <s v="Broadway Books"/>
    <x v="0"/>
    <n v="4"/>
    <n v="80000"/>
    <x v="22"/>
    <x v="2"/>
    <s v="Average"/>
    <n v="320000"/>
  </r>
  <r>
    <x v="1309"/>
    <x v="1123"/>
    <n v="304"/>
    <x v="73"/>
    <s v="05-03-2007"/>
    <s v="Wiley"/>
    <x v="0"/>
    <n v="4.3"/>
    <n v="60000"/>
    <x v="15"/>
    <x v="2"/>
    <s v="Average"/>
    <n v="258000"/>
  </r>
  <r>
    <x v="1310"/>
    <x v="1124"/>
    <n v="320"/>
    <x v="39"/>
    <s v="28-02-2006"/>
    <s v="Random House"/>
    <x v="0"/>
    <n v="4.2"/>
    <n v="300000"/>
    <x v="24"/>
    <x v="2"/>
    <s v="Average"/>
    <n v="1260000"/>
  </r>
  <r>
    <x v="1311"/>
    <x v="1125"/>
    <n v="208"/>
    <x v="72"/>
    <s v="02-01-2018"/>
    <s v="Holt Paperbacks"/>
    <x v="0"/>
    <n v="4"/>
    <n v="40000"/>
    <x v="7"/>
    <x v="2"/>
    <s v="Average"/>
    <n v="160000"/>
  </r>
  <r>
    <x v="1312"/>
    <x v="1126"/>
    <n v="224"/>
    <x v="72"/>
    <s v="01-01-1989"/>
    <s v="Stoddart Publishing"/>
    <x v="0"/>
    <n v="4.0999999999999996"/>
    <n v="70000"/>
    <x v="43"/>
    <x v="2"/>
    <s v="Average"/>
    <n v="287000"/>
  </r>
  <r>
    <x v="1313"/>
    <x v="1127"/>
    <n v="112"/>
    <x v="39"/>
    <s v="01-01-1910"/>
    <s v="Elizabeth Towne"/>
    <x v="0"/>
    <n v="4.2"/>
    <n v="100000"/>
    <x v="19"/>
    <x v="2"/>
    <s v="Average"/>
    <n v="420000"/>
  </r>
  <r>
    <x v="1314"/>
    <x v="1128"/>
    <n v="400"/>
    <x v="72"/>
    <s v="01-03-2005"/>
    <s v="Riverhead Books"/>
    <x v="0"/>
    <n v="4"/>
    <n v="60000"/>
    <x v="25"/>
    <x v="2"/>
    <s v="Average"/>
    <n v="240000"/>
  </r>
  <r>
    <x v="1315"/>
    <x v="1129"/>
    <n v="192"/>
    <x v="39"/>
    <s v="01-10-2010"/>
    <s v="Vanguard Press"/>
    <x v="0"/>
    <n v="4.3"/>
    <n v="90000"/>
    <x v="1"/>
    <x v="2"/>
    <s v="Average"/>
    <n v="387000"/>
  </r>
  <r>
    <x v="1316"/>
    <x v="1130"/>
    <n v="416"/>
    <x v="39"/>
    <s v="24-04-2007"/>
    <s v="Crown Publishing"/>
    <x v="0"/>
    <n v="4.0999999999999996"/>
    <n v="400000"/>
    <x v="15"/>
    <x v="2"/>
    <s v="Average"/>
    <n v="1639999.9999999998"/>
  </r>
  <r>
    <x v="1317"/>
    <x v="1122"/>
    <n v="352"/>
    <x v="72"/>
    <s v="01-01-1999"/>
    <s v="Broadway Books"/>
    <x v="0"/>
    <n v="4.0999999999999996"/>
    <n v="50000"/>
    <x v="36"/>
    <x v="2"/>
    <s v="Average"/>
    <n v="204999.99999999997"/>
  </r>
  <r>
    <x v="1318"/>
    <x v="1131"/>
    <n v="416"/>
    <x v="72"/>
    <s v="01-02-2000"/>
    <s v="Andrews McMeel Publishing"/>
    <x v="0"/>
    <n v="4.2"/>
    <n v="70000"/>
    <x v="23"/>
    <x v="2"/>
    <s v="Average"/>
    <n v="294000"/>
  </r>
  <r>
    <x v="1319"/>
    <x v="1132"/>
    <n v="304"/>
    <x v="39"/>
    <s v="19-02-2013"/>
    <s v="Palgrave Macmillan"/>
    <x v="0"/>
    <n v="4.3"/>
    <n v="20000"/>
    <x v="28"/>
    <x v="2"/>
    <s v="Average"/>
    <n v="86000"/>
  </r>
  <r>
    <x v="1320"/>
    <x v="1118"/>
    <n v="208"/>
    <x v="72"/>
    <s v="03-01-2012"/>
    <s v="Portfolio"/>
    <x v="0"/>
    <n v="4"/>
    <n v="25000"/>
    <x v="9"/>
    <x v="2"/>
    <s v="Average"/>
    <n v="100000"/>
  </r>
  <r>
    <x v="1321"/>
    <x v="1133"/>
    <n v="256"/>
    <x v="72"/>
    <s v="05-03-2024"/>
    <s v="Amistad"/>
    <x v="0"/>
    <n v="4.2"/>
    <n v="15000"/>
    <x v="16"/>
    <x v="2"/>
    <s v="Average"/>
    <n v="63000"/>
  </r>
  <r>
    <x v="1322"/>
    <x v="1134"/>
    <n v="304"/>
    <x v="72"/>
    <s v="14-06-2016"/>
    <s v="Parallax Press"/>
    <x v="0"/>
    <n v="4.0999999999999996"/>
    <n v="20000"/>
    <x v="18"/>
    <x v="2"/>
    <s v="Average"/>
    <n v="82000"/>
  </r>
  <r>
    <x v="1323"/>
    <x v="1135"/>
    <n v="256"/>
    <x v="72"/>
    <s v="05-01-2016"/>
    <s v="Portfolio"/>
    <x v="0"/>
    <n v="4"/>
    <n v="30000"/>
    <x v="18"/>
    <x v="2"/>
    <s v="Average"/>
    <n v="120000"/>
  </r>
  <r>
    <x v="1324"/>
    <x v="1128"/>
    <n v="608"/>
    <x v="72"/>
    <s v="01-04-2001"/>
    <s v="Riverhead Books"/>
    <x v="0"/>
    <n v="4.0999999999999996"/>
    <n v="50000"/>
    <x v="32"/>
    <x v="2"/>
    <s v="Average"/>
    <n v="204999.99999999997"/>
  </r>
  <r>
    <x v="1325"/>
    <x v="1136"/>
    <n v="512"/>
    <x v="39"/>
    <s v="28-12-2004"/>
    <s v="HarperCollins"/>
    <x v="0"/>
    <n v="4.2"/>
    <n v="100000"/>
    <x v="22"/>
    <x v="2"/>
    <s v="Average"/>
    <n v="420000"/>
  </r>
  <r>
    <x v="1326"/>
    <x v="1128"/>
    <n v="448"/>
    <x v="72"/>
    <s v="01-03-1999"/>
    <s v="Riverhead Books"/>
    <x v="0"/>
    <n v="4"/>
    <n v="40000"/>
    <x v="36"/>
    <x v="2"/>
    <s v="Average"/>
    <n v="160000"/>
  </r>
  <r>
    <x v="1327"/>
    <x v="1137"/>
    <n v="256"/>
    <x v="72"/>
    <s v="16-05-2023"/>
    <s v="Adams Media"/>
    <x v="0"/>
    <n v="4.2"/>
    <n v="20000"/>
    <x v="26"/>
    <x v="2"/>
    <s v="Average"/>
    <n v="8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848273-0EDB-46BB-B44B-5D84561673C8}" name="ptPub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4:G69" firstHeaderRow="1" firstDataRow="1" firstDataCol="1"/>
  <pivotFields count="13">
    <pivotField dataField="1" showAll="0"/>
    <pivotField showAll="0"/>
    <pivotField showAll="0"/>
    <pivotField showAll="0"/>
    <pivotField showAll="0"/>
    <pivotField showAll="0"/>
    <pivotField showAll="0"/>
    <pivotField showAll="0"/>
    <pivotField showAll="0"/>
    <pivotField axis="axisRow" showAll="0">
      <items count="171">
        <item m="1" x="64"/>
        <item m="1" x="114"/>
        <item m="1" x="151"/>
        <item m="1" x="166"/>
        <item m="1" x="162"/>
        <item m="1" x="167"/>
        <item m="1" x="165"/>
        <item m="1" x="156"/>
        <item m="1" x="164"/>
        <item m="1" x="163"/>
        <item m="1" x="148"/>
        <item m="1" x="154"/>
        <item m="1" x="118"/>
        <item m="1" x="117"/>
        <item m="1" x="157"/>
        <item m="1" x="116"/>
        <item m="1" x="150"/>
        <item m="1" x="133"/>
        <item m="1" x="168"/>
        <item m="1" x="115"/>
        <item m="1" x="169"/>
        <item m="1" x="141"/>
        <item m="1" x="158"/>
        <item m="1" x="160"/>
        <item m="1" x="159"/>
        <item m="1" x="155"/>
        <item m="1" x="161"/>
        <item m="1" x="103"/>
        <item m="1" x="81"/>
        <item m="1" x="109"/>
        <item m="1" x="94"/>
        <item m="1" x="113"/>
        <item m="1" x="149"/>
        <item m="1" x="97"/>
        <item m="1" x="125"/>
        <item m="1" x="105"/>
        <item m="1" x="144"/>
        <item m="1" x="124"/>
        <item m="1" x="104"/>
        <item m="1" x="71"/>
        <item m="1" x="152"/>
        <item m="1" x="65"/>
        <item m="1" x="101"/>
        <item x="54"/>
        <item x="31"/>
        <item m="1" x="112"/>
        <item m="1" x="77"/>
        <item m="1" x="73"/>
        <item m="1" x="119"/>
        <item m="1" x="123"/>
        <item x="52"/>
        <item m="1" x="76"/>
        <item m="1" x="102"/>
        <item m="1" x="67"/>
        <item m="1" x="122"/>
        <item m="1" x="106"/>
        <item x="21"/>
        <item m="1" x="100"/>
        <item x="59"/>
        <item m="1" x="68"/>
        <item m="1" x="111"/>
        <item m="1" x="79"/>
        <item m="1" x="108"/>
        <item x="40"/>
        <item m="1" x="74"/>
        <item m="1" x="70"/>
        <item x="19"/>
        <item x="44"/>
        <item m="1" x="98"/>
        <item m="1" x="66"/>
        <item m="1" x="69"/>
        <item m="1" x="138"/>
        <item m="1" x="146"/>
        <item m="1" x="128"/>
        <item m="1" x="78"/>
        <item m="1" x="75"/>
        <item m="1" x="136"/>
        <item m="1" x="89"/>
        <item m="1" x="145"/>
        <item x="62"/>
        <item m="1" x="121"/>
        <item m="1" x="139"/>
        <item m="1" x="107"/>
        <item m="1" x="140"/>
        <item m="1" x="80"/>
        <item m="1" x="130"/>
        <item x="60"/>
        <item m="1" x="88"/>
        <item m="1" x="153"/>
        <item m="1" x="96"/>
        <item m="1" x="91"/>
        <item m="1" x="131"/>
        <item m="1" x="132"/>
        <item m="1" x="92"/>
        <item m="1" x="134"/>
        <item x="61"/>
        <item m="1" x="82"/>
        <item m="1" x="143"/>
        <item m="1" x="137"/>
        <item m="1" x="129"/>
        <item m="1" x="120"/>
        <item m="1" x="127"/>
        <item m="1" x="147"/>
        <item m="1" x="126"/>
        <item x="56"/>
        <item m="1" x="142"/>
        <item m="1" x="87"/>
        <item m="1" x="83"/>
        <item m="1" x="86"/>
        <item m="1" x="90"/>
        <item m="1" x="110"/>
        <item x="37"/>
        <item m="1" x="93"/>
        <item x="58"/>
        <item x="51"/>
        <item x="41"/>
        <item x="35"/>
        <item x="63"/>
        <item m="1" x="135"/>
        <item m="1" x="84"/>
        <item m="1" x="85"/>
        <item x="57"/>
        <item x="39"/>
        <item m="1" x="99"/>
        <item x="53"/>
        <item m="1" x="95"/>
        <item x="49"/>
        <item x="38"/>
        <item m="1" x="72"/>
        <item x="2"/>
        <item x="45"/>
        <item x="46"/>
        <item x="11"/>
        <item x="43"/>
        <item x="4"/>
        <item x="55"/>
        <item x="48"/>
        <item x="33"/>
        <item x="30"/>
        <item x="50"/>
        <item x="0"/>
        <item x="42"/>
        <item x="47"/>
        <item x="36"/>
        <item x="23"/>
        <item x="32"/>
        <item x="6"/>
        <item x="10"/>
        <item x="22"/>
        <item x="25"/>
        <item x="24"/>
        <item x="15"/>
        <item x="5"/>
        <item x="29"/>
        <item x="1"/>
        <item x="27"/>
        <item x="9"/>
        <item x="28"/>
        <item x="8"/>
        <item x="14"/>
        <item x="18"/>
        <item x="3"/>
        <item x="7"/>
        <item x="20"/>
        <item x="17"/>
        <item x="12"/>
        <item x="13"/>
        <item x="26"/>
        <item x="16"/>
        <item x="34"/>
        <item t="default"/>
      </items>
    </pivotField>
    <pivotField showAll="0"/>
    <pivotField showAll="0"/>
    <pivotField showAll="0"/>
  </pivotFields>
  <rowFields count="1">
    <field x="9"/>
  </rowFields>
  <rowItems count="65">
    <i>
      <x v="43"/>
    </i>
    <i>
      <x v="44"/>
    </i>
    <i>
      <x v="50"/>
    </i>
    <i>
      <x v="56"/>
    </i>
    <i>
      <x v="58"/>
    </i>
    <i>
      <x v="63"/>
    </i>
    <i>
      <x v="66"/>
    </i>
    <i>
      <x v="67"/>
    </i>
    <i>
      <x v="79"/>
    </i>
    <i>
      <x v="86"/>
    </i>
    <i>
      <x v="95"/>
    </i>
    <i>
      <x v="104"/>
    </i>
    <i>
      <x v="111"/>
    </i>
    <i>
      <x v="113"/>
    </i>
    <i>
      <x v="114"/>
    </i>
    <i>
      <x v="115"/>
    </i>
    <i>
      <x v="116"/>
    </i>
    <i>
      <x v="117"/>
    </i>
    <i>
      <x v="121"/>
    </i>
    <i>
      <x v="122"/>
    </i>
    <i>
      <x v="124"/>
    </i>
    <i>
      <x v="126"/>
    </i>
    <i>
      <x v="127"/>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t="grand">
      <x/>
    </i>
  </rowItems>
  <colItems count="1">
    <i/>
  </colItems>
  <dataFields count="1">
    <dataField name="Count of TITLE" fld="0" subtotal="count"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D82AF-F221-4413-96D7-26D530A5D93B}" name="ptBooksBy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9" firstHeaderRow="1" firstDataRow="1" firstDataCol="1"/>
  <pivotFields count="13">
    <pivotField dataField="1" showAll="0"/>
    <pivotField showAll="0"/>
    <pivotField showAll="0"/>
    <pivotField axis="axisRow" showAll="0">
      <items count="265">
        <item m="1" x="135"/>
        <item m="1" x="119"/>
        <item x="4"/>
        <item m="1" x="128"/>
        <item m="1" x="122"/>
        <item m="1" x="259"/>
        <item m="1" x="207"/>
        <item m="1" x="192"/>
        <item m="1" x="205"/>
        <item m="1" x="110"/>
        <item m="1" x="206"/>
        <item x="61"/>
        <item m="1" x="233"/>
        <item m="1" x="162"/>
        <item m="1" x="147"/>
        <item m="1" x="129"/>
        <item m="1" x="246"/>
        <item m="1" x="107"/>
        <item m="1" x="234"/>
        <item m="1" x="249"/>
        <item m="1" x="97"/>
        <item m="1" x="201"/>
        <item x="51"/>
        <item m="1" x="194"/>
        <item m="1" x="108"/>
        <item m="1" x="245"/>
        <item x="35"/>
        <item m="1" x="74"/>
        <item m="1" x="151"/>
        <item x="33"/>
        <item x="30"/>
        <item m="1" x="191"/>
        <item m="1" x="258"/>
        <item m="1" x="216"/>
        <item x="71"/>
        <item x="44"/>
        <item m="1" x="178"/>
        <item m="1" x="200"/>
        <item m="1" x="214"/>
        <item m="1" x="96"/>
        <item x="8"/>
        <item x="21"/>
        <item m="1" x="241"/>
        <item m="1" x="149"/>
        <item x="25"/>
        <item m="1" x="170"/>
        <item x="22"/>
        <item x="52"/>
        <item m="1" x="90"/>
        <item m="1" x="86"/>
        <item m="1" x="85"/>
        <item x="65"/>
        <item m="1" x="102"/>
        <item m="1" x="137"/>
        <item m="1" x="225"/>
        <item m="1" x="248"/>
        <item m="1" x="180"/>
        <item m="1" x="221"/>
        <item m="1" x="220"/>
        <item x="55"/>
        <item x="64"/>
        <item m="1" x="215"/>
        <item m="1" x="218"/>
        <item x="66"/>
        <item x="53"/>
        <item m="1" x="213"/>
        <item m="1" x="101"/>
        <item m="1" x="250"/>
        <item m="1" x="160"/>
        <item m="1" x="210"/>
        <item m="1" x="189"/>
        <item m="1" x="118"/>
        <item m="1" x="242"/>
        <item m="1" x="202"/>
        <item m="1" x="177"/>
        <item x="29"/>
        <item m="1" x="164"/>
        <item m="1" x="140"/>
        <item m="1" x="209"/>
        <item m="1" x="182"/>
        <item x="32"/>
        <item m="1" x="163"/>
        <item x="41"/>
        <item m="1" x="145"/>
        <item m="1" x="154"/>
        <item x="42"/>
        <item m="1" x="153"/>
        <item m="1" x="237"/>
        <item m="1" x="231"/>
        <item x="54"/>
        <item x="68"/>
        <item m="1" x="232"/>
        <item x="56"/>
        <item m="1" x="253"/>
        <item x="50"/>
        <item m="1" x="103"/>
        <item m="1" x="169"/>
        <item m="1" x="172"/>
        <item m="1" x="165"/>
        <item m="1" x="247"/>
        <item x="49"/>
        <item m="1" x="203"/>
        <item m="1" x="240"/>
        <item m="1" x="224"/>
        <item m="1" x="219"/>
        <item x="57"/>
        <item m="1" x="144"/>
        <item m="1" x="141"/>
        <item x="11"/>
        <item m="1" x="183"/>
        <item m="1" x="188"/>
        <item m="1" x="184"/>
        <item m="1" x="156"/>
        <item x="63"/>
        <item m="1" x="91"/>
        <item m="1" x="187"/>
        <item m="1" x="199"/>
        <item m="1" x="204"/>
        <item m="1" x="77"/>
        <item m="1" x="193"/>
        <item x="60"/>
        <item m="1" x="195"/>
        <item m="1" x="104"/>
        <item m="1" x="181"/>
        <item m="1" x="142"/>
        <item m="1" x="227"/>
        <item x="37"/>
        <item m="1" x="112"/>
        <item m="1" x="158"/>
        <item m="1" x="125"/>
        <item x="24"/>
        <item m="1" x="109"/>
        <item m="1" x="105"/>
        <item x="69"/>
        <item m="1" x="167"/>
        <item m="1" x="133"/>
        <item x="2"/>
        <item m="1" x="186"/>
        <item m="1" x="161"/>
        <item m="1" x="196"/>
        <item m="1" x="148"/>
        <item x="45"/>
        <item m="1" x="226"/>
        <item m="1" x="243"/>
        <item m="1" x="89"/>
        <item m="1" x="236"/>
        <item m="1" x="208"/>
        <item m="1" x="238"/>
        <item x="27"/>
        <item m="1" x="155"/>
        <item m="1" x="256"/>
        <item m="1" x="166"/>
        <item m="1" x="113"/>
        <item m="1" x="126"/>
        <item m="1" x="130"/>
        <item m="1" x="235"/>
        <item m="1" x="94"/>
        <item x="14"/>
        <item m="1" x="106"/>
        <item m="1" x="190"/>
        <item x="40"/>
        <item m="1" x="217"/>
        <item m="1" x="136"/>
        <item x="3"/>
        <item x="48"/>
        <item m="1" x="251"/>
        <item m="1" x="157"/>
        <item x="59"/>
        <item x="58"/>
        <item m="1" x="127"/>
        <item m="1" x="138"/>
        <item m="1" x="117"/>
        <item m="1" x="87"/>
        <item m="1" x="143"/>
        <item m="1" x="152"/>
        <item x="73"/>
        <item m="1" x="131"/>
        <item x="9"/>
        <item x="20"/>
        <item m="1" x="124"/>
        <item m="1" x="134"/>
        <item m="1" x="121"/>
        <item x="6"/>
        <item m="1" x="197"/>
        <item x="13"/>
        <item m="1" x="229"/>
        <item m="1" x="84"/>
        <item m="1" x="79"/>
        <item m="1" x="82"/>
        <item x="18"/>
        <item x="0"/>
        <item m="1" x="83"/>
        <item m="1" x="93"/>
        <item m="1" x="176"/>
        <item m="1" x="171"/>
        <item x="47"/>
        <item x="17"/>
        <item m="1" x="139"/>
        <item m="1" x="114"/>
        <item m="1" x="261"/>
        <item m="1" x="92"/>
        <item m="1" x="173"/>
        <item x="67"/>
        <item x="19"/>
        <item m="1" x="255"/>
        <item x="38"/>
        <item m="1" x="81"/>
        <item m="1" x="223"/>
        <item m="1" x="239"/>
        <item m="1" x="123"/>
        <item m="1" x="212"/>
        <item m="1" x="146"/>
        <item m="1" x="100"/>
        <item x="31"/>
        <item x="72"/>
        <item x="7"/>
        <item m="1" x="111"/>
        <item x="70"/>
        <item x="23"/>
        <item m="1" x="198"/>
        <item x="10"/>
        <item m="1" x="222"/>
        <item x="28"/>
        <item m="1" x="115"/>
        <item m="1" x="257"/>
        <item m="1" x="116"/>
        <item x="1"/>
        <item m="1" x="95"/>
        <item x="12"/>
        <item m="1" x="120"/>
        <item m="1" x="175"/>
        <item m="1" x="254"/>
        <item x="15"/>
        <item m="1" x="80"/>
        <item x="39"/>
        <item m="1" x="230"/>
        <item m="1" x="228"/>
        <item x="5"/>
        <item x="62"/>
        <item m="1" x="159"/>
        <item x="26"/>
        <item m="1" x="88"/>
        <item m="1" x="174"/>
        <item x="46"/>
        <item m="1" x="98"/>
        <item m="1" x="76"/>
        <item m="1" x="260"/>
        <item m="1" x="244"/>
        <item m="1" x="179"/>
        <item x="34"/>
        <item m="1" x="211"/>
        <item m="1" x="168"/>
        <item m="1" x="132"/>
        <item m="1" x="75"/>
        <item m="1" x="252"/>
        <item x="43"/>
        <item m="1" x="99"/>
        <item m="1" x="185"/>
        <item m="1" x="263"/>
        <item m="1" x="150"/>
        <item x="36"/>
        <item x="16"/>
        <item m="1" x="262"/>
        <item m="1" x="78"/>
        <item t="default"/>
      </items>
    </pivotField>
    <pivotField showAll="0"/>
    <pivotField showAll="0"/>
    <pivotField showAll="0"/>
    <pivotField showAll="0"/>
    <pivotField showAll="0"/>
    <pivotField showAll="0"/>
    <pivotField showAll="0"/>
    <pivotField showAll="0"/>
    <pivotField showAll="0"/>
  </pivotFields>
  <rowFields count="1">
    <field x="3"/>
  </rowFields>
  <rowItems count="75">
    <i>
      <x v="2"/>
    </i>
    <i>
      <x v="11"/>
    </i>
    <i>
      <x v="22"/>
    </i>
    <i>
      <x v="26"/>
    </i>
    <i>
      <x v="29"/>
    </i>
    <i>
      <x v="30"/>
    </i>
    <i>
      <x v="34"/>
    </i>
    <i>
      <x v="35"/>
    </i>
    <i>
      <x v="40"/>
    </i>
    <i>
      <x v="41"/>
    </i>
    <i>
      <x v="44"/>
    </i>
    <i>
      <x v="46"/>
    </i>
    <i>
      <x v="47"/>
    </i>
    <i>
      <x v="51"/>
    </i>
    <i>
      <x v="59"/>
    </i>
    <i>
      <x v="60"/>
    </i>
    <i>
      <x v="63"/>
    </i>
    <i>
      <x v="64"/>
    </i>
    <i>
      <x v="75"/>
    </i>
    <i>
      <x v="80"/>
    </i>
    <i>
      <x v="82"/>
    </i>
    <i>
      <x v="85"/>
    </i>
    <i>
      <x v="89"/>
    </i>
    <i>
      <x v="90"/>
    </i>
    <i>
      <x v="92"/>
    </i>
    <i>
      <x v="94"/>
    </i>
    <i>
      <x v="100"/>
    </i>
    <i>
      <x v="105"/>
    </i>
    <i>
      <x v="108"/>
    </i>
    <i>
      <x v="113"/>
    </i>
    <i>
      <x v="120"/>
    </i>
    <i>
      <x v="126"/>
    </i>
    <i>
      <x v="130"/>
    </i>
    <i>
      <x v="133"/>
    </i>
    <i>
      <x v="136"/>
    </i>
    <i>
      <x v="141"/>
    </i>
    <i>
      <x v="148"/>
    </i>
    <i>
      <x v="157"/>
    </i>
    <i>
      <x v="160"/>
    </i>
    <i>
      <x v="163"/>
    </i>
    <i>
      <x v="164"/>
    </i>
    <i>
      <x v="167"/>
    </i>
    <i>
      <x v="168"/>
    </i>
    <i>
      <x v="175"/>
    </i>
    <i>
      <x v="177"/>
    </i>
    <i>
      <x v="178"/>
    </i>
    <i>
      <x v="182"/>
    </i>
    <i>
      <x v="184"/>
    </i>
    <i>
      <x v="189"/>
    </i>
    <i>
      <x v="190"/>
    </i>
    <i>
      <x v="195"/>
    </i>
    <i>
      <x v="196"/>
    </i>
    <i>
      <x v="202"/>
    </i>
    <i>
      <x v="203"/>
    </i>
    <i>
      <x v="205"/>
    </i>
    <i>
      <x v="213"/>
    </i>
    <i>
      <x v="214"/>
    </i>
    <i>
      <x v="215"/>
    </i>
    <i>
      <x v="217"/>
    </i>
    <i>
      <x v="218"/>
    </i>
    <i>
      <x v="220"/>
    </i>
    <i>
      <x v="222"/>
    </i>
    <i>
      <x v="226"/>
    </i>
    <i>
      <x v="228"/>
    </i>
    <i>
      <x v="232"/>
    </i>
    <i>
      <x v="234"/>
    </i>
    <i>
      <x v="237"/>
    </i>
    <i>
      <x v="238"/>
    </i>
    <i>
      <x v="240"/>
    </i>
    <i>
      <x v="243"/>
    </i>
    <i>
      <x v="249"/>
    </i>
    <i>
      <x v="255"/>
    </i>
    <i>
      <x v="260"/>
    </i>
    <i>
      <x v="261"/>
    </i>
    <i t="grand">
      <x/>
    </i>
  </rowItems>
  <colItems count="1">
    <i/>
  </colItems>
  <dataFields count="1">
    <dataField name="Count of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5611DB-098F-4BE6-8267-9C8C4E248777}" name="ptAvgRatingBy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4:K79" firstHeaderRow="1" firstDataRow="1" firstDataCol="1"/>
  <pivotFields count="13">
    <pivotField showAll="0"/>
    <pivotField showAll="0"/>
    <pivotField showAll="0"/>
    <pivotField axis="axisRow" showAll="0">
      <items count="265">
        <item m="1" x="135"/>
        <item m="1" x="119"/>
        <item x="4"/>
        <item m="1" x="128"/>
        <item m="1" x="122"/>
        <item m="1" x="259"/>
        <item m="1" x="207"/>
        <item m="1" x="192"/>
        <item m="1" x="205"/>
        <item m="1" x="110"/>
        <item m="1" x="206"/>
        <item x="61"/>
        <item m="1" x="233"/>
        <item m="1" x="162"/>
        <item m="1" x="147"/>
        <item m="1" x="129"/>
        <item m="1" x="246"/>
        <item m="1" x="107"/>
        <item m="1" x="234"/>
        <item m="1" x="249"/>
        <item m="1" x="97"/>
        <item m="1" x="201"/>
        <item x="51"/>
        <item m="1" x="194"/>
        <item m="1" x="108"/>
        <item m="1" x="245"/>
        <item x="35"/>
        <item m="1" x="74"/>
        <item m="1" x="151"/>
        <item x="33"/>
        <item x="30"/>
        <item m="1" x="191"/>
        <item m="1" x="258"/>
        <item m="1" x="216"/>
        <item x="71"/>
        <item x="44"/>
        <item m="1" x="178"/>
        <item m="1" x="200"/>
        <item m="1" x="214"/>
        <item m="1" x="96"/>
        <item x="8"/>
        <item x="21"/>
        <item m="1" x="241"/>
        <item m="1" x="149"/>
        <item x="25"/>
        <item m="1" x="170"/>
        <item x="22"/>
        <item x="52"/>
        <item m="1" x="90"/>
        <item m="1" x="86"/>
        <item m="1" x="85"/>
        <item x="65"/>
        <item m="1" x="102"/>
        <item m="1" x="137"/>
        <item m="1" x="225"/>
        <item m="1" x="248"/>
        <item m="1" x="180"/>
        <item m="1" x="221"/>
        <item m="1" x="220"/>
        <item x="55"/>
        <item x="64"/>
        <item m="1" x="215"/>
        <item m="1" x="218"/>
        <item x="66"/>
        <item x="53"/>
        <item m="1" x="213"/>
        <item m="1" x="101"/>
        <item m="1" x="250"/>
        <item m="1" x="160"/>
        <item m="1" x="210"/>
        <item m="1" x="189"/>
        <item m="1" x="118"/>
        <item m="1" x="242"/>
        <item m="1" x="202"/>
        <item m="1" x="177"/>
        <item x="29"/>
        <item m="1" x="164"/>
        <item m="1" x="140"/>
        <item m="1" x="209"/>
        <item m="1" x="182"/>
        <item x="32"/>
        <item m="1" x="163"/>
        <item x="41"/>
        <item m="1" x="145"/>
        <item m="1" x="154"/>
        <item x="42"/>
        <item m="1" x="153"/>
        <item m="1" x="237"/>
        <item m="1" x="231"/>
        <item x="54"/>
        <item x="68"/>
        <item m="1" x="232"/>
        <item x="56"/>
        <item m="1" x="253"/>
        <item x="50"/>
        <item m="1" x="103"/>
        <item m="1" x="169"/>
        <item m="1" x="172"/>
        <item m="1" x="165"/>
        <item m="1" x="247"/>
        <item x="49"/>
        <item m="1" x="203"/>
        <item m="1" x="240"/>
        <item m="1" x="224"/>
        <item m="1" x="219"/>
        <item x="57"/>
        <item m="1" x="144"/>
        <item m="1" x="141"/>
        <item x="11"/>
        <item m="1" x="183"/>
        <item m="1" x="188"/>
        <item m="1" x="184"/>
        <item m="1" x="156"/>
        <item x="63"/>
        <item m="1" x="91"/>
        <item m="1" x="187"/>
        <item m="1" x="199"/>
        <item m="1" x="204"/>
        <item m="1" x="77"/>
        <item m="1" x="193"/>
        <item x="60"/>
        <item m="1" x="195"/>
        <item m="1" x="104"/>
        <item m="1" x="181"/>
        <item m="1" x="142"/>
        <item m="1" x="227"/>
        <item x="37"/>
        <item m="1" x="112"/>
        <item m="1" x="158"/>
        <item m="1" x="125"/>
        <item x="24"/>
        <item m="1" x="109"/>
        <item m="1" x="105"/>
        <item x="69"/>
        <item m="1" x="167"/>
        <item m="1" x="133"/>
        <item x="2"/>
        <item m="1" x="186"/>
        <item m="1" x="161"/>
        <item m="1" x="196"/>
        <item m="1" x="148"/>
        <item x="45"/>
        <item m="1" x="226"/>
        <item m="1" x="243"/>
        <item m="1" x="89"/>
        <item m="1" x="236"/>
        <item m="1" x="208"/>
        <item m="1" x="238"/>
        <item x="27"/>
        <item m="1" x="155"/>
        <item m="1" x="256"/>
        <item m="1" x="166"/>
        <item m="1" x="113"/>
        <item m="1" x="126"/>
        <item m="1" x="130"/>
        <item m="1" x="235"/>
        <item m="1" x="94"/>
        <item x="14"/>
        <item m="1" x="106"/>
        <item m="1" x="190"/>
        <item x="40"/>
        <item m="1" x="217"/>
        <item m="1" x="136"/>
        <item x="3"/>
        <item x="48"/>
        <item m="1" x="251"/>
        <item m="1" x="157"/>
        <item x="59"/>
        <item x="58"/>
        <item m="1" x="127"/>
        <item m="1" x="138"/>
        <item m="1" x="117"/>
        <item m="1" x="87"/>
        <item m="1" x="143"/>
        <item m="1" x="152"/>
        <item x="73"/>
        <item m="1" x="131"/>
        <item x="9"/>
        <item x="20"/>
        <item m="1" x="124"/>
        <item m="1" x="134"/>
        <item m="1" x="121"/>
        <item x="6"/>
        <item m="1" x="197"/>
        <item x="13"/>
        <item m="1" x="229"/>
        <item m="1" x="84"/>
        <item m="1" x="79"/>
        <item m="1" x="82"/>
        <item x="18"/>
        <item x="0"/>
        <item m="1" x="83"/>
        <item m="1" x="93"/>
        <item m="1" x="176"/>
        <item m="1" x="171"/>
        <item x="47"/>
        <item x="17"/>
        <item m="1" x="139"/>
        <item m="1" x="114"/>
        <item m="1" x="261"/>
        <item m="1" x="92"/>
        <item m="1" x="173"/>
        <item x="67"/>
        <item x="19"/>
        <item m="1" x="255"/>
        <item x="38"/>
        <item m="1" x="81"/>
        <item m="1" x="223"/>
        <item m="1" x="239"/>
        <item m="1" x="123"/>
        <item m="1" x="212"/>
        <item m="1" x="146"/>
        <item m="1" x="100"/>
        <item x="31"/>
        <item x="72"/>
        <item x="7"/>
        <item m="1" x="111"/>
        <item x="70"/>
        <item x="23"/>
        <item m="1" x="198"/>
        <item x="10"/>
        <item m="1" x="222"/>
        <item x="28"/>
        <item m="1" x="115"/>
        <item m="1" x="257"/>
        <item m="1" x="116"/>
        <item x="1"/>
        <item m="1" x="95"/>
        <item x="12"/>
        <item m="1" x="120"/>
        <item m="1" x="175"/>
        <item m="1" x="254"/>
        <item x="15"/>
        <item m="1" x="80"/>
        <item x="39"/>
        <item m="1" x="230"/>
        <item m="1" x="228"/>
        <item x="5"/>
        <item x="62"/>
        <item m="1" x="159"/>
        <item x="26"/>
        <item m="1" x="88"/>
        <item m="1" x="174"/>
        <item x="46"/>
        <item m="1" x="98"/>
        <item m="1" x="76"/>
        <item m="1" x="260"/>
        <item m="1" x="244"/>
        <item m="1" x="179"/>
        <item x="34"/>
        <item m="1" x="211"/>
        <item m="1" x="168"/>
        <item m="1" x="132"/>
        <item m="1" x="75"/>
        <item m="1" x="252"/>
        <item x="43"/>
        <item m="1" x="99"/>
        <item m="1" x="185"/>
        <item m="1" x="263"/>
        <item m="1" x="150"/>
        <item x="36"/>
        <item x="16"/>
        <item m="1" x="262"/>
        <item m="1" x="78"/>
        <item t="default"/>
      </items>
    </pivotField>
    <pivotField showAll="0"/>
    <pivotField showAll="0"/>
    <pivotField showAll="0"/>
    <pivotField dataField="1" showAll="0"/>
    <pivotField showAll="0"/>
    <pivotField showAll="0"/>
    <pivotField showAll="0">
      <items count="4">
        <item x="2"/>
        <item x="0"/>
        <item x="1"/>
        <item t="default"/>
      </items>
    </pivotField>
    <pivotField showAll="0"/>
    <pivotField showAll="0"/>
  </pivotFields>
  <rowFields count="1">
    <field x="3"/>
  </rowFields>
  <rowItems count="75">
    <i>
      <x v="2"/>
    </i>
    <i>
      <x v="11"/>
    </i>
    <i>
      <x v="22"/>
    </i>
    <i>
      <x v="26"/>
    </i>
    <i>
      <x v="29"/>
    </i>
    <i>
      <x v="30"/>
    </i>
    <i>
      <x v="34"/>
    </i>
    <i>
      <x v="35"/>
    </i>
    <i>
      <x v="40"/>
    </i>
    <i>
      <x v="41"/>
    </i>
    <i>
      <x v="44"/>
    </i>
    <i>
      <x v="46"/>
    </i>
    <i>
      <x v="47"/>
    </i>
    <i>
      <x v="51"/>
    </i>
    <i>
      <x v="59"/>
    </i>
    <i>
      <x v="60"/>
    </i>
    <i>
      <x v="63"/>
    </i>
    <i>
      <x v="64"/>
    </i>
    <i>
      <x v="75"/>
    </i>
    <i>
      <x v="80"/>
    </i>
    <i>
      <x v="82"/>
    </i>
    <i>
      <x v="85"/>
    </i>
    <i>
      <x v="89"/>
    </i>
    <i>
      <x v="90"/>
    </i>
    <i>
      <x v="92"/>
    </i>
    <i>
      <x v="94"/>
    </i>
    <i>
      <x v="100"/>
    </i>
    <i>
      <x v="105"/>
    </i>
    <i>
      <x v="108"/>
    </i>
    <i>
      <x v="113"/>
    </i>
    <i>
      <x v="120"/>
    </i>
    <i>
      <x v="126"/>
    </i>
    <i>
      <x v="130"/>
    </i>
    <i>
      <x v="133"/>
    </i>
    <i>
      <x v="136"/>
    </i>
    <i>
      <x v="141"/>
    </i>
    <i>
      <x v="148"/>
    </i>
    <i>
      <x v="157"/>
    </i>
    <i>
      <x v="160"/>
    </i>
    <i>
      <x v="163"/>
    </i>
    <i>
      <x v="164"/>
    </i>
    <i>
      <x v="167"/>
    </i>
    <i>
      <x v="168"/>
    </i>
    <i>
      <x v="175"/>
    </i>
    <i>
      <x v="177"/>
    </i>
    <i>
      <x v="178"/>
    </i>
    <i>
      <x v="182"/>
    </i>
    <i>
      <x v="184"/>
    </i>
    <i>
      <x v="189"/>
    </i>
    <i>
      <x v="190"/>
    </i>
    <i>
      <x v="195"/>
    </i>
    <i>
      <x v="196"/>
    </i>
    <i>
      <x v="202"/>
    </i>
    <i>
      <x v="203"/>
    </i>
    <i>
      <x v="205"/>
    </i>
    <i>
      <x v="213"/>
    </i>
    <i>
      <x v="214"/>
    </i>
    <i>
      <x v="215"/>
    </i>
    <i>
      <x v="217"/>
    </i>
    <i>
      <x v="218"/>
    </i>
    <i>
      <x v="220"/>
    </i>
    <i>
      <x v="222"/>
    </i>
    <i>
      <x v="226"/>
    </i>
    <i>
      <x v="228"/>
    </i>
    <i>
      <x v="232"/>
    </i>
    <i>
      <x v="234"/>
    </i>
    <i>
      <x v="237"/>
    </i>
    <i>
      <x v="238"/>
    </i>
    <i>
      <x v="240"/>
    </i>
    <i>
      <x v="243"/>
    </i>
    <i>
      <x v="249"/>
    </i>
    <i>
      <x v="255"/>
    </i>
    <i>
      <x v="260"/>
    </i>
    <i>
      <x v="261"/>
    </i>
    <i t="grand">
      <x/>
    </i>
  </rowItems>
  <colItems count="1">
    <i/>
  </colItems>
  <dataFields count="1">
    <dataField name="Average of AVERAGE RATING" fld="7" subtotal="average" baseField="3" baseItem="0" numFmtId="164"/>
  </dataFields>
  <conditionalFormats count="3">
    <conditionalFormat scope="field" priority="4">
      <pivotAreas count="1">
        <pivotArea outline="0" collapsedLevelsAreSubtotals="1" fieldPosition="0">
          <references count="2">
            <reference field="4294967294" count="1" selected="0">
              <x v="0"/>
            </reference>
            <reference field="3" count="0" selected="0"/>
          </references>
        </pivotArea>
      </pivotAreas>
    </conditionalFormat>
    <conditionalFormat scope="field" priority="2">
      <pivotAreas count="1">
        <pivotArea outline="0" collapsedLevelsAreSubtotals="1" fieldPosition="0">
          <references count="2">
            <reference field="4294967294" count="1" selected="0">
              <x v="0"/>
            </reference>
            <reference field="3" count="0" selected="0"/>
          </references>
        </pivotArea>
      </pivotAreas>
    </conditionalFormat>
    <conditionalFormat scope="field" priority="1">
      <pivotAreas count="1">
        <pivotArea outline="0" collapsedLevelsAreSubtotals="1" fieldPosition="0">
          <references count="2">
            <reference field="4294967294" count="1" selected="0">
              <x v="0"/>
            </reference>
            <reference field="3" count="0" selected="0"/>
          </references>
        </pivotArea>
      </pivotAreas>
    </conditionalFormat>
  </conditional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4B5284-0E35-4BE7-A8BB-0E3EC1FA24B6}" name="ptEngage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4:V15" firstHeaderRow="1" firstDataRow="1" firstDataCol="1"/>
  <pivotFields count="13">
    <pivotField axis="axisRow" showAll="0" measureFilter="1" sortType="descending">
      <items count="1893">
        <item x="930"/>
        <item x="1278"/>
        <item m="1" x="1357"/>
        <item m="1" x="1362"/>
        <item m="1" x="1363"/>
        <item x="1205"/>
        <item x="1204"/>
        <item m="1" x="1364"/>
        <item x="237"/>
        <item x="323"/>
        <item x="1281"/>
        <item m="1" x="1499"/>
        <item x="163"/>
        <item x="450"/>
        <item x="668"/>
        <item x="1225"/>
        <item x="438"/>
        <item x="437"/>
        <item x="439"/>
        <item x="954"/>
        <item x="1290"/>
        <item x="125"/>
        <item m="1" x="1769"/>
        <item x="1014"/>
        <item m="1" x="1711"/>
        <item m="1" x="1782"/>
        <item x="461"/>
        <item x="440"/>
        <item x="483"/>
        <item x="41"/>
        <item x="340"/>
        <item x="425"/>
        <item m="1" x="1790"/>
        <item x="488"/>
        <item x="253"/>
        <item x="1195"/>
        <item m="1" x="1516"/>
        <item x="1152"/>
        <item x="346"/>
        <item x="423"/>
        <item x="1022"/>
        <item m="1" x="1802"/>
        <item m="1" x="1337"/>
        <item x="843"/>
        <item x="1087"/>
        <item x="1224"/>
        <item x="145"/>
        <item x="153"/>
        <item x="482"/>
        <item x="433"/>
        <item x="202"/>
        <item x="44"/>
        <item x="1262"/>
        <item m="1" x="1575"/>
        <item m="1" x="1850"/>
        <item x="1112"/>
        <item x="562"/>
        <item x="1077"/>
        <item m="1" x="1753"/>
        <item x="351"/>
        <item x="19"/>
        <item m="1" x="1702"/>
        <item m="1" x="1703"/>
        <item m="1" x="1700"/>
        <item x="1012"/>
        <item x="1024"/>
        <item x="504"/>
        <item x="457"/>
        <item m="1" x="1576"/>
        <item m="1" x="1539"/>
        <item x="489"/>
        <item x="865"/>
        <item m="1" x="1351"/>
        <item m="1" x="1406"/>
        <item x="248"/>
        <item x="779"/>
        <item x="1028"/>
        <item m="1" x="1879"/>
        <item x="270"/>
        <item m="1" x="1471"/>
        <item m="1" x="1414"/>
        <item m="1" x="1628"/>
        <item m="1" x="1502"/>
        <item x="764"/>
        <item x="578"/>
        <item x="416"/>
        <item x="144"/>
        <item x="487"/>
        <item m="1" x="1472"/>
        <item x="1157"/>
        <item x="1223"/>
        <item x="269"/>
        <item x="399"/>
        <item m="1" x="1580"/>
        <item m="1" x="1529"/>
        <item m="1" x="1556"/>
        <item x="848"/>
        <item m="1" x="1824"/>
        <item x="847"/>
        <item x="849"/>
        <item x="851"/>
        <item m="1" x="1822"/>
        <item x="841"/>
        <item m="1" x="1355"/>
        <item m="1" x="1353"/>
        <item m="1" x="1354"/>
        <item x="329"/>
        <item x="330"/>
        <item m="1" x="1558"/>
        <item x="48"/>
        <item x="96"/>
        <item x="116"/>
        <item x="459"/>
        <item x="342"/>
        <item m="1" x="1594"/>
        <item x="947"/>
        <item x="647"/>
        <item x="365"/>
        <item m="1" x="1559"/>
        <item x="1166"/>
        <item x="181"/>
        <item x="1100"/>
        <item x="1020"/>
        <item m="1" x="1781"/>
        <item x="613"/>
        <item x="520"/>
        <item x="612"/>
        <item x="514"/>
        <item x="758"/>
        <item x="615"/>
        <item x="1259"/>
        <item x="139"/>
        <item x="138"/>
        <item x="74"/>
        <item x="75"/>
        <item x="89"/>
        <item x="967"/>
        <item x="1048"/>
        <item x="1186"/>
        <item x="1285"/>
        <item m="1" x="1442"/>
        <item x="845"/>
        <item x="608"/>
        <item x="119"/>
        <item x="121"/>
        <item x="511"/>
        <item m="1" x="1838"/>
        <item m="1" x="1713"/>
        <item m="1" x="1660"/>
        <item m="1" x="1778"/>
        <item m="1" x="1797"/>
        <item m="1" x="1452"/>
        <item m="1" x="1794"/>
        <item m="1" x="1792"/>
        <item x="1104"/>
        <item x="763"/>
        <item x="1312"/>
        <item x="1319"/>
        <item x="903"/>
        <item x="711"/>
        <item x="648"/>
        <item x="143"/>
        <item x="591"/>
        <item m="1" x="1500"/>
        <item x="530"/>
        <item m="1" x="1823"/>
        <item x="855"/>
        <item x="63"/>
        <item x="36"/>
        <item x="937"/>
        <item x="836"/>
        <item x="1151"/>
        <item x="1139"/>
        <item x="1284"/>
        <item x="140"/>
        <item x="263"/>
        <item x="241"/>
        <item x="1325"/>
        <item x="690"/>
        <item m="1" x="1439"/>
        <item m="1" x="1344"/>
        <item x="918"/>
        <item m="1" x="1693"/>
        <item x="25"/>
        <item x="80"/>
        <item m="1" x="1570"/>
        <item x="1075"/>
        <item x="15"/>
        <item x="165"/>
        <item m="1" x="1650"/>
        <item x="1291"/>
        <item x="714"/>
        <item m="1" x="1674"/>
        <item x="35"/>
        <item x="1206"/>
        <item x="1313"/>
        <item x="755"/>
        <item x="670"/>
        <item m="1" x="1677"/>
        <item x="336"/>
        <item x="565"/>
        <item x="316"/>
        <item x="284"/>
        <item x="1324"/>
        <item x="310"/>
        <item x="67"/>
        <item x="1009"/>
        <item x="1288"/>
        <item m="1" x="1440"/>
        <item x="649"/>
        <item x="506"/>
        <item m="1" x="1731"/>
        <item m="1" x="1718"/>
        <item m="1" x="1719"/>
        <item x="970"/>
        <item m="1" x="1759"/>
        <item x="634"/>
        <item x="910"/>
        <item x="1222"/>
        <item m="1" x="1788"/>
        <item m="1" x="1687"/>
        <item x="856"/>
        <item x="830"/>
        <item x="1279"/>
        <item x="534"/>
        <item x="204"/>
        <item m="1" x="1475"/>
        <item m="1" x="1434"/>
        <item x="421"/>
        <item m="1" x="1669"/>
        <item x="395"/>
        <item m="1" x="1333"/>
        <item x="1300"/>
        <item x="872"/>
        <item x="1239"/>
        <item x="424"/>
        <item x="324"/>
        <item x="331"/>
        <item x="320"/>
        <item x="322"/>
        <item m="1" x="1671"/>
        <item m="1" x="1798"/>
        <item m="1" x="1801"/>
        <item m="1" x="1796"/>
        <item m="1" x="1656"/>
        <item x="760"/>
        <item m="1" x="1460"/>
        <item x="662"/>
        <item m="1" x="1465"/>
        <item x="175"/>
        <item m="1" x="1462"/>
        <item x="10"/>
        <item x="177"/>
        <item x="179"/>
        <item x="695"/>
        <item m="1" x="1863"/>
        <item x="1060"/>
        <item x="572"/>
        <item m="1" x="1426"/>
        <item m="1" x="1330"/>
        <item x="1236"/>
        <item x="412"/>
        <item x="1145"/>
        <item x="173"/>
        <item m="1" x="1787"/>
        <item x="498"/>
        <item x="195"/>
        <item m="1" x="1720"/>
        <item m="1" x="1740"/>
        <item x="176"/>
        <item x="1304"/>
        <item m="1" x="1746"/>
        <item x="597"/>
        <item m="1" x="1492"/>
        <item m="1" x="1328"/>
        <item x="728"/>
        <item x="1138"/>
        <item x="72"/>
        <item m="1" x="1592"/>
        <item x="166"/>
        <item x="505"/>
        <item x="52"/>
        <item x="58"/>
        <item x="944"/>
        <item x="62"/>
        <item x="53"/>
        <item x="69"/>
        <item m="1" x="1430"/>
        <item x="73"/>
        <item m="1" x="1429"/>
        <item x="59"/>
        <item x="61"/>
        <item x="81"/>
        <item x="56"/>
        <item x="71"/>
        <item x="60"/>
        <item x="936"/>
        <item x="377"/>
        <item x="364"/>
        <item x="931"/>
        <item x="678"/>
        <item m="1" x="1585"/>
        <item x="1327"/>
        <item x="1314"/>
        <item m="1" x="1468"/>
        <item x="1305"/>
        <item x="1283"/>
        <item x="1318"/>
        <item x="1294"/>
        <item x="1321"/>
        <item x="941"/>
        <item x="654"/>
        <item m="1" x="1678"/>
        <item m="1" x="1676"/>
        <item x="1073"/>
        <item x="679"/>
        <item x="1174"/>
        <item x="840"/>
        <item x="392"/>
        <item m="1" x="1449"/>
        <item x="332"/>
        <item x="542"/>
        <item m="1" x="1453"/>
        <item x="975"/>
        <item x="567"/>
        <item x="576"/>
        <item x="571"/>
        <item x="570"/>
        <item x="579"/>
        <item x="569"/>
        <item x="566"/>
        <item m="1" x="1779"/>
        <item x="564"/>
        <item x="561"/>
        <item x="958"/>
        <item x="604"/>
        <item x="1309"/>
        <item x="160"/>
        <item x="1266"/>
        <item x="1264"/>
        <item x="716"/>
        <item x="719"/>
        <item x="717"/>
        <item x="161"/>
        <item x="938"/>
        <item x="227"/>
        <item m="1" x="1752"/>
        <item m="1" x="1598"/>
        <item m="1" x="1583"/>
        <item x="640"/>
        <item x="348"/>
        <item x="940"/>
        <item m="1" x="1668"/>
        <item m="1" x="1646"/>
        <item m="1" x="1632"/>
        <item x="1198"/>
        <item m="1" x="1884"/>
        <item x="543"/>
        <item m="1" x="1602"/>
        <item x="1286"/>
        <item x="158"/>
        <item x="1323"/>
        <item x="1001"/>
        <item x="871"/>
        <item x="533"/>
        <item x="864"/>
        <item x="859"/>
        <item x="532"/>
        <item x="858"/>
        <item x="515"/>
        <item x="528"/>
        <item m="1" x="1793"/>
        <item x="243"/>
        <item x="1201"/>
        <item x="742"/>
        <item x="741"/>
        <item x="740"/>
        <item x="747"/>
        <item x="754"/>
        <item x="745"/>
        <item x="743"/>
        <item x="750"/>
        <item x="749"/>
        <item x="744"/>
        <item x="808"/>
        <item x="813"/>
        <item x="1115"/>
        <item m="1" x="1346"/>
        <item x="807"/>
        <item x="820"/>
        <item x="806"/>
        <item x="824"/>
        <item x="819"/>
        <item x="814"/>
        <item x="810"/>
        <item x="811"/>
        <item x="812"/>
        <item x="1118"/>
        <item x="998"/>
        <item m="1" x="1407"/>
        <item m="1" x="1393"/>
        <item m="1" x="1441"/>
        <item m="1" x="1404"/>
        <item x="157"/>
        <item m="1" x="1704"/>
        <item x="549"/>
        <item m="1" x="1331"/>
        <item x="650"/>
        <item x="522"/>
        <item x="624"/>
        <item x="621"/>
        <item x="622"/>
        <item x="523"/>
        <item x="521"/>
        <item x="982"/>
        <item m="1" x="1637"/>
        <item x="637"/>
        <item x="677"/>
        <item x="683"/>
        <item x="1192"/>
        <item x="1120"/>
        <item x="828"/>
        <item x="829"/>
        <item x="827"/>
        <item m="1" x="1818"/>
        <item x="1159"/>
        <item x="1160"/>
        <item x="946"/>
        <item x="1162"/>
        <item x="999"/>
        <item x="674"/>
        <item x="83"/>
        <item x="1027"/>
        <item x="387"/>
        <item x="203"/>
        <item m="1" x="1616"/>
        <item x="1010"/>
        <item x="785"/>
        <item x="1117"/>
        <item m="1" x="1343"/>
        <item x="1311"/>
        <item x="391"/>
        <item x="1017"/>
        <item x="1144"/>
        <item x="112"/>
        <item x="124"/>
        <item x="1240"/>
        <item m="1" x="1431"/>
        <item x="51"/>
        <item m="1" x="1409"/>
        <item x="1297"/>
        <item x="159"/>
        <item m="1" x="1652"/>
        <item m="1" x="1810"/>
        <item x="770"/>
        <item m="1" x="1808"/>
        <item m="1" x="1386"/>
        <item m="1" x="1673"/>
        <item m="1" x="1675"/>
        <item m="1" x="1680"/>
        <item m="1" x="1681"/>
        <item x="945"/>
        <item x="272"/>
        <item x="1182"/>
        <item x="1033"/>
        <item x="669"/>
        <item m="1" x="1849"/>
        <item m="1" x="1747"/>
        <item x="259"/>
        <item x="682"/>
        <item m="1" x="1786"/>
        <item x="1189"/>
        <item x="1197"/>
        <item x="837"/>
        <item x="832"/>
        <item x="833"/>
        <item x="834"/>
        <item x="526"/>
        <item x="831"/>
        <item m="1" x="1417"/>
        <item x="448"/>
        <item x="1326"/>
        <item m="1" x="1535"/>
        <item m="1" x="1717"/>
        <item x="432"/>
        <item m="1" x="1721"/>
        <item x="108"/>
        <item m="1" x="1402"/>
        <item x="1055"/>
        <item x="609"/>
        <item x="1315"/>
        <item m="1" x="1352"/>
        <item m="1" x="1795"/>
        <item x="718"/>
        <item x="360"/>
        <item x="359"/>
        <item x="657"/>
        <item x="652"/>
        <item x="1070"/>
        <item x="1089"/>
        <item x="759"/>
        <item x="909"/>
        <item m="1" x="1831"/>
        <item x="659"/>
        <item x="1042"/>
        <item x="933"/>
        <item x="1068"/>
        <item m="1" x="1541"/>
        <item x="1243"/>
        <item m="1" x="1707"/>
        <item x="18"/>
        <item x="900"/>
        <item x="896"/>
        <item x="897"/>
        <item x="899"/>
        <item x="886"/>
        <item x="885"/>
        <item x="891"/>
        <item x="893"/>
        <item x="894"/>
        <item x="895"/>
        <item x="890"/>
        <item x="884"/>
        <item x="888"/>
        <item x="892"/>
        <item x="887"/>
        <item x="901"/>
        <item x="397"/>
        <item x="746"/>
        <item m="1" x="1715"/>
        <item m="1" x="1736"/>
        <item m="1" x="1735"/>
        <item m="1" x="1542"/>
        <item m="1" x="1375"/>
        <item x="639"/>
        <item x="1063"/>
        <item x="619"/>
        <item x="87"/>
        <item x="1040"/>
        <item x="700"/>
        <item x="122"/>
        <item x="1172"/>
        <item x="366"/>
        <item x="1000"/>
        <item m="1" x="1743"/>
        <item m="1" x="1374"/>
        <item x="39"/>
        <item m="1" x="1381"/>
        <item x="1303"/>
        <item x="371"/>
        <item x="769"/>
        <item x="853"/>
        <item m="1" x="1842"/>
        <item x="653"/>
        <item x="1320"/>
        <item x="1015"/>
        <item x="236"/>
        <item x="1296"/>
        <item x="1308"/>
        <item x="1169"/>
        <item x="292"/>
        <item m="1" x="1701"/>
        <item x="493"/>
        <item x="1173"/>
        <item x="1322"/>
        <item x="580"/>
        <item x="34"/>
        <item m="1" x="1600"/>
        <item m="1" x="1742"/>
        <item x="232"/>
        <item m="1" x="1758"/>
        <item m="1" x="1537"/>
        <item x="396"/>
        <item m="1" x="1745"/>
        <item x="85"/>
        <item m="1" x="1640"/>
        <item m="1" x="1473"/>
        <item m="1" x="1739"/>
        <item m="1" x="1389"/>
        <item m="1" x="1692"/>
        <item x="1124"/>
        <item x="665"/>
        <item x="951"/>
        <item x="531"/>
        <item x="372"/>
        <item x="942"/>
        <item m="1" x="1709"/>
        <item m="1" x="1664"/>
        <item x="1293"/>
        <item x="1316"/>
        <item x="1121"/>
        <item m="1" x="1360"/>
        <item m="1" x="1467"/>
        <item x="13"/>
        <item m="1" x="1712"/>
        <item x="4"/>
        <item x="452"/>
        <item m="1" x="1606"/>
        <item x="260"/>
        <item x="1051"/>
        <item m="1" x="1604"/>
        <item x="290"/>
        <item m="1" x="1607"/>
        <item m="1" x="1610"/>
        <item x="276"/>
        <item x="443"/>
        <item x="82"/>
        <item x="467"/>
        <item x="98"/>
        <item x="1219"/>
        <item x="314"/>
        <item x="338"/>
        <item x="295"/>
        <item m="1" x="1510"/>
        <item m="1" x="1512"/>
        <item x="152"/>
        <item x="167"/>
        <item m="1" x="1447"/>
        <item m="1" x="1446"/>
        <item m="1" x="1342"/>
        <item x="1047"/>
        <item x="294"/>
        <item x="193"/>
        <item m="1" x="1706"/>
        <item x="374"/>
        <item m="1" x="1565"/>
        <item m="1" x="1568"/>
        <item m="1" x="1410"/>
        <item m="1" x="1762"/>
        <item x="297"/>
        <item m="1" x="1846"/>
        <item x="875"/>
        <item x="221"/>
        <item x="825"/>
        <item x="710"/>
        <item m="1" x="1437"/>
        <item m="1" x="1419"/>
        <item x="568"/>
        <item x="878"/>
        <item m="1" x="1478"/>
        <item m="1" x="1689"/>
        <item x="802"/>
        <item x="1053"/>
        <item x="1148"/>
        <item x="1106"/>
        <item x="1252"/>
        <item x="142"/>
        <item x="97"/>
        <item x="1183"/>
        <item x="298"/>
        <item x="1229"/>
        <item x="680"/>
        <item x="675"/>
        <item m="1" x="1651"/>
        <item x="254"/>
        <item m="1" x="1750"/>
        <item m="1" x="1563"/>
        <item m="1" x="1587"/>
        <item x="16"/>
        <item x="1184"/>
        <item m="1" x="1791"/>
        <item m="1" x="1549"/>
        <item m="1" x="1621"/>
        <item x="481"/>
        <item x="304"/>
        <item x="867"/>
        <item m="1" x="1630"/>
        <item x="1038"/>
        <item m="1" x="1828"/>
        <item x="790"/>
        <item x="804"/>
        <item m="1" x="1589"/>
        <item x="1317"/>
        <item m="1" x="1882"/>
        <item m="1" x="1877"/>
        <item x="494"/>
        <item m="1" x="1509"/>
        <item x="1177"/>
        <item x="287"/>
        <item x="801"/>
        <item x="1090"/>
        <item m="1" x="1340"/>
        <item x="660"/>
        <item m="1" x="1339"/>
        <item x="638"/>
        <item x="651"/>
        <item x="646"/>
        <item x="636"/>
        <item x="641"/>
        <item x="658"/>
        <item x="663"/>
        <item x="655"/>
        <item x="645"/>
        <item x="635"/>
        <item x="797"/>
        <item x="732"/>
        <item x="722"/>
        <item m="1" x="1804"/>
        <item x="733"/>
        <item x="727"/>
        <item x="734"/>
        <item x="738"/>
        <item x="736"/>
        <item x="725"/>
        <item x="726"/>
        <item x="735"/>
        <item x="731"/>
        <item x="723"/>
        <item x="1241"/>
        <item m="1" x="1454"/>
        <item m="1" x="1729"/>
        <item m="1" x="1724"/>
        <item m="1" x="1737"/>
        <item x="484"/>
        <item m="1" x="1661"/>
        <item m="1" x="1799"/>
        <item m="1" x="1421"/>
        <item m="1" x="1858"/>
        <item m="1" x="1686"/>
        <item x="1019"/>
        <item x="1150"/>
        <item x="842"/>
        <item x="777"/>
        <item x="280"/>
        <item x="1190"/>
        <item x="721"/>
        <item m="1" x="1579"/>
        <item m="1" x="1391"/>
        <item x="1"/>
        <item x="414"/>
        <item x="490"/>
        <item x="478"/>
        <item x="472"/>
        <item m="1" x="1851"/>
        <item m="1" x="1557"/>
        <item x="778"/>
        <item x="771"/>
        <item m="1" x="1807"/>
        <item x="768"/>
        <item x="761"/>
        <item m="1" x="1765"/>
        <item x="1113"/>
        <item x="379"/>
        <item m="1" x="1520"/>
        <item x="469"/>
        <item x="1277"/>
        <item x="430"/>
        <item x="355"/>
        <item x="354"/>
        <item x="328"/>
        <item x="14"/>
        <item x="409"/>
        <item x="415"/>
        <item x="239"/>
        <item x="95"/>
        <item x="86"/>
        <item x="1185"/>
        <item x="1171"/>
        <item x="106"/>
        <item x="972"/>
        <item x="1280"/>
        <item x="1301"/>
        <item x="133"/>
        <item x="499"/>
        <item x="419"/>
        <item x="1066"/>
        <item x="1257"/>
        <item x="1181"/>
        <item m="1" x="1599"/>
        <item x="1227"/>
        <item x="775"/>
        <item m="1" x="1612"/>
        <item x="283"/>
        <item x="313"/>
        <item x="219"/>
        <item m="1" x="1617"/>
        <item x="46"/>
        <item m="1" x="1634"/>
        <item x="603"/>
        <item m="1" x="1401"/>
        <item m="1" x="1872"/>
        <item m="1" x="1507"/>
        <item m="1" x="1618"/>
        <item m="1" x="1639"/>
        <item m="1" x="1495"/>
        <item m="1" x="1400"/>
        <item m="1" x="1574"/>
        <item m="1" x="1748"/>
        <item m="1" x="1503"/>
        <item x="1044"/>
        <item x="6"/>
        <item m="1" x="1768"/>
        <item x="508"/>
        <item x="874"/>
        <item m="1" x="1334"/>
        <item m="1" x="1476"/>
        <item x="411"/>
        <item x="818"/>
        <item x="1228"/>
        <item x="729"/>
        <item x="633"/>
        <item x="24"/>
        <item m="1" x="1566"/>
        <item x="496"/>
        <item x="30"/>
        <item m="1" x="1738"/>
        <item m="1" x="1886"/>
        <item x="563"/>
        <item x="1215"/>
        <item x="502"/>
        <item x="29"/>
        <item x="1030"/>
        <item x="1178"/>
        <item x="1161"/>
        <item x="117"/>
        <item x="1025"/>
        <item x="214"/>
        <item m="1" x="1498"/>
        <item m="1" x="1513"/>
        <item m="1" x="1744"/>
        <item x="230"/>
        <item m="1" x="1856"/>
        <item x="1137"/>
        <item x="211"/>
        <item x="196"/>
        <item m="1" x="1477"/>
        <item m="1" x="1730"/>
        <item x="217"/>
        <item x="1134"/>
        <item x="1061"/>
        <item x="107"/>
        <item x="250"/>
        <item m="1" x="1626"/>
        <item m="1" x="1358"/>
        <item x="291"/>
        <item x="794"/>
        <item x="1081"/>
        <item m="1" x="1772"/>
        <item m="1" x="1771"/>
        <item x="610"/>
        <item m="1" x="1770"/>
        <item x="516"/>
        <item x="518"/>
        <item x="517"/>
        <item x="519"/>
        <item m="1" x="1356"/>
        <item x="273"/>
        <item m="1" x="1573"/>
        <item x="7"/>
        <item x="390"/>
        <item x="463"/>
        <item x="601"/>
        <item x="1006"/>
        <item x="1084"/>
        <item x="1111"/>
        <item m="1" x="1605"/>
        <item x="105"/>
        <item m="1" x="1390"/>
        <item x="45"/>
        <item x="1086"/>
        <item x="724"/>
        <item x="934"/>
        <item x="950"/>
        <item x="103"/>
        <item m="1" x="1665"/>
        <item x="335"/>
        <item x="333"/>
        <item m="1" x="1662"/>
        <item x="334"/>
        <item x="980"/>
        <item x="293"/>
        <item x="1213"/>
        <item x="739"/>
        <item x="730"/>
        <item x="370"/>
        <item x="190"/>
        <item x="1156"/>
        <item m="1" x="1578"/>
        <item m="1" x="1815"/>
        <item x="187"/>
        <item x="186"/>
        <item x="183"/>
        <item m="1" x="1817"/>
        <item x="378"/>
        <item x="188"/>
        <item m="1" x="1619"/>
        <item x="795"/>
        <item x="147"/>
        <item x="1131"/>
        <item m="1" x="1527"/>
        <item m="1" x="1481"/>
        <item m="1" x="1427"/>
        <item x="441"/>
        <item m="1" x="1367"/>
        <item m="1" x="1813"/>
        <item x="513"/>
        <item m="1" x="1847"/>
        <item m="1" x="1647"/>
        <item m="1" x="1480"/>
        <item m="1" x="1373"/>
        <item m="1" x="1870"/>
        <item m="1" x="1485"/>
        <item m="1" x="1560"/>
        <item x="369"/>
        <item x="20"/>
        <item x="249"/>
        <item x="1179"/>
        <item x="973"/>
        <item x="979"/>
        <item m="1" x="1869"/>
        <item x="350"/>
        <item x="70"/>
        <item x="924"/>
        <item x="318"/>
        <item x="1045"/>
        <item m="1" x="1862"/>
        <item m="1" x="1855"/>
        <item m="1" x="1508"/>
        <item m="1" x="1586"/>
        <item m="1" x="1852"/>
        <item m="1" x="1615"/>
        <item x="860"/>
        <item x="1133"/>
        <item x="49"/>
        <item x="661"/>
        <item x="981"/>
        <item x="793"/>
        <item x="803"/>
        <item x="446"/>
        <item m="1" x="1837"/>
        <item x="1058"/>
        <item m="1" x="1545"/>
        <item m="1" x="1830"/>
        <item x="1091"/>
        <item x="88"/>
        <item x="178"/>
        <item x="265"/>
        <item x="68"/>
        <item m="1" x="1596"/>
        <item m="1" x="1734"/>
        <item x="170"/>
        <item m="1" x="1608"/>
        <item x="1141"/>
        <item x="299"/>
        <item x="966"/>
        <item m="1" x="1645"/>
        <item m="1" x="1614"/>
        <item m="1" x="1857"/>
        <item m="1" x="1891"/>
        <item x="1263"/>
        <item x="1097"/>
        <item x="77"/>
        <item m="1" x="1329"/>
        <item x="326"/>
        <item x="1072"/>
        <item x="932"/>
        <item x="1143"/>
        <item m="1" x="1399"/>
        <item x="1254"/>
        <item x="948"/>
        <item m="1" x="1888"/>
        <item m="1" x="1853"/>
        <item m="1" x="1631"/>
        <item m="1" x="1496"/>
        <item m="1" x="1412"/>
        <item m="1" x="1751"/>
        <item x="1031"/>
        <item x="1307"/>
        <item x="575"/>
        <item m="1" x="1670"/>
        <item x="136"/>
        <item x="442"/>
        <item x="1034"/>
        <item x="1029"/>
        <item x="228"/>
        <item x="956"/>
        <item m="1" x="1741"/>
        <item m="1" x="1629"/>
        <item m="1" x="1654"/>
        <item x="1310"/>
        <item x="245"/>
        <item x="375"/>
        <item x="817"/>
        <item x="889"/>
        <item x="223"/>
        <item m="1" x="1428"/>
        <item x="361"/>
        <item m="1" x="1783"/>
        <item m="1" x="1763"/>
        <item x="205"/>
        <item x="3"/>
        <item m="1" x="1732"/>
        <item x="485"/>
        <item x="495"/>
        <item m="1" x="1515"/>
        <item x="585"/>
        <item x="274"/>
        <item x="1187"/>
        <item x="939"/>
        <item x="1247"/>
        <item x="222"/>
        <item x="1214"/>
        <item m="1" x="1890"/>
        <item m="1" x="1338"/>
        <item x="255"/>
        <item x="596"/>
        <item m="1" x="1666"/>
        <item m="1" x="1875"/>
        <item x="1136"/>
        <item x="1036"/>
        <item x="1210"/>
        <item x="1230"/>
        <item x="1155"/>
        <item x="577"/>
        <item x="486"/>
        <item x="386"/>
        <item x="242"/>
        <item m="1" x="1411"/>
        <item x="47"/>
        <item x="1056"/>
        <item x="1200"/>
        <item x="698"/>
        <item m="1" x="1482"/>
        <item x="1041"/>
        <item x="127"/>
        <item x="614"/>
        <item m="1" x="1800"/>
        <item x="720"/>
        <item m="1" x="1433"/>
        <item m="1" x="1722"/>
        <item m="1" x="1365"/>
        <item x="1306"/>
        <item x="1196"/>
        <item m="1" x="1493"/>
        <item m="1" x="1461"/>
        <item m="1" x="1659"/>
        <item x="599"/>
        <item x="838"/>
        <item x="800"/>
        <item m="1" x="1756"/>
        <item x="1062"/>
        <item x="996"/>
        <item x="1126"/>
        <item m="1" x="1359"/>
        <item x="420"/>
        <item x="987"/>
        <item x="1193"/>
        <item x="233"/>
        <item x="192"/>
        <item x="311"/>
        <item m="1" x="1377"/>
        <item x="1170"/>
        <item x="1092"/>
        <item x="247"/>
        <item x="465"/>
        <item m="1" x="1582"/>
        <item m="1" x="1486"/>
        <item m="1" x="1649"/>
        <item m="1" x="1655"/>
        <item m="1" x="1408"/>
        <item x="1237"/>
        <item x="689"/>
        <item x="180"/>
        <item x="1202"/>
        <item x="341"/>
        <item x="1234"/>
        <item x="626"/>
        <item x="627"/>
        <item m="1" x="1785"/>
        <item x="632"/>
        <item x="631"/>
        <item x="628"/>
        <item x="625"/>
        <item x="611"/>
        <item x="99"/>
        <item x="1099"/>
        <item x="1098"/>
        <item x="697"/>
        <item x="691"/>
        <item x="552"/>
        <item x="1078"/>
        <item x="748"/>
        <item x="1105"/>
        <item x="1076"/>
        <item x="952"/>
        <item x="1275"/>
        <item x="382"/>
        <item m="1" x="1695"/>
        <item m="1" x="1335"/>
        <item m="1" x="1658"/>
        <item m="1" x="1459"/>
        <item m="1" x="1685"/>
        <item x="1258"/>
        <item x="1211"/>
        <item x="93"/>
        <item x="410"/>
        <item x="148"/>
        <item x="11"/>
        <item x="434"/>
        <item x="90"/>
        <item m="1" x="1827"/>
        <item m="1" x="1829"/>
        <item m="1" x="1839"/>
        <item m="1" x="1840"/>
        <item x="113"/>
        <item x="854"/>
        <item x="277"/>
        <item x="344"/>
        <item x="963"/>
        <item x="546"/>
        <item x="1261"/>
        <item x="605"/>
        <item x="582"/>
        <item x="1218"/>
        <item x="491"/>
        <item x="772"/>
        <item x="225"/>
        <item m="1" x="1609"/>
        <item m="1" x="1684"/>
        <item x="1248"/>
        <item x="1114"/>
        <item x="977"/>
        <item x="1074"/>
        <item x="983"/>
        <item x="976"/>
        <item m="1" x="1533"/>
        <item x="252"/>
        <item x="317"/>
        <item x="319"/>
        <item m="1" x="1854"/>
        <item m="1" x="1525"/>
        <item m="1" x="1524"/>
        <item m="1" x="1384"/>
        <item m="1" x="1553"/>
        <item m="1" x="1564"/>
        <item m="1" x="1483"/>
        <item x="349"/>
        <item x="258"/>
        <item m="1" x="1505"/>
        <item x="278"/>
        <item x="229"/>
        <item x="120"/>
        <item m="1" x="1653"/>
        <item m="1" x="1382"/>
        <item m="1" x="1517"/>
        <item x="997"/>
        <item x="928"/>
        <item x="926"/>
        <item x="995"/>
        <item x="64"/>
        <item x="66"/>
        <item x="65"/>
        <item x="9"/>
        <item m="1" x="1336"/>
        <item x="989"/>
        <item m="1" x="1848"/>
        <item x="1282"/>
        <item x="381"/>
        <item m="1" x="1825"/>
        <item x="857"/>
        <item x="870"/>
        <item x="868"/>
        <item x="869"/>
        <item x="529"/>
        <item x="873"/>
        <item x="54"/>
        <item x="216"/>
        <item x="500"/>
        <item x="12"/>
        <item x="476"/>
        <item x="737"/>
        <item x="256"/>
        <item x="1083"/>
        <item x="1080"/>
        <item x="943"/>
        <item x="503"/>
        <item m="1" x="1864"/>
        <item m="1" x="1413"/>
        <item x="1140"/>
        <item x="1057"/>
        <item x="962"/>
        <item m="1" x="1667"/>
        <item x="821"/>
        <item x="823"/>
        <item x="816"/>
        <item m="1" x="1874"/>
        <item x="1123"/>
        <item x="1125"/>
        <item x="1122"/>
        <item m="1" x="1479"/>
        <item x="42"/>
        <item m="1" x="1403"/>
        <item m="1" x="1394"/>
        <item x="141"/>
        <item x="94"/>
        <item m="1" x="1398"/>
        <item m="1" x="1405"/>
        <item x="123"/>
        <item x="149"/>
        <item x="990"/>
        <item m="1" x="1691"/>
        <item m="1" x="1380"/>
        <item x="1102"/>
        <item m="1" x="1868"/>
        <item m="1" x="1754"/>
        <item x="470"/>
        <item m="1" x="1521"/>
        <item m="1" x="1727"/>
        <item m="1" x="1522"/>
        <item x="1249"/>
        <item x="538"/>
        <item x="557"/>
        <item x="545"/>
        <item x="551"/>
        <item x="555"/>
        <item x="558"/>
        <item x="537"/>
        <item x="554"/>
        <item x="550"/>
        <item m="1" x="1777"/>
        <item x="527"/>
        <item x="553"/>
        <item x="692"/>
        <item m="1" x="1774"/>
        <item x="541"/>
        <item x="559"/>
        <item x="539"/>
        <item x="556"/>
        <item x="560"/>
        <item x="540"/>
        <item m="1" x="1776"/>
        <item m="1" x="1728"/>
        <item x="616"/>
        <item x="1037"/>
        <item x="1203"/>
        <item x="101"/>
        <item x="262"/>
        <item x="456"/>
        <item x="1054"/>
        <item x="198"/>
        <item x="363"/>
        <item x="218"/>
        <item x="226"/>
        <item x="1253"/>
        <item x="100"/>
        <item x="357"/>
        <item x="300"/>
        <item x="449"/>
        <item x="201"/>
        <item x="1094"/>
        <item x="988"/>
        <item x="445"/>
        <item x="861"/>
        <item x="28"/>
        <item x="296"/>
        <item x="184"/>
        <item m="1" x="1833"/>
        <item m="1" x="1571"/>
        <item m="1" x="1784"/>
        <item x="431"/>
        <item m="1" x="1672"/>
        <item m="1" x="1348"/>
        <item x="826"/>
        <item m="1" x="1347"/>
        <item x="162"/>
        <item m="1" x="1821"/>
        <item m="1" x="1593"/>
        <item x="1149"/>
        <item x="1292"/>
        <item m="1" x="1657"/>
        <item x="1005"/>
        <item x="1003"/>
        <item x="1002"/>
        <item x="1004"/>
        <item x="618"/>
        <item x="704"/>
        <item x="617"/>
        <item x="699"/>
        <item x="705"/>
        <item x="701"/>
        <item x="1107"/>
        <item x="767"/>
        <item x="846"/>
        <item m="1" x="1641"/>
        <item x="1052"/>
        <item x="109"/>
        <item x="642"/>
        <item x="126"/>
        <item x="402"/>
        <item m="1" x="1550"/>
        <item m="1" x="1506"/>
        <item x="1021"/>
        <item x="589"/>
        <item x="587"/>
        <item x="590"/>
        <item x="592"/>
        <item x="594"/>
        <item x="595"/>
        <item x="606"/>
        <item x="581"/>
        <item x="593"/>
        <item x="584"/>
        <item x="600"/>
        <item x="602"/>
        <item x="1082"/>
        <item m="1" x="1332"/>
        <item x="308"/>
        <item x="234"/>
        <item m="1" x="1725"/>
        <item x="1059"/>
        <item x="1251"/>
        <item x="1008"/>
        <item x="1007"/>
        <item x="1013"/>
        <item x="536"/>
        <item x="380"/>
        <item x="917"/>
        <item m="1" x="1775"/>
        <item x="923"/>
        <item m="1" x="1773"/>
        <item x="916"/>
        <item x="921"/>
        <item x="920"/>
        <item x="922"/>
        <item x="919"/>
        <item x="915"/>
        <item x="358"/>
        <item m="1" x="1805"/>
        <item x="206"/>
        <item x="782"/>
        <item x="799"/>
        <item x="780"/>
        <item x="784"/>
        <item m="1" x="1814"/>
        <item m="1" x="1812"/>
        <item m="1" x="1816"/>
        <item m="1" x="1811"/>
        <item m="1" x="1345"/>
        <item x="788"/>
        <item x="791"/>
        <item x="789"/>
        <item x="792"/>
        <item x="786"/>
        <item x="787"/>
        <item x="783"/>
        <item m="1" x="1567"/>
        <item x="1298"/>
        <item x="246"/>
        <item m="1" x="1540"/>
        <item x="244"/>
        <item x="403"/>
        <item m="1" x="1552"/>
        <item x="408"/>
        <item m="1" x="1844"/>
        <item m="1" x="1843"/>
        <item m="1" x="1867"/>
        <item m="1" x="1881"/>
        <item m="1" x="1878"/>
        <item m="1" x="1458"/>
        <item m="1" x="1885"/>
        <item m="1" x="1880"/>
        <item m="1" x="1457"/>
        <item m="1" x="1889"/>
        <item m="1" x="1876"/>
        <item m="1" x="1444"/>
        <item m="1" x="1871"/>
        <item m="1" x="1623"/>
        <item m="1" x="1511"/>
        <item m="1" x="1873"/>
        <item x="385"/>
        <item x="960"/>
        <item x="1023"/>
        <item x="1265"/>
        <item x="573"/>
        <item x="961"/>
        <item x="1302"/>
        <item x="1299"/>
        <item m="1" x="1688"/>
        <item x="137"/>
        <item x="115"/>
        <item m="1" x="1443"/>
        <item x="154"/>
        <item m="1" x="1820"/>
        <item m="1" x="1819"/>
        <item m="1" x="1349"/>
        <item m="1" x="1350"/>
        <item x="2"/>
        <item m="1" x="1366"/>
        <item x="0"/>
        <item m="1" x="1455"/>
        <item x="1221"/>
        <item x="1276"/>
        <item x="1175"/>
        <item x="1208"/>
        <item x="629"/>
        <item x="376"/>
        <item m="1" x="1490"/>
        <item m="1" x="1636"/>
        <item m="1" x="1760"/>
        <item m="1" x="1561"/>
        <item m="1" x="1504"/>
        <item m="1" x="1708"/>
        <item x="130"/>
        <item x="128"/>
        <item x="118"/>
        <item x="129"/>
        <item x="114"/>
        <item x="132"/>
        <item x="135"/>
        <item x="111"/>
        <item x="598"/>
        <item x="1132"/>
        <item m="1" x="1551"/>
        <item m="1" x="1697"/>
        <item x="852"/>
        <item x="862"/>
        <item x="189"/>
        <item x="955"/>
        <item x="1085"/>
        <item x="620"/>
        <item x="929"/>
        <item x="1067"/>
        <item x="1199"/>
        <item m="1" x="1494"/>
        <item x="839"/>
        <item x="753"/>
        <item x="238"/>
        <item x="880"/>
        <item x="1226"/>
        <item x="1043"/>
        <item m="1" x="1466"/>
        <item x="362"/>
        <item x="671"/>
        <item x="266"/>
        <item m="1" x="1698"/>
        <item x="57"/>
        <item x="264"/>
        <item x="268"/>
        <item x="464"/>
        <item x="212"/>
        <item x="207"/>
        <item x="5"/>
        <item x="197"/>
        <item m="1" x="1424"/>
        <item x="208"/>
        <item x="1046"/>
        <item x="583"/>
        <item m="1" x="1532"/>
        <item m="1" x="1435"/>
        <item x="325"/>
        <item m="1" x="1562"/>
        <item x="384"/>
        <item x="644"/>
        <item x="282"/>
        <item x="8"/>
        <item x="400"/>
        <item x="1168"/>
        <item x="388"/>
        <item m="1" x="1422"/>
        <item x="1245"/>
        <item x="1110"/>
        <item x="213"/>
        <item x="302"/>
        <item x="185"/>
        <item m="1" x="1528"/>
        <item x="286"/>
        <item x="883"/>
        <item x="1165"/>
        <item x="965"/>
        <item x="1250"/>
        <item x="1050"/>
        <item x="994"/>
        <item x="1191"/>
        <item m="1" x="1627"/>
        <item x="305"/>
        <item m="1" x="1624"/>
        <item x="307"/>
        <item x="309"/>
        <item x="303"/>
        <item x="315"/>
        <item m="1" x="1530"/>
        <item m="1" x="1642"/>
        <item m="1" x="1474"/>
        <item m="1" x="1633"/>
        <item x="368"/>
        <item x="1207"/>
        <item x="288"/>
        <item x="774"/>
        <item x="1049"/>
        <item x="429"/>
        <item m="1" x="1396"/>
        <item m="1" x="1710"/>
        <item x="454"/>
        <item x="776"/>
        <item x="756"/>
        <item x="762"/>
        <item x="765"/>
        <item x="339"/>
        <item x="155"/>
        <item x="1274"/>
        <item x="957"/>
        <item m="1" x="1803"/>
        <item m="1" x="1679"/>
        <item m="1" x="1683"/>
        <item x="337"/>
        <item x="257"/>
        <item m="1" x="1860"/>
        <item x="102"/>
        <item x="1129"/>
        <item m="1" x="1591"/>
        <item m="1" x="1372"/>
        <item x="428"/>
        <item x="1116"/>
        <item x="1035"/>
        <item x="877"/>
        <item x="879"/>
        <item x="876"/>
        <item m="1" x="1826"/>
        <item x="1244"/>
        <item m="1" x="1544"/>
        <item x="210"/>
        <item x="285"/>
        <item m="1" x="1883"/>
        <item m="1" x="1622"/>
        <item x="447"/>
        <item m="1" x="1832"/>
        <item x="1064"/>
        <item m="1" x="1611"/>
        <item x="964"/>
        <item m="1" x="1416"/>
        <item x="401"/>
        <item m="1" x="1395"/>
        <item x="405"/>
        <item x="104"/>
        <item x="164"/>
        <item x="984"/>
        <item m="1" x="1572"/>
        <item x="389"/>
        <item m="1" x="1755"/>
        <item m="1" x="1757"/>
        <item m="1" x="1569"/>
        <item x="267"/>
        <item m="1" x="1577"/>
        <item x="1194"/>
        <item x="26"/>
        <item x="925"/>
        <item x="935"/>
        <item m="1" x="1694"/>
        <item x="1176"/>
        <item x="373"/>
        <item m="1" x="1861"/>
        <item x="1246"/>
        <item x="1216"/>
        <item x="1158"/>
        <item x="1154"/>
        <item m="1" x="1588"/>
        <item x="968"/>
        <item x="345"/>
        <item x="684"/>
        <item x="686"/>
        <item x="289"/>
        <item m="1" x="1546"/>
        <item m="1" x="1523"/>
        <item m="1" x="1436"/>
        <item x="301"/>
        <item x="281"/>
        <item x="969"/>
        <item x="985"/>
        <item m="1" x="1625"/>
        <item m="1" x="1378"/>
        <item x="548"/>
        <item x="22"/>
        <item x="1142"/>
        <item x="1153"/>
        <item x="146"/>
        <item x="798"/>
        <item m="1" x="1749"/>
        <item x="1163"/>
        <item x="194"/>
        <item x="235"/>
        <item x="882"/>
        <item x="422"/>
        <item x="418"/>
        <item m="1" x="1716"/>
        <item x="1255"/>
        <item x="406"/>
        <item x="413"/>
        <item x="1127"/>
        <item x="426"/>
        <item x="451"/>
        <item x="435"/>
        <item x="436"/>
        <item x="512"/>
        <item x="1212"/>
        <item m="1" x="1491"/>
        <item x="458"/>
        <item x="455"/>
        <item x="398"/>
        <item x="1065"/>
        <item x="17"/>
        <item x="898"/>
        <item m="1" x="1584"/>
        <item m="1" x="1392"/>
        <item m="1" x="1761"/>
        <item m="1" x="1538"/>
        <item m="1" x="1866"/>
        <item m="1" x="1536"/>
        <item m="1" x="1595"/>
        <item m="1" x="1726"/>
        <item x="215"/>
        <item m="1" x="1497"/>
        <item m="1" x="1809"/>
        <item x="757"/>
        <item x="1146"/>
        <item m="1" x="1432"/>
        <item x="50"/>
        <item x="752"/>
        <item x="630"/>
        <item m="1" x="1489"/>
        <item m="1" x="1714"/>
        <item m="1" x="1705"/>
        <item x="91"/>
        <item x="261"/>
        <item x="1268"/>
        <item m="1" x="1865"/>
        <item x="959"/>
        <item x="168"/>
        <item x="904"/>
        <item m="1" x="1470"/>
        <item x="881"/>
        <item x="477"/>
        <item x="693"/>
        <item x="468"/>
        <item x="480"/>
        <item x="471"/>
        <item x="479"/>
        <item x="460"/>
        <item x="453"/>
        <item x="474"/>
        <item x="676"/>
        <item x="134"/>
        <item m="1" x="1484"/>
        <item x="1103"/>
        <item x="462"/>
        <item x="347"/>
        <item m="1" x="1789"/>
        <item x="715"/>
        <item x="712"/>
        <item x="713"/>
        <item m="1" x="1601"/>
        <item m="1" x="1663"/>
        <item x="110"/>
        <item m="1" x="1613"/>
        <item x="1016"/>
        <item m="1" x="1425"/>
        <item m="1" x="1597"/>
        <item m="1" x="1526"/>
        <item m="1" x="1369"/>
        <item x="327"/>
        <item m="1" x="1438"/>
        <item m="1" x="1423"/>
        <item m="1" x="1682"/>
        <item m="1" x="1379"/>
        <item m="1" x="1383"/>
        <item m="1" x="1638"/>
        <item m="1" x="1534"/>
        <item m="1" x="1543"/>
        <item x="271"/>
        <item x="953"/>
        <item x="312"/>
        <item x="444"/>
        <item x="1108"/>
        <item x="224"/>
        <item x="78"/>
        <item x="507"/>
        <item x="1260"/>
        <item x="1267"/>
        <item x="321"/>
        <item m="1" x="1488"/>
        <item x="781"/>
        <item m="1" x="1487"/>
        <item m="1" x="1514"/>
        <item m="1" x="1603"/>
        <item m="1" x="1845"/>
        <item m="1" x="1555"/>
        <item x="1220"/>
        <item x="251"/>
        <item x="688"/>
        <item x="1295"/>
        <item m="1" x="1418"/>
        <item x="850"/>
        <item x="835"/>
        <item m="1" x="1547"/>
        <item x="1135"/>
        <item m="1" x="1368"/>
        <item x="978"/>
        <item x="1109"/>
        <item x="1018"/>
        <item m="1" x="1388"/>
        <item x="394"/>
        <item x="1093"/>
        <item x="844"/>
        <item x="1233"/>
        <item x="1032"/>
        <item x="32"/>
        <item m="1" x="1415"/>
        <item x="31"/>
        <item x="33"/>
        <item x="37"/>
        <item m="1" x="1456"/>
        <item x="1095"/>
        <item x="509"/>
        <item x="43"/>
        <item x="1026"/>
        <item x="150"/>
        <item x="1235"/>
        <item x="169"/>
        <item x="40"/>
        <item x="1232"/>
        <item x="172"/>
        <item x="497"/>
        <item x="473"/>
        <item x="209"/>
        <item x="703"/>
        <item x="1119"/>
        <item x="79"/>
        <item x="773"/>
        <item x="766"/>
        <item x="544"/>
        <item x="971"/>
        <item x="1180"/>
        <item x="231"/>
        <item x="501"/>
        <item x="1164"/>
        <item x="1287"/>
        <item m="1" x="1648"/>
        <item x="407"/>
        <item m="1" x="1581"/>
        <item x="1209"/>
        <item x="220"/>
        <item x="131"/>
        <item x="417"/>
        <item m="1" x="1469"/>
        <item x="866"/>
        <item x="574"/>
        <item x="623"/>
        <item x="200"/>
        <item x="1128"/>
        <item m="1" x="1376"/>
        <item m="1" x="1518"/>
        <item m="1" x="1519"/>
        <item m="1" x="1387"/>
        <item m="1" x="1733"/>
        <item m="1" x="1620"/>
        <item m="1" x="1590"/>
        <item m="1" x="1554"/>
        <item m="1" x="1370"/>
        <item x="383"/>
        <item x="1088"/>
        <item m="1" x="1859"/>
        <item x="84"/>
        <item x="986"/>
        <item x="974"/>
        <item x="681"/>
        <item x="927"/>
        <item x="352"/>
        <item x="393"/>
        <item x="1242"/>
        <item m="1" x="1371"/>
        <item x="171"/>
        <item x="343"/>
        <item m="1" x="1699"/>
        <item x="306"/>
        <item m="1" x="1548"/>
        <item x="151"/>
        <item x="1271"/>
        <item x="1270"/>
        <item x="1269"/>
        <item m="1" x="1836"/>
        <item x="907"/>
        <item x="906"/>
        <item x="911"/>
        <item x="912"/>
        <item x="908"/>
        <item x="913"/>
        <item x="914"/>
        <item x="905"/>
        <item m="1" x="1887"/>
        <item m="1" x="1841"/>
        <item x="156"/>
        <item m="1" x="1501"/>
        <item m="1" x="1766"/>
        <item m="1" x="1764"/>
        <item x="673"/>
        <item m="1" x="1341"/>
        <item x="672"/>
        <item x="667"/>
        <item x="666"/>
        <item x="525"/>
        <item x="664"/>
        <item x="492"/>
        <item x="21"/>
        <item m="1" x="1806"/>
        <item x="1217"/>
        <item x="643"/>
        <item x="367"/>
        <item m="1" x="1696"/>
        <item m="1" x="1690"/>
        <item x="279"/>
        <item x="240"/>
        <item m="1" x="1361"/>
        <item x="92"/>
        <item m="1" x="1723"/>
        <item x="353"/>
        <item x="949"/>
        <item x="524"/>
        <item m="1" x="1531"/>
        <item x="76"/>
        <item x="510"/>
        <item x="1011"/>
        <item x="1256"/>
        <item x="466"/>
        <item m="1" x="1643"/>
        <item m="1" x="1835"/>
        <item x="708"/>
        <item x="1071"/>
        <item x="694"/>
        <item x="696"/>
        <item x="805"/>
        <item x="687"/>
        <item x="1188"/>
        <item x="475"/>
        <item x="796"/>
        <item x="1039"/>
        <item x="1272"/>
        <item x="27"/>
        <item x="404"/>
        <item m="1" x="1635"/>
        <item x="1289"/>
        <item x="55"/>
        <item x="427"/>
        <item x="199"/>
        <item x="1238"/>
        <item x="275"/>
        <item x="182"/>
        <item x="992"/>
        <item m="1" x="1448"/>
        <item x="1130"/>
        <item x="1079"/>
        <item x="1096"/>
        <item x="815"/>
        <item x="809"/>
        <item m="1" x="1644"/>
        <item m="1" x="1464"/>
        <item m="1" x="1397"/>
        <item x="822"/>
        <item x="751"/>
        <item x="991"/>
        <item x="607"/>
        <item x="586"/>
        <item x="993"/>
        <item m="1" x="1451"/>
        <item m="1" x="1450"/>
        <item x="1167"/>
        <item x="174"/>
        <item m="1" x="1767"/>
        <item x="38"/>
        <item x="1101"/>
        <item x="23"/>
        <item x="1273"/>
        <item m="1" x="1834"/>
        <item x="902"/>
        <item m="1" x="1385"/>
        <item m="1" x="1463"/>
        <item x="1069"/>
        <item x="356"/>
        <item x="685"/>
        <item m="1" x="1445"/>
        <item x="191"/>
        <item x="706"/>
        <item x="707"/>
        <item x="702"/>
        <item x="1231"/>
        <item x="535"/>
        <item x="863"/>
        <item x="547"/>
        <item x="588"/>
        <item x="709"/>
        <item m="1" x="1420"/>
        <item x="656"/>
        <item x="1147"/>
        <item m="1" x="1780"/>
        <item t="default"/>
      </items>
      <autoSortScope>
        <pivotArea dataOnly="0" outline="0" fieldPosition="0">
          <references count="1">
            <reference field="4294967294" count="1" selected="0">
              <x v="0"/>
            </reference>
          </references>
        </pivotArea>
      </autoSortScope>
    </pivotField>
    <pivotField showAll="0"/>
    <pivotField showAll="0"/>
    <pivotField showAll="0">
      <items count="265">
        <item m="1" x="262"/>
        <item m="1" x="135"/>
        <item m="1" x="119"/>
        <item x="4"/>
        <item m="1" x="128"/>
        <item m="1" x="122"/>
        <item m="1" x="259"/>
        <item m="1" x="207"/>
        <item m="1" x="192"/>
        <item m="1" x="205"/>
        <item m="1" x="110"/>
        <item m="1" x="206"/>
        <item x="61"/>
        <item m="1" x="233"/>
        <item m="1" x="162"/>
        <item m="1" x="147"/>
        <item m="1" x="129"/>
        <item m="1" x="246"/>
        <item m="1" x="107"/>
        <item m="1" x="234"/>
        <item m="1" x="249"/>
        <item m="1" x="97"/>
        <item m="1" x="201"/>
        <item x="51"/>
        <item m="1" x="194"/>
        <item m="1" x="108"/>
        <item m="1" x="245"/>
        <item x="35"/>
        <item m="1" x="74"/>
        <item m="1" x="151"/>
        <item x="33"/>
        <item x="30"/>
        <item m="1" x="191"/>
        <item m="1" x="258"/>
        <item m="1" x="216"/>
        <item x="71"/>
        <item x="44"/>
        <item m="1" x="178"/>
        <item m="1" x="200"/>
        <item m="1" x="214"/>
        <item m="1" x="96"/>
        <item x="8"/>
        <item x="21"/>
        <item m="1" x="241"/>
        <item m="1" x="149"/>
        <item x="25"/>
        <item m="1" x="170"/>
        <item x="22"/>
        <item x="52"/>
        <item m="1" x="90"/>
        <item m="1" x="86"/>
        <item m="1" x="85"/>
        <item x="65"/>
        <item m="1" x="102"/>
        <item m="1" x="137"/>
        <item m="1" x="225"/>
        <item m="1" x="248"/>
        <item m="1" x="180"/>
        <item m="1" x="221"/>
        <item m="1" x="220"/>
        <item x="55"/>
        <item x="64"/>
        <item m="1" x="215"/>
        <item m="1" x="218"/>
        <item x="66"/>
        <item x="53"/>
        <item m="1" x="213"/>
        <item m="1" x="101"/>
        <item m="1" x="250"/>
        <item m="1" x="160"/>
        <item m="1" x="210"/>
        <item m="1" x="189"/>
        <item m="1" x="118"/>
        <item m="1" x="242"/>
        <item m="1" x="202"/>
        <item m="1" x="177"/>
        <item x="29"/>
        <item m="1" x="164"/>
        <item m="1" x="140"/>
        <item m="1" x="209"/>
        <item m="1" x="182"/>
        <item x="32"/>
        <item m="1" x="163"/>
        <item x="41"/>
        <item m="1" x="145"/>
        <item m="1" x="154"/>
        <item x="42"/>
        <item m="1" x="153"/>
        <item m="1" x="237"/>
        <item m="1" x="231"/>
        <item x="54"/>
        <item x="68"/>
        <item m="1" x="232"/>
        <item x="56"/>
        <item m="1" x="253"/>
        <item x="50"/>
        <item m="1" x="103"/>
        <item m="1" x="169"/>
        <item m="1" x="172"/>
        <item m="1" x="165"/>
        <item m="1" x="247"/>
        <item x="49"/>
        <item m="1" x="203"/>
        <item m="1" x="240"/>
        <item m="1" x="224"/>
        <item m="1" x="219"/>
        <item x="57"/>
        <item m="1" x="144"/>
        <item m="1" x="141"/>
        <item x="11"/>
        <item m="1" x="183"/>
        <item m="1" x="188"/>
        <item m="1" x="184"/>
        <item m="1" x="156"/>
        <item x="63"/>
        <item m="1" x="91"/>
        <item m="1" x="187"/>
        <item m="1" x="199"/>
        <item m="1" x="204"/>
        <item m="1" x="77"/>
        <item m="1" x="193"/>
        <item x="60"/>
        <item m="1" x="195"/>
        <item m="1" x="104"/>
        <item m="1" x="181"/>
        <item m="1" x="142"/>
        <item m="1" x="227"/>
        <item x="37"/>
        <item m="1" x="112"/>
        <item m="1" x="158"/>
        <item m="1" x="125"/>
        <item x="24"/>
        <item m="1" x="109"/>
        <item m="1" x="105"/>
        <item x="69"/>
        <item m="1" x="167"/>
        <item m="1" x="133"/>
        <item x="2"/>
        <item m="1" x="186"/>
        <item m="1" x="161"/>
        <item m="1" x="196"/>
        <item m="1" x="148"/>
        <item x="45"/>
        <item m="1" x="226"/>
        <item m="1" x="243"/>
        <item m="1" x="89"/>
        <item m="1" x="236"/>
        <item m="1" x="208"/>
        <item m="1" x="238"/>
        <item x="27"/>
        <item m="1" x="155"/>
        <item m="1" x="256"/>
        <item m="1" x="166"/>
        <item m="1" x="113"/>
        <item m="1" x="126"/>
        <item m="1" x="130"/>
        <item m="1" x="235"/>
        <item m="1" x="94"/>
        <item x="14"/>
        <item m="1" x="106"/>
        <item m="1" x="190"/>
        <item x="40"/>
        <item m="1" x="217"/>
        <item m="1" x="136"/>
        <item x="3"/>
        <item x="48"/>
        <item m="1" x="251"/>
        <item m="1" x="157"/>
        <item x="59"/>
        <item x="58"/>
        <item m="1" x="127"/>
        <item m="1" x="138"/>
        <item m="1" x="117"/>
        <item m="1" x="87"/>
        <item m="1" x="143"/>
        <item m="1" x="152"/>
        <item x="73"/>
        <item m="1" x="131"/>
        <item x="9"/>
        <item x="20"/>
        <item m="1" x="124"/>
        <item m="1" x="134"/>
        <item m="1" x="121"/>
        <item x="6"/>
        <item m="1" x="197"/>
        <item x="13"/>
        <item m="1" x="229"/>
        <item m="1" x="84"/>
        <item m="1" x="79"/>
        <item m="1" x="82"/>
        <item x="18"/>
        <item x="0"/>
        <item m="1" x="83"/>
        <item m="1" x="93"/>
        <item m="1" x="176"/>
        <item m="1" x="171"/>
        <item x="47"/>
        <item x="17"/>
        <item m="1" x="139"/>
        <item m="1" x="114"/>
        <item m="1" x="261"/>
        <item m="1" x="92"/>
        <item m="1" x="173"/>
        <item x="67"/>
        <item x="19"/>
        <item m="1" x="255"/>
        <item x="38"/>
        <item m="1" x="81"/>
        <item m="1" x="223"/>
        <item m="1" x="239"/>
        <item m="1" x="123"/>
        <item m="1" x="212"/>
        <item m="1" x="146"/>
        <item m="1" x="100"/>
        <item x="31"/>
        <item x="72"/>
        <item x="7"/>
        <item m="1" x="111"/>
        <item x="70"/>
        <item x="23"/>
        <item m="1" x="198"/>
        <item x="10"/>
        <item m="1" x="222"/>
        <item x="28"/>
        <item m="1" x="115"/>
        <item m="1" x="257"/>
        <item m="1" x="116"/>
        <item x="1"/>
        <item m="1" x="95"/>
        <item x="12"/>
        <item m="1" x="120"/>
        <item m="1" x="175"/>
        <item m="1" x="254"/>
        <item x="15"/>
        <item m="1" x="80"/>
        <item x="39"/>
        <item m="1" x="230"/>
        <item m="1" x="228"/>
        <item x="5"/>
        <item x="62"/>
        <item m="1" x="159"/>
        <item x="26"/>
        <item m="1" x="88"/>
        <item m="1" x="174"/>
        <item x="46"/>
        <item m="1" x="98"/>
        <item m="1" x="76"/>
        <item m="1" x="260"/>
        <item m="1" x="244"/>
        <item m="1" x="179"/>
        <item x="34"/>
        <item m="1" x="211"/>
        <item m="1" x="168"/>
        <item m="1" x="132"/>
        <item m="1" x="75"/>
        <item m="1" x="252"/>
        <item x="43"/>
        <item m="1" x="99"/>
        <item m="1" x="185"/>
        <item m="1" x="263"/>
        <item m="1" x="150"/>
        <item x="36"/>
        <item x="16"/>
        <item m="1" x="78"/>
        <item t="default"/>
      </items>
    </pivotField>
    <pivotField showAll="0"/>
    <pivotField showAll="0"/>
    <pivotField showAll="0">
      <items count="25">
        <item x="10"/>
        <item x="16"/>
        <item x="0"/>
        <item x="11"/>
        <item m="1" x="23"/>
        <item x="7"/>
        <item m="1" x="22"/>
        <item x="8"/>
        <item x="15"/>
        <item x="2"/>
        <item x="4"/>
        <item x="18"/>
        <item x="14"/>
        <item x="5"/>
        <item x="1"/>
        <item x="9"/>
        <item x="13"/>
        <item x="6"/>
        <item m="1" x="19"/>
        <item x="17"/>
        <item m="1" x="21"/>
        <item x="3"/>
        <item m="1" x="20"/>
        <item x="12"/>
        <item t="default"/>
      </items>
    </pivotField>
    <pivotField showAll="0"/>
    <pivotField showAll="0"/>
    <pivotField showAll="0">
      <items count="171">
        <item m="1" x="64"/>
        <item m="1" x="114"/>
        <item m="1" x="151"/>
        <item m="1" x="166"/>
        <item m="1" x="162"/>
        <item m="1" x="167"/>
        <item m="1" x="165"/>
        <item m="1" x="156"/>
        <item m="1" x="164"/>
        <item m="1" x="163"/>
        <item m="1" x="148"/>
        <item m="1" x="154"/>
        <item m="1" x="118"/>
        <item m="1" x="117"/>
        <item m="1" x="157"/>
        <item m="1" x="116"/>
        <item m="1" x="150"/>
        <item m="1" x="133"/>
        <item m="1" x="168"/>
        <item m="1" x="115"/>
        <item m="1" x="169"/>
        <item m="1" x="141"/>
        <item m="1" x="158"/>
        <item m="1" x="160"/>
        <item m="1" x="159"/>
        <item m="1" x="155"/>
        <item m="1" x="161"/>
        <item m="1" x="103"/>
        <item m="1" x="81"/>
        <item m="1" x="109"/>
        <item m="1" x="94"/>
        <item m="1" x="113"/>
        <item m="1" x="149"/>
        <item m="1" x="97"/>
        <item m="1" x="125"/>
        <item m="1" x="105"/>
        <item m="1" x="144"/>
        <item m="1" x="124"/>
        <item m="1" x="104"/>
        <item m="1" x="71"/>
        <item m="1" x="152"/>
        <item m="1" x="65"/>
        <item m="1" x="101"/>
        <item x="54"/>
        <item x="31"/>
        <item m="1" x="112"/>
        <item m="1" x="77"/>
        <item m="1" x="73"/>
        <item m="1" x="119"/>
        <item m="1" x="123"/>
        <item x="52"/>
        <item m="1" x="76"/>
        <item m="1" x="102"/>
        <item m="1" x="67"/>
        <item m="1" x="122"/>
        <item m="1" x="106"/>
        <item x="21"/>
        <item m="1" x="100"/>
        <item x="59"/>
        <item m="1" x="68"/>
        <item m="1" x="111"/>
        <item m="1" x="79"/>
        <item m="1" x="108"/>
        <item x="40"/>
        <item m="1" x="74"/>
        <item m="1" x="70"/>
        <item x="19"/>
        <item x="44"/>
        <item m="1" x="98"/>
        <item m="1" x="66"/>
        <item m="1" x="69"/>
        <item m="1" x="138"/>
        <item m="1" x="146"/>
        <item m="1" x="128"/>
        <item m="1" x="78"/>
        <item m="1" x="75"/>
        <item m="1" x="136"/>
        <item m="1" x="89"/>
        <item m="1" x="145"/>
        <item x="62"/>
        <item m="1" x="121"/>
        <item m="1" x="139"/>
        <item m="1" x="107"/>
        <item m="1" x="140"/>
        <item m="1" x="80"/>
        <item m="1" x="130"/>
        <item x="60"/>
        <item m="1" x="88"/>
        <item m="1" x="153"/>
        <item m="1" x="96"/>
        <item m="1" x="91"/>
        <item m="1" x="131"/>
        <item m="1" x="132"/>
        <item m="1" x="92"/>
        <item m="1" x="134"/>
        <item x="61"/>
        <item m="1" x="82"/>
        <item m="1" x="143"/>
        <item m="1" x="137"/>
        <item m="1" x="129"/>
        <item m="1" x="120"/>
        <item m="1" x="127"/>
        <item m="1" x="147"/>
        <item m="1" x="126"/>
        <item x="56"/>
        <item m="1" x="142"/>
        <item m="1" x="87"/>
        <item m="1" x="83"/>
        <item m="1" x="86"/>
        <item m="1" x="90"/>
        <item m="1" x="110"/>
        <item x="37"/>
        <item m="1" x="93"/>
        <item x="58"/>
        <item x="51"/>
        <item x="41"/>
        <item x="35"/>
        <item x="63"/>
        <item m="1" x="135"/>
        <item m="1" x="84"/>
        <item m="1" x="85"/>
        <item x="57"/>
        <item x="39"/>
        <item m="1" x="99"/>
        <item x="53"/>
        <item m="1" x="95"/>
        <item x="49"/>
        <item x="38"/>
        <item m="1" x="72"/>
        <item x="2"/>
        <item x="45"/>
        <item x="46"/>
        <item x="11"/>
        <item x="43"/>
        <item x="4"/>
        <item x="55"/>
        <item x="48"/>
        <item x="33"/>
        <item x="30"/>
        <item x="50"/>
        <item x="0"/>
        <item x="42"/>
        <item x="47"/>
        <item x="36"/>
        <item x="23"/>
        <item x="32"/>
        <item x="6"/>
        <item x="10"/>
        <item x="22"/>
        <item x="25"/>
        <item x="24"/>
        <item x="15"/>
        <item x="5"/>
        <item x="29"/>
        <item x="1"/>
        <item x="27"/>
        <item x="9"/>
        <item x="28"/>
        <item x="8"/>
        <item x="14"/>
        <item x="18"/>
        <item x="3"/>
        <item x="7"/>
        <item x="20"/>
        <item x="17"/>
        <item x="12"/>
        <item x="13"/>
        <item x="26"/>
        <item x="16"/>
        <item x="34"/>
        <item t="default"/>
      </items>
    </pivotField>
    <pivotField showAll="0">
      <items count="4">
        <item x="2"/>
        <item x="0"/>
        <item x="1"/>
        <item t="default"/>
      </items>
    </pivotField>
    <pivotField showAll="0"/>
    <pivotField dataField="1" showAll="0"/>
  </pivotFields>
  <rowFields count="1">
    <field x="0"/>
  </rowFields>
  <rowItems count="11">
    <i>
      <x v="760"/>
    </i>
    <i>
      <x v="1734"/>
    </i>
    <i>
      <x v="588"/>
    </i>
    <i>
      <x v="139"/>
    </i>
    <i>
      <x v="207"/>
    </i>
    <i>
      <x v="173"/>
    </i>
    <i>
      <x v="589"/>
    </i>
    <i>
      <x v="979"/>
    </i>
    <i>
      <x v="306"/>
    </i>
    <i>
      <x v="223"/>
    </i>
    <i t="grand">
      <x/>
    </i>
  </rowItems>
  <colItems count="1">
    <i/>
  </colItems>
  <dataFields count="1">
    <dataField name="Sum of ENGAGEMENT SCORE" fld="12" baseField="0" baseItem="566"/>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35D48F-7C89-471B-B6CB-499D0E83E91A}" name="ptTopAutho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4:N16" firstHeaderRow="1" firstDataRow="1" firstDataCol="1"/>
  <pivotFields count="13">
    <pivotField dataField="1" showAll="0" countASubtotal="1"/>
    <pivotField axis="axisRow" showAll="0" measureFilter="1" sortType="descending">
      <items count="1452">
        <item m="1" x="1449"/>
        <item m="1" x="1306"/>
        <item x="909"/>
        <item x="185"/>
        <item x="342"/>
        <item x="558"/>
        <item m="1" x="1300"/>
        <item x="164"/>
        <item m="1" x="1448"/>
        <item x="1022"/>
        <item x="478"/>
        <item m="1" x="1143"/>
        <item x="979"/>
        <item x="272"/>
        <item x="431"/>
        <item m="1" x="1297"/>
        <item x="639"/>
        <item x="359"/>
        <item x="1030"/>
        <item m="1" x="1349"/>
        <item x="492"/>
        <item m="1" x="1159"/>
        <item x="234"/>
        <item m="1" x="1404"/>
        <item x="122"/>
        <item x="237"/>
        <item x="943"/>
        <item x="426"/>
        <item x="232"/>
        <item x="904"/>
        <item x="200"/>
        <item m="1" x="1367"/>
        <item m="1" x="1347"/>
        <item x="85"/>
        <item x="950"/>
        <item x="789"/>
        <item x="1019"/>
        <item x="372"/>
        <item m="1" x="1305"/>
        <item m="1" x="1423"/>
        <item m="1" x="1277"/>
        <item x="442"/>
        <item x="1003"/>
        <item x="876"/>
        <item x="559"/>
        <item x="557"/>
        <item m="1" x="1339"/>
        <item m="1" x="1413"/>
        <item x="831"/>
        <item x="884"/>
        <item x="447"/>
        <item x="138"/>
        <item x="107"/>
        <item m="1" x="1350"/>
        <item x="136"/>
        <item x="522"/>
        <item x="598"/>
        <item m="1" x="1170"/>
        <item x="588"/>
        <item x="405"/>
        <item x="888"/>
        <item x="1074"/>
        <item x="98"/>
        <item x="242"/>
        <item x="128"/>
        <item x="247"/>
        <item x="97"/>
        <item x="693"/>
        <item x="254"/>
        <item x="428"/>
        <item x="528"/>
        <item x="642"/>
        <item x="169"/>
        <item x="31"/>
        <item x="895"/>
        <item x="584"/>
        <item x="530"/>
        <item x="534"/>
        <item x="928"/>
        <item x="1041"/>
        <item x="394"/>
        <item m="1" x="1420"/>
        <item x="23"/>
        <item m="1" x="1229"/>
        <item x="894"/>
        <item x="937"/>
        <item x="445"/>
        <item x="285"/>
        <item x="829"/>
        <item x="417"/>
        <item m="1" x="1265"/>
        <item x="17"/>
        <item m="1" x="1266"/>
        <item x="155"/>
        <item x="337"/>
        <item x="415"/>
        <item x="287"/>
        <item x="746"/>
        <item m="1" x="1427"/>
        <item x="946"/>
        <item x="475"/>
        <item x="1046"/>
        <item x="751"/>
        <item x="211"/>
        <item x="374"/>
        <item x="626"/>
        <item x="627"/>
        <item x="986"/>
        <item x="217"/>
        <item x="233"/>
        <item m="1" x="1163"/>
        <item x="216"/>
        <item x="375"/>
        <item x="13"/>
        <item x="1134"/>
        <item x="114"/>
        <item x="999"/>
        <item x="266"/>
        <item x="453"/>
        <item x="637"/>
        <item x="70"/>
        <item m="1" x="1235"/>
        <item x="14"/>
        <item x="1100"/>
        <item x="892"/>
        <item x="257"/>
        <item x="212"/>
        <item x="148"/>
        <item m="1" x="1162"/>
        <item x="960"/>
        <item x="552"/>
        <item x="313"/>
        <item x="54"/>
        <item x="571"/>
        <item m="1" x="1221"/>
        <item x="917"/>
        <item m="1" x="1385"/>
        <item m="1" x="1176"/>
        <item x="682"/>
        <item x="735"/>
        <item x="261"/>
        <item m="1" x="1223"/>
        <item x="37"/>
        <item x="446"/>
        <item x="550"/>
        <item x="82"/>
        <item x="320"/>
        <item x="679"/>
        <item x="556"/>
        <item x="159"/>
        <item m="1" x="1238"/>
        <item m="1" x="1205"/>
        <item x="120"/>
        <item x="613"/>
        <item x="541"/>
        <item m="1" x="1354"/>
        <item x="1103"/>
        <item x="562"/>
        <item x="378"/>
        <item x="172"/>
        <item x="92"/>
        <item x="820"/>
        <item x="823"/>
        <item x="819"/>
        <item m="1" x="1182"/>
        <item m="1" x="1322"/>
        <item m="1" x="1295"/>
        <item x="434"/>
        <item x="914"/>
        <item x="2"/>
        <item x="1020"/>
        <item x="469"/>
        <item x="436"/>
        <item x="1118"/>
        <item x="29"/>
        <item x="1124"/>
        <item x="59"/>
        <item x="800"/>
        <item x="277"/>
        <item x="554"/>
        <item x="523"/>
        <item x="593"/>
        <item x="46"/>
        <item x="977"/>
        <item x="448"/>
        <item m="1" x="1357"/>
        <item m="1" x="1414"/>
        <item x="329"/>
        <item x="944"/>
        <item x="808"/>
        <item m="1" x="1316"/>
        <item x="652"/>
        <item x="44"/>
        <item x="174"/>
        <item m="1" x="1344"/>
        <item x="923"/>
        <item m="1" x="1215"/>
        <item m="1" x="1359"/>
        <item m="1" x="1376"/>
        <item x="755"/>
        <item x="384"/>
        <item x="586"/>
        <item x="581"/>
        <item m="1" x="1148"/>
        <item x="590"/>
        <item x="908"/>
        <item x="1125"/>
        <item x="258"/>
        <item x="437"/>
        <item x="994"/>
        <item x="33"/>
        <item x="753"/>
        <item x="824"/>
        <item x="86"/>
        <item x="221"/>
        <item x="339"/>
        <item x="376"/>
        <item x="511"/>
        <item x="866"/>
        <item x="767"/>
        <item x="645"/>
        <item x="848"/>
        <item x="747"/>
        <item m="1" x="1348"/>
        <item x="418"/>
        <item x="945"/>
        <item x="143"/>
        <item x="292"/>
        <item x="1042"/>
        <item x="422"/>
        <item x="1009"/>
        <item x="243"/>
        <item x="825"/>
        <item x="108"/>
        <item x="915"/>
        <item m="1" x="1233"/>
        <item m="1" x="1390"/>
        <item x="1091"/>
        <item m="1" x="1184"/>
        <item x="465"/>
        <item x="267"/>
        <item x="213"/>
        <item x="690"/>
        <item x="967"/>
        <item x="421"/>
        <item x="874"/>
        <item x="580"/>
        <item m="1" x="1402"/>
        <item x="625"/>
        <item x="787"/>
        <item x="244"/>
        <item x="683"/>
        <item x="493"/>
        <item x="99"/>
        <item x="736"/>
        <item x="1036"/>
        <item x="362"/>
        <item x="389"/>
        <item m="1" x="1149"/>
        <item x="507"/>
        <item x="66"/>
        <item x="771"/>
        <item x="1129"/>
        <item x="1052"/>
        <item x="990"/>
        <item x="1098"/>
        <item x="344"/>
        <item x="1013"/>
        <item x="1122"/>
        <item x="520"/>
        <item x="959"/>
        <item x="1078"/>
        <item x="121"/>
        <item x="1126"/>
        <item x="889"/>
        <item x="173"/>
        <item x="745"/>
        <item x="791"/>
        <item x="839"/>
        <item x="231"/>
        <item x="340"/>
        <item x="987"/>
        <item m="1" x="1409"/>
        <item x="953"/>
        <item x="341"/>
        <item x="1114"/>
        <item x="644"/>
        <item x="140"/>
        <item x="35"/>
        <item x="150"/>
        <item x="90"/>
        <item x="618"/>
        <item x="413"/>
        <item x="539"/>
        <item x="730"/>
        <item x="805"/>
        <item x="391"/>
        <item x="763"/>
        <item x="939"/>
        <item x="1132"/>
        <item m="1" x="1340"/>
        <item m="1" x="1353"/>
        <item x="1045"/>
        <item x="684"/>
        <item x="759"/>
        <item x="717"/>
        <item x="958"/>
        <item x="989"/>
        <item x="970"/>
        <item x="916"/>
        <item x="435"/>
        <item x="399"/>
        <item x="676"/>
        <item x="921"/>
        <item x="346"/>
        <item m="1" x="1313"/>
        <item x="176"/>
        <item x="189"/>
        <item x="192"/>
        <item x="1081"/>
        <item x="137"/>
        <item x="468"/>
        <item x="215"/>
        <item m="1" x="1161"/>
        <item x="286"/>
        <item x="303"/>
        <item x="168"/>
        <item x="380"/>
        <item m="1" x="1151"/>
        <item x="666"/>
        <item x="797"/>
        <item x="15"/>
        <item x="386"/>
        <item m="1" x="1228"/>
        <item m="1" x="1173"/>
        <item m="1" x="1150"/>
        <item m="1" x="1279"/>
        <item x="195"/>
        <item m="1" x="1343"/>
        <item m="1" x="1380"/>
        <item m="1" x="1236"/>
        <item m="1" x="1308"/>
        <item x="438"/>
        <item x="187"/>
        <item m="1" x="1208"/>
        <item x="26"/>
        <item x="106"/>
        <item x="461"/>
        <item x="714"/>
        <item m="1" x="1407"/>
        <item m="1" x="1155"/>
        <item x="1086"/>
        <item x="827"/>
        <item x="347"/>
        <item x="788"/>
        <item x="695"/>
        <item x="821"/>
        <item x="420"/>
        <item x="513"/>
        <item x="716"/>
        <item x="973"/>
        <item x="432"/>
        <item x="878"/>
        <item x="414"/>
        <item x="449"/>
        <item x="869"/>
        <item x="900"/>
        <item x="732"/>
        <item x="180"/>
        <item x="240"/>
        <item x="409"/>
        <item x="514"/>
        <item x="1012"/>
        <item x="978"/>
        <item x="52"/>
        <item m="1" x="1424"/>
        <item x="764"/>
        <item x="289"/>
        <item x="471"/>
        <item x="182"/>
        <item x="1109"/>
        <item x="524"/>
        <item x="850"/>
        <item x="1016"/>
        <item x="318"/>
        <item x="472"/>
        <item x="279"/>
        <item x="280"/>
        <item x="11"/>
        <item x="1026"/>
        <item x="830"/>
        <item x="506"/>
        <item x="901"/>
        <item x="490"/>
        <item x="491"/>
        <item x="561"/>
        <item x="632"/>
        <item x="117"/>
        <item m="1" x="1395"/>
        <item x="1069"/>
        <item x="63"/>
        <item x="569"/>
        <item m="1" x="1147"/>
        <item x="857"/>
        <item x="109"/>
        <item m="1" x="1275"/>
        <item x="737"/>
        <item x="323"/>
        <item x="241"/>
        <item x="992"/>
        <item x="496"/>
        <item x="707"/>
        <item x="817"/>
        <item x="484"/>
        <item x="783"/>
        <item x="726"/>
        <item m="1" x="1172"/>
        <item x="752"/>
        <item m="1" x="1309"/>
        <item x="1067"/>
        <item m="1" x="1320"/>
        <item m="1" x="1230"/>
        <item m="1" x="1419"/>
        <item x="754"/>
        <item x="411"/>
        <item x="171"/>
        <item x="423"/>
        <item m="1" x="1418"/>
        <item x="790"/>
        <item x="379"/>
        <item x="297"/>
        <item x="891"/>
        <item x="628"/>
        <item x="846"/>
        <item x="619"/>
        <item x="268"/>
        <item x="1119"/>
        <item x="875"/>
        <item x="338"/>
        <item x="803"/>
        <item x="689"/>
        <item x="497"/>
        <item m="1" x="1406"/>
        <item m="1" x="1373"/>
        <item m="1" x="1200"/>
        <item x="640"/>
        <item x="545"/>
        <item m="1" x="1164"/>
        <item x="1090"/>
        <item x="843"/>
        <item x="844"/>
        <item x="1089"/>
        <item x="1102"/>
        <item m="1" x="1416"/>
        <item m="1" x="1231"/>
        <item m="1" x="1319"/>
        <item x="482"/>
        <item x="403"/>
        <item x="725"/>
        <item x="723"/>
        <item m="1" x="1144"/>
        <item x="1032"/>
        <item x="333"/>
        <item x="761"/>
        <item x="1083"/>
        <item x="546"/>
        <item m="1" x="1428"/>
        <item x="345"/>
        <item x="811"/>
        <item x="259"/>
        <item x="886"/>
        <item x="252"/>
        <item x="623"/>
        <item x="981"/>
        <item m="1" x="1242"/>
        <item m="1" x="1298"/>
        <item m="1" x="1312"/>
        <item m="1" x="1310"/>
        <item m="1" x="1328"/>
        <item m="1" x="1388"/>
        <item m="1" x="1370"/>
        <item x="451"/>
        <item m="1" x="1401"/>
        <item x="527"/>
        <item x="822"/>
        <item x="124"/>
        <item x="48"/>
        <item x="936"/>
        <item x="702"/>
        <item x="798"/>
        <item x="317"/>
        <item m="1" x="1203"/>
        <item m="1" x="1216"/>
        <item x="308"/>
        <item x="1076"/>
        <item m="1" x="1429"/>
        <item x="467"/>
        <item x="433"/>
        <item x="965"/>
        <item x="459"/>
        <item x="371"/>
        <item x="567"/>
        <item m="1" x="1303"/>
        <item x="525"/>
        <item x="486"/>
        <item x="42"/>
        <item x="1061"/>
        <item x="395"/>
        <item x="1135"/>
        <item x="22"/>
        <item m="1" x="1422"/>
        <item x="102"/>
        <item x="656"/>
        <item m="1" x="1412"/>
        <item m="1" x="1379"/>
        <item x="543"/>
        <item m="1" x="1234"/>
        <item m="1" x="1377"/>
        <item m="1" x="1425"/>
        <item m="1" x="1366"/>
        <item m="1" x="1352"/>
        <item m="1" x="1179"/>
        <item m="1" x="1183"/>
        <item m="1" x="1381"/>
        <item x="1079"/>
        <item m="1" x="1218"/>
        <item x="61"/>
        <item x="327"/>
        <item x="161"/>
        <item m="1" x="1286"/>
        <item m="1" x="1237"/>
        <item x="512"/>
        <item x="387"/>
        <item x="906"/>
        <item x="934"/>
        <item x="24"/>
        <item x="729"/>
        <item x="65"/>
        <item x="440"/>
        <item x="210"/>
        <item x="742"/>
        <item m="1" x="1329"/>
        <item m="1" x="1261"/>
        <item m="1" x="1180"/>
        <item m="1" x="1374"/>
        <item m="1" x="1207"/>
        <item x="646"/>
        <item x="510"/>
        <item x="535"/>
        <item x="205"/>
        <item x="196"/>
        <item x="635"/>
        <item m="1" x="1364"/>
        <item x="147"/>
        <item x="146"/>
        <item x="518"/>
        <item x="219"/>
        <item x="918"/>
        <item x="698"/>
        <item x="538"/>
        <item x="91"/>
        <item m="1" x="1446"/>
        <item x="611"/>
        <item x="357"/>
        <item x="494"/>
        <item m="1" x="1160"/>
        <item x="711"/>
        <item x="529"/>
        <item x="1136"/>
        <item x="500"/>
        <item x="135"/>
        <item x="203"/>
        <item x="473"/>
        <item x="271"/>
        <item x="67"/>
        <item x="56"/>
        <item x="902"/>
        <item x="1004"/>
        <item x="149"/>
        <item x="883"/>
        <item x="738"/>
        <item x="1048"/>
        <item x="1049"/>
        <item x="1101"/>
        <item m="1" x="1198"/>
        <item x="651"/>
        <item m="1" x="1197"/>
        <item m="1" x="1187"/>
        <item x="773"/>
        <item m="1" x="1365"/>
        <item x="865"/>
        <item m="1" x="1342"/>
        <item x="1015"/>
        <item m="1" x="1326"/>
        <item x="199"/>
        <item m="1" x="1239"/>
        <item m="1" x="1399"/>
        <item x="610"/>
        <item x="809"/>
        <item x="366"/>
        <item x="27"/>
        <item x="488"/>
        <item x="489"/>
        <item x="536"/>
        <item m="1" x="1355"/>
        <item x="119"/>
        <item x="1054"/>
        <item x="566"/>
        <item x="83"/>
        <item x="214"/>
        <item x="335"/>
        <item x="1116"/>
        <item x="466"/>
        <item x="853"/>
        <item m="1" x="1157"/>
        <item x="455"/>
        <item x="774"/>
        <item m="1" x="1389"/>
        <item x="624"/>
        <item x="363"/>
        <item x="860"/>
        <item x="364"/>
        <item x="880"/>
        <item x="1104"/>
        <item x="591"/>
        <item x="517"/>
        <item x="382"/>
        <item x="229"/>
        <item x="162"/>
        <item x="972"/>
        <item x="293"/>
        <item x="544"/>
        <item x="814"/>
        <item x="964"/>
        <item m="1" x="1274"/>
        <item m="1" x="1283"/>
        <item x="935"/>
        <item x="1033"/>
        <item x="696"/>
        <item x="291"/>
        <item x="1105"/>
        <item m="1" x="1278"/>
        <item x="515"/>
        <item x="922"/>
        <item x="93"/>
        <item x="1057"/>
        <item x="519"/>
        <item m="1" x="1336"/>
        <item m="1" x="1302"/>
        <item m="1" x="1341"/>
        <item m="1" x="1403"/>
        <item x="1123"/>
        <item x="756"/>
        <item x="688"/>
        <item x="68"/>
        <item x="51"/>
        <item m="1" x="1210"/>
        <item m="1" x="1181"/>
        <item x="354"/>
        <item x="608"/>
        <item x="657"/>
        <item x="123"/>
        <item x="858"/>
        <item x="919"/>
        <item x="603"/>
        <item x="167"/>
        <item m="1" x="1191"/>
        <item m="1" x="1178"/>
        <item x="64"/>
        <item x="1018"/>
        <item x="186"/>
        <item m="1" x="1284"/>
        <item x="638"/>
        <item x="575"/>
        <item x="349"/>
        <item x="130"/>
        <item x="582"/>
        <item x="785"/>
        <item m="1" x="1240"/>
        <item m="1" x="1426"/>
        <item m="1" x="1334"/>
        <item x="728"/>
        <item m="1" x="1333"/>
        <item x="356"/>
        <item x="601"/>
        <item x="57"/>
        <item x="383"/>
        <item x="662"/>
        <item x="622"/>
        <item x="691"/>
        <item x="402"/>
        <item x="265"/>
        <item x="605"/>
        <item x="393"/>
        <item x="450"/>
        <item x="160"/>
        <item x="720"/>
        <item x="881"/>
        <item x="664"/>
        <item x="855"/>
        <item m="1" x="1194"/>
        <item x="1014"/>
        <item x="680"/>
        <item x="110"/>
        <item x="458"/>
        <item x="245"/>
        <item x="617"/>
        <item m="1" x="1421"/>
        <item m="1" x="1211"/>
        <item x="1005"/>
        <item x="166"/>
        <item x="1040"/>
        <item x="796"/>
        <item x="218"/>
        <item x="980"/>
        <item x="157"/>
        <item x="1044"/>
        <item x="306"/>
        <item x="224"/>
        <item x="750"/>
        <item x="94"/>
        <item x="845"/>
        <item x="710"/>
        <item x="703"/>
        <item x="988"/>
        <item x="127"/>
        <item x="802"/>
        <item x="1051"/>
        <item x="131"/>
        <item x="360"/>
        <item x="201"/>
        <item x="868"/>
        <item x="849"/>
        <item x="361"/>
        <item x="555"/>
        <item x="134"/>
        <item x="551"/>
        <item x="158"/>
        <item x="743"/>
        <item x="1063"/>
        <item x="925"/>
        <item x="40"/>
        <item x="700"/>
        <item x="1024"/>
        <item x="692"/>
        <item x="757"/>
        <item x="549"/>
        <item x="792"/>
        <item x="424"/>
        <item x="429"/>
        <item x="1133"/>
        <item x="301"/>
        <item x="840"/>
        <item x="834"/>
        <item x="778"/>
        <item x="1039"/>
        <item x="852"/>
        <item x="532"/>
        <item x="1021"/>
        <item m="1" x="1338"/>
        <item x="508"/>
        <item x="250"/>
        <item x="540"/>
        <item x="957"/>
        <item x="1001"/>
        <item x="1031"/>
        <item m="1" x="1332"/>
        <item x="1002"/>
        <item x="563"/>
        <item x="1087"/>
        <item x="775"/>
        <item x="826"/>
        <item x="633"/>
        <item x="533"/>
        <item x="1000"/>
        <item x="893"/>
        <item x="225"/>
        <item m="1" x="1196"/>
        <item x="577"/>
        <item x="828"/>
        <item m="1" x="1431"/>
        <item m="1" x="1156"/>
        <item x="833"/>
        <item m="1" x="1202"/>
        <item x="269"/>
        <item m="1" x="1166"/>
        <item m="1" x="1345"/>
        <item m="1" x="1199"/>
        <item m="1" x="1213"/>
        <item m="1" x="1165"/>
        <item m="1" x="1369"/>
        <item x="516"/>
        <item x="863"/>
        <item x="206"/>
        <item m="1" x="1435"/>
        <item x="776"/>
        <item x="1050"/>
        <item x="673"/>
        <item x="116"/>
        <item x="105"/>
        <item x="649"/>
        <item m="1" x="1209"/>
        <item x="408"/>
        <item x="60"/>
        <item x="715"/>
        <item x="712"/>
        <item x="509"/>
        <item x="963"/>
        <item x="71"/>
        <item x="197"/>
        <item x="706"/>
        <item x="721"/>
        <item x="25"/>
        <item x="952"/>
        <item x="694"/>
        <item x="615"/>
        <item x="905"/>
        <item x="903"/>
        <item x="95"/>
        <item x="940"/>
        <item x="1070"/>
        <item x="170"/>
        <item x="685"/>
        <item x="298"/>
        <item x="782"/>
        <item x="41"/>
        <item x="273"/>
        <item m="1" x="1307"/>
        <item x="722"/>
        <item x="334"/>
        <item x="190"/>
        <item m="1" x="1371"/>
        <item x="1028"/>
        <item x="208"/>
        <item x="304"/>
        <item x="951"/>
        <item x="1023"/>
        <item x="907"/>
        <item x="667"/>
        <item x="144"/>
        <item x="1111"/>
        <item x="997"/>
        <item x="795"/>
        <item x="73"/>
        <item x="636"/>
        <item x="531"/>
        <item x="616"/>
        <item x="1065"/>
        <item x="202"/>
        <item x="62"/>
        <item x="179"/>
        <item x="872"/>
        <item x="12"/>
        <item x="602"/>
        <item x="274"/>
        <item x="249"/>
        <item x="326"/>
        <item x="807"/>
        <item x="145"/>
        <item x="976"/>
        <item x="443"/>
        <item x="236"/>
        <item x="439"/>
        <item x="441"/>
        <item x="589"/>
        <item x="799"/>
        <item x="6"/>
        <item x="454"/>
        <item x="314"/>
        <item x="1011"/>
        <item x="835"/>
        <item x="837"/>
        <item m="1" x="1226"/>
        <item x="882"/>
        <item x="838"/>
        <item m="1" x="1375"/>
        <item m="1" x="1311"/>
        <item m="1" x="1301"/>
        <item x="927"/>
        <item x="141"/>
        <item x="933"/>
        <item x="1060"/>
        <item x="565"/>
        <item x="307"/>
        <item x="81"/>
        <item x="1025"/>
        <item x="49"/>
        <item x="861"/>
        <item m="1" x="1447"/>
        <item x="612"/>
        <item x="877"/>
        <item x="474"/>
        <item x="606"/>
        <item x="956"/>
        <item x="781"/>
        <item x="1006"/>
        <item x="816"/>
        <item m="1" x="1217"/>
        <item x="19"/>
        <item x="410"/>
        <item x="643"/>
        <item x="1085"/>
        <item m="1" x="1444"/>
        <item x="930"/>
        <item x="1073"/>
        <item x="670"/>
        <item x="316"/>
        <item x="912"/>
        <item x="769"/>
        <item x="235"/>
        <item x="88"/>
        <item x="295"/>
        <item x="1064"/>
        <item x="220"/>
        <item x="79"/>
        <item m="1" x="1227"/>
        <item x="72"/>
        <item x="427"/>
        <item x="621"/>
        <item m="1" x="1378"/>
        <item x="650"/>
        <item x="748"/>
        <item x="400"/>
        <item x="312"/>
        <item x="1053"/>
        <item m="1" x="1263"/>
        <item x="1055"/>
        <item x="1043"/>
        <item x="760"/>
        <item x="975"/>
        <item m="1" x="1330"/>
        <item x="332"/>
        <item x="969"/>
        <item x="1108"/>
        <item x="373"/>
        <item x="731"/>
        <item x="351"/>
        <item x="133"/>
        <item x="348"/>
        <item x="1120"/>
        <item x="39"/>
        <item x="870"/>
        <item x="553"/>
        <item x="1093"/>
        <item x="460"/>
        <item x="370"/>
        <item x="294"/>
        <item x="194"/>
        <item x="954"/>
        <item x="955"/>
        <item x="634"/>
        <item x="309"/>
        <item x="256"/>
        <item m="1" x="1145"/>
        <item x="230"/>
        <item x="734"/>
        <item x="222"/>
        <item x="724"/>
        <item x="733"/>
        <item x="597"/>
        <item x="112"/>
        <item x="283"/>
        <item x="412"/>
        <item x="786"/>
        <item x="687"/>
        <item x="668"/>
        <item x="151"/>
        <item x="1099"/>
        <item x="505"/>
        <item x="1112"/>
        <item x="779"/>
        <item m="1" x="1325"/>
        <item m="1" x="1314"/>
        <item m="1" x="1281"/>
        <item m="1" x="1245"/>
        <item x="815"/>
        <item x="260"/>
        <item x="276"/>
        <item m="1" x="1293"/>
        <item m="1" x="1140"/>
        <item m="1" x="1387"/>
        <item x="499"/>
        <item x="47"/>
        <item m="1" x="1169"/>
        <item m="1" x="1386"/>
        <item m="1" x="1383"/>
        <item m="1" x="1214"/>
        <item x="299"/>
        <item x="704"/>
        <item x="709"/>
        <item m="1" x="1315"/>
        <item x="768"/>
        <item x="343"/>
        <item x="1072"/>
        <item x="319"/>
        <item x="315"/>
        <item x="501"/>
        <item x="45"/>
        <item x="1038"/>
        <item x="328"/>
        <item m="1" x="1153"/>
        <item m="1" x="1168"/>
        <item x="296"/>
        <item m="1" x="1382"/>
        <item x="305"/>
        <item x="7"/>
        <item m="1" x="1225"/>
        <item x="1075"/>
        <item x="573"/>
        <item x="564"/>
        <item m="1" x="1280"/>
        <item m="1" x="1185"/>
        <item x="812"/>
        <item x="227"/>
        <item m="1" x="1201"/>
        <item x="223"/>
        <item x="381"/>
        <item x="479"/>
        <item x="125"/>
        <item x="1113"/>
        <item x="681"/>
        <item x="982"/>
        <item x="76"/>
        <item x="587"/>
        <item x="89"/>
        <item x="390"/>
        <item x="661"/>
        <item m="1" x="1244"/>
        <item x="50"/>
        <item x="867"/>
        <item x="246"/>
        <item x="592"/>
        <item x="278"/>
        <item x="675"/>
        <item x="941"/>
        <item x="910"/>
        <item x="672"/>
        <item x="1082"/>
        <item x="1034"/>
        <item x="570"/>
        <item x="932"/>
        <item x="851"/>
        <item x="464"/>
        <item m="1" x="1358"/>
        <item m="1" x="1445"/>
        <item x="284"/>
        <item m="1" x="1243"/>
        <item x="457"/>
        <item x="58"/>
        <item x="8"/>
        <item x="938"/>
        <item x="104"/>
        <item x="355"/>
        <item m="1" x="1415"/>
        <item x="655"/>
        <item x="481"/>
        <item x="758"/>
        <item x="647"/>
        <item x="401"/>
        <item x="255"/>
        <item m="1" x="1317"/>
        <item x="0"/>
        <item x="1010"/>
        <item x="311"/>
        <item x="480"/>
        <item x="358"/>
        <item x="406"/>
        <item m="1" x="1411"/>
        <item x="175"/>
        <item x="669"/>
        <item x="630"/>
        <item x="604"/>
        <item x="419"/>
        <item x="263"/>
        <item x="253"/>
        <item m="1" x="1177"/>
        <item m="1" x="1351"/>
        <item x="740"/>
        <item x="784"/>
        <item x="674"/>
        <item x="36"/>
        <item x="456"/>
        <item x="708"/>
        <item x="948"/>
        <item x="697"/>
        <item m="1" x="1362"/>
        <item x="188"/>
        <item x="1"/>
        <item x="897"/>
        <item m="1" x="1138"/>
        <item x="794"/>
        <item x="152"/>
        <item x="699"/>
        <item m="1" x="1247"/>
        <item x="1066"/>
        <item x="1096"/>
        <item x="139"/>
        <item m="1" x="1152"/>
        <item x="862"/>
        <item m="1" x="1273"/>
        <item x="560"/>
        <item x="793"/>
        <item x="69"/>
        <item x="1071"/>
        <item x="890"/>
        <item x="504"/>
        <item x="772"/>
        <item x="38"/>
        <item x="183"/>
        <item x="163"/>
        <item x="96"/>
        <item x="365"/>
        <item x="993"/>
        <item x="1080"/>
        <item x="659"/>
        <item x="407"/>
        <item m="1" x="1323"/>
        <item x="281"/>
        <item x="818"/>
        <item x="3"/>
        <item x="718"/>
        <item x="526"/>
        <item x="270"/>
        <item x="585"/>
        <item m="1" x="1304"/>
        <item x="1094"/>
        <item x="396"/>
        <item x="568"/>
        <item x="574"/>
        <item x="369"/>
        <item x="686"/>
        <item x="103"/>
        <item x="770"/>
        <item x="765"/>
        <item x="1047"/>
        <item x="654"/>
        <item x="485"/>
        <item x="321"/>
        <item x="367"/>
        <item x="996"/>
        <item x="727"/>
        <item x="947"/>
        <item x="911"/>
        <item x="576"/>
        <item x="452"/>
        <item x="282"/>
        <item x="385"/>
        <item x="118"/>
        <item x="537"/>
        <item x="962"/>
        <item x="178"/>
        <item x="1084"/>
        <item x="53"/>
        <item x="181"/>
        <item x="16"/>
        <item x="226"/>
        <item x="607"/>
        <item x="678"/>
        <item x="300"/>
        <item x="129"/>
        <item x="115"/>
        <item m="1" x="1189"/>
        <item x="1008"/>
        <item x="995"/>
        <item x="983"/>
        <item x="397"/>
        <item x="879"/>
        <item x="614"/>
        <item x="113"/>
        <item x="871"/>
        <item x="425"/>
        <item x="28"/>
        <item x="660"/>
        <item x="665"/>
        <item x="392"/>
        <item x="264"/>
        <item x="801"/>
        <item x="854"/>
        <item x="885"/>
        <item x="780"/>
        <item x="1029"/>
        <item x="521"/>
        <item m="1" x="1158"/>
        <item m="1" x="1405"/>
        <item x="126"/>
        <item x="262"/>
        <item x="502"/>
        <item m="1" x="1432"/>
        <item x="547"/>
        <item x="462"/>
        <item x="1110"/>
        <item m="1" x="1246"/>
        <item x="1059"/>
        <item x="398"/>
        <item x="184"/>
        <item x="1077"/>
        <item x="873"/>
        <item x="154"/>
        <item x="841"/>
        <item x="766"/>
        <item x="648"/>
        <item x="749"/>
        <item x="971"/>
        <item x="1017"/>
        <item x="331"/>
        <item x="10"/>
        <item x="595"/>
        <item x="596"/>
        <item x="658"/>
        <item m="1" x="1204"/>
        <item x="578"/>
        <item m="1" x="1139"/>
        <item m="1" x="1292"/>
        <item m="1" x="1346"/>
        <item x="100"/>
        <item x="741"/>
        <item m="1" x="1174"/>
        <item x="991"/>
        <item m="1" x="1188"/>
        <item m="1" x="1408"/>
        <item x="330"/>
        <item x="677"/>
        <item x="836"/>
        <item m="1" x="1296"/>
        <item x="641"/>
        <item x="842"/>
        <item x="599"/>
        <item m="1" x="1335"/>
        <item x="1107"/>
        <item x="949"/>
        <item x="248"/>
        <item x="1037"/>
        <item x="594"/>
        <item x="600"/>
        <item x="985"/>
        <item x="931"/>
        <item x="78"/>
        <item x="984"/>
        <item x="198"/>
        <item x="671"/>
        <item x="352"/>
        <item m="1" x="1269"/>
        <item x="896"/>
        <item x="290"/>
        <item x="204"/>
        <item x="998"/>
        <item x="961"/>
        <item x="856"/>
        <item x="1035"/>
        <item x="487"/>
        <item x="498"/>
        <item x="806"/>
        <item x="1128"/>
        <item m="1" x="1146"/>
        <item x="132"/>
        <item x="762"/>
        <item x="20"/>
        <item x="974"/>
        <item m="1" x="1368"/>
        <item x="966"/>
        <item x="859"/>
        <item x="463"/>
        <item x="404"/>
        <item x="1117"/>
        <item x="968"/>
        <item x="5"/>
        <item m="1" x="1430"/>
        <item x="572"/>
        <item x="847"/>
        <item m="1" x="1175"/>
        <item x="1088"/>
        <item x="368"/>
        <item x="653"/>
        <item m="1" x="1224"/>
        <item m="1" x="1186"/>
        <item x="156"/>
        <item x="228"/>
        <item x="325"/>
        <item x="43"/>
        <item x="302"/>
        <item x="1131"/>
        <item x="1097"/>
        <item m="1" x="1220"/>
        <item x="416"/>
        <item x="1058"/>
        <item m="1" x="1219"/>
        <item x="701"/>
        <item x="476"/>
        <item x="1106"/>
        <item x="629"/>
        <item x="4"/>
        <item m="1" x="1363"/>
        <item x="1130"/>
        <item x="177"/>
        <item x="583"/>
        <item x="663"/>
        <item x="483"/>
        <item x="350"/>
        <item x="804"/>
        <item m="1" x="1433"/>
        <item x="929"/>
        <item x="34"/>
        <item x="444"/>
        <item x="620"/>
        <item x="1121"/>
        <item x="1137"/>
        <item x="920"/>
        <item m="1" x="1443"/>
        <item m="1" x="1171"/>
        <item m="1" x="1222"/>
        <item x="9"/>
        <item m="1" x="1254"/>
        <item m="1" x="1299"/>
        <item m="1" x="1282"/>
        <item m="1" x="1249"/>
        <item m="1" x="1287"/>
        <item m="1" x="1276"/>
        <item m="1" x="1397"/>
        <item m="1" x="1434"/>
        <item m="1" x="1394"/>
        <item m="1" x="1392"/>
        <item m="1" x="1391"/>
        <item m="1" x="1400"/>
        <item m="1" x="1437"/>
        <item m="1" x="1257"/>
        <item m="1" x="1250"/>
        <item m="1" x="1255"/>
        <item m="1" x="1251"/>
        <item m="1" x="1259"/>
        <item m="1" x="1396"/>
        <item m="1" x="1206"/>
        <item m="1" x="1440"/>
        <item m="1" x="1442"/>
        <item m="1" x="1441"/>
        <item m="1" x="1285"/>
        <item m="1" x="1290"/>
        <item m="1" x="1256"/>
        <item m="1" x="1398"/>
        <item m="1" x="1291"/>
        <item m="1" x="1439"/>
        <item m="1" x="1438"/>
        <item m="1" x="1268"/>
        <item m="1" x="1361"/>
        <item m="1" x="1436"/>
        <item m="1" x="1289"/>
        <item m="1" x="1258"/>
        <item m="1" x="1264"/>
        <item m="1" x="1253"/>
        <item m="1" x="1248"/>
        <item m="1" x="1294"/>
        <item m="1" x="1288"/>
        <item m="1" x="1260"/>
        <item m="1" x="1271"/>
        <item m="1" x="1272"/>
        <item m="1" x="1267"/>
        <item m="1" x="1252"/>
        <item m="1" x="1270"/>
        <item m="1" x="1241"/>
        <item m="1" x="1321"/>
        <item m="1" x="1360"/>
        <item m="1" x="1327"/>
        <item m="1" x="1450"/>
        <item m="1" x="1393"/>
        <item x="1056"/>
        <item x="153"/>
        <item x="77"/>
        <item x="631"/>
        <item m="1" x="1190"/>
        <item x="239"/>
        <item x="388"/>
        <item x="18"/>
        <item x="21"/>
        <item x="87"/>
        <item x="1095"/>
        <item x="924"/>
        <item x="430"/>
        <item x="579"/>
        <item x="275"/>
        <item x="1115"/>
        <item x="913"/>
        <item x="739"/>
        <item x="191"/>
        <item m="1" x="1193"/>
        <item x="84"/>
        <item x="470"/>
        <item x="1127"/>
        <item x="813"/>
        <item x="887"/>
        <item x="238"/>
        <item m="1" x="1324"/>
        <item m="1" x="1142"/>
        <item x="1068"/>
        <item m="1" x="1212"/>
        <item m="1" x="1141"/>
        <item x="310"/>
        <item m="1" x="1318"/>
        <item x="207"/>
        <item x="542"/>
        <item x="322"/>
        <item x="32"/>
        <item m="1" x="1232"/>
        <item x="609"/>
        <item m="1" x="1154"/>
        <item m="1" x="1337"/>
        <item x="1062"/>
        <item m="1" x="1195"/>
        <item x="209"/>
        <item x="377"/>
        <item x="55"/>
        <item m="1" x="1372"/>
        <item m="1" x="1331"/>
        <item x="75"/>
        <item x="251"/>
        <item x="165"/>
        <item x="777"/>
        <item x="30"/>
        <item x="898"/>
        <item x="495"/>
        <item x="832"/>
        <item m="1" x="1384"/>
        <item x="719"/>
        <item x="926"/>
        <item m="1" x="1410"/>
        <item x="548"/>
        <item x="477"/>
        <item x="193"/>
        <item m="1" x="1356"/>
        <item m="1" x="1192"/>
        <item x="899"/>
        <item x="503"/>
        <item m="1" x="1262"/>
        <item x="142"/>
        <item x="713"/>
        <item x="288"/>
        <item x="744"/>
        <item x="101"/>
        <item m="1" x="1417"/>
        <item x="74"/>
        <item x="942"/>
        <item x="80"/>
        <item x="324"/>
        <item x="111"/>
        <item x="353"/>
        <item x="705"/>
        <item x="336"/>
        <item x="1007"/>
        <item x="810"/>
        <item x="864"/>
        <item x="1027"/>
        <item x="1092"/>
        <item m="1" x="116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5">
        <item x="10"/>
        <item x="16"/>
        <item x="0"/>
        <item x="11"/>
        <item m="1" x="23"/>
        <item x="7"/>
        <item m="1" x="22"/>
        <item x="8"/>
        <item x="15"/>
        <item x="2"/>
        <item x="4"/>
        <item x="18"/>
        <item x="14"/>
        <item x="5"/>
        <item x="1"/>
        <item x="9"/>
        <item x="13"/>
        <item x="6"/>
        <item m="1" x="19"/>
        <item x="17"/>
        <item m="1" x="21"/>
        <item x="3"/>
        <item m="1" x="20"/>
        <item x="12"/>
        <item t="default"/>
      </items>
    </pivotField>
    <pivotField showAll="0"/>
    <pivotField showAll="0"/>
    <pivotField showAll="0"/>
    <pivotField showAll="0">
      <items count="4">
        <item x="2"/>
        <item x="0"/>
        <item x="1"/>
        <item t="default"/>
      </items>
    </pivotField>
    <pivotField showAll="0"/>
    <pivotField showAll="0"/>
  </pivotFields>
  <rowFields count="1">
    <field x="1"/>
  </rowFields>
  <rowItems count="12">
    <i>
      <x v="1225"/>
    </i>
    <i>
      <x v="20"/>
    </i>
    <i>
      <x v="252"/>
    </i>
    <i>
      <x v="1206"/>
    </i>
    <i>
      <x v="94"/>
    </i>
    <i>
      <x v="445"/>
    </i>
    <i>
      <x v="503"/>
    </i>
    <i>
      <x v="779"/>
    </i>
    <i>
      <x v="1249"/>
    </i>
    <i>
      <x v="176"/>
    </i>
    <i>
      <x v="132"/>
    </i>
    <i t="grand">
      <x/>
    </i>
  </rowItems>
  <colItems count="1">
    <i/>
  </colItems>
  <dataFields count="1">
    <dataField name="Count of TITLE" fld="0" subtotal="count" baseField="0" baseItem="0"/>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567E71-3615-4BA4-9619-84A47AA86E80}" name="ptLanguageBreak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Q4:R24" firstHeaderRow="1" firstDataRow="1" firstDataCol="1"/>
  <pivotFields count="13">
    <pivotField dataField="1" showAll="0"/>
    <pivotField showAll="0"/>
    <pivotField showAll="0"/>
    <pivotField showAll="0"/>
    <pivotField showAll="0"/>
    <pivotField showAll="0"/>
    <pivotField axis="axisRow" showAll="0">
      <items count="25">
        <item x="10"/>
        <item x="16"/>
        <item x="0"/>
        <item x="11"/>
        <item m="1" x="23"/>
        <item x="7"/>
        <item m="1" x="22"/>
        <item x="8"/>
        <item x="15"/>
        <item x="2"/>
        <item x="4"/>
        <item x="18"/>
        <item x="14"/>
        <item x="5"/>
        <item x="1"/>
        <item x="9"/>
        <item x="13"/>
        <item x="6"/>
        <item m="1" x="19"/>
        <item x="17"/>
        <item m="1" x="21"/>
        <item x="3"/>
        <item m="1" x="20"/>
        <item x="12"/>
        <item t="default"/>
      </items>
    </pivotField>
    <pivotField showAll="0"/>
    <pivotField showAll="0"/>
    <pivotField showAll="0"/>
    <pivotField showAll="0"/>
    <pivotField showAll="0"/>
    <pivotField showAll="0"/>
  </pivotFields>
  <rowFields count="1">
    <field x="6"/>
  </rowFields>
  <rowItems count="20">
    <i>
      <x/>
    </i>
    <i>
      <x v="1"/>
    </i>
    <i>
      <x v="2"/>
    </i>
    <i>
      <x v="3"/>
    </i>
    <i>
      <x v="5"/>
    </i>
    <i>
      <x v="7"/>
    </i>
    <i>
      <x v="8"/>
    </i>
    <i>
      <x v="9"/>
    </i>
    <i>
      <x v="10"/>
    </i>
    <i>
      <x v="11"/>
    </i>
    <i>
      <x v="12"/>
    </i>
    <i>
      <x v="13"/>
    </i>
    <i>
      <x v="14"/>
    </i>
    <i>
      <x v="15"/>
    </i>
    <i>
      <x v="16"/>
    </i>
    <i>
      <x v="17"/>
    </i>
    <i>
      <x v="19"/>
    </i>
    <i>
      <x v="21"/>
    </i>
    <i>
      <x v="23"/>
    </i>
    <i t="grand">
      <x/>
    </i>
  </rowItems>
  <colItems count="1">
    <i/>
  </colItems>
  <dataFields count="1">
    <dataField name="Count of TITLE" fld="0" subtotal="count" baseField="6" baseItem="0"/>
  </dataFields>
  <chartFormats count="30">
    <chartFormat chart="19"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4" series="1">
      <pivotArea type="data" outline="0" fieldPosition="0">
        <references count="1">
          <reference field="4294967294" count="1" selected="0">
            <x v="0"/>
          </reference>
        </references>
      </pivotArea>
    </chartFormat>
    <chartFormat chart="40" format="25">
      <pivotArea type="data" outline="0" fieldPosition="0">
        <references count="2">
          <reference field="4294967294" count="1" selected="0">
            <x v="0"/>
          </reference>
          <reference field="6" count="1" selected="0">
            <x v="0"/>
          </reference>
        </references>
      </pivotArea>
    </chartFormat>
    <chartFormat chart="40" format="26">
      <pivotArea type="data" outline="0" fieldPosition="0">
        <references count="2">
          <reference field="4294967294" count="1" selected="0">
            <x v="0"/>
          </reference>
          <reference field="6" count="1" selected="0">
            <x v="1"/>
          </reference>
        </references>
      </pivotArea>
    </chartFormat>
    <chartFormat chart="40" format="27">
      <pivotArea type="data" outline="0" fieldPosition="0">
        <references count="2">
          <reference field="4294967294" count="1" selected="0">
            <x v="0"/>
          </reference>
          <reference field="6" count="1" selected="0">
            <x v="2"/>
          </reference>
        </references>
      </pivotArea>
    </chartFormat>
    <chartFormat chart="40" format="28">
      <pivotArea type="data" outline="0" fieldPosition="0">
        <references count="2">
          <reference field="4294967294" count="1" selected="0">
            <x v="0"/>
          </reference>
          <reference field="6" count="1" selected="0">
            <x v="3"/>
          </reference>
        </references>
      </pivotArea>
    </chartFormat>
    <chartFormat chart="40" format="29">
      <pivotArea type="data" outline="0" fieldPosition="0">
        <references count="2">
          <reference field="4294967294" count="1" selected="0">
            <x v="0"/>
          </reference>
          <reference field="6" count="1" selected="0">
            <x v="5"/>
          </reference>
        </references>
      </pivotArea>
    </chartFormat>
    <chartFormat chart="40" format="30">
      <pivotArea type="data" outline="0" fieldPosition="0">
        <references count="2">
          <reference field="4294967294" count="1" selected="0">
            <x v="0"/>
          </reference>
          <reference field="6" count="1" selected="0">
            <x v="7"/>
          </reference>
        </references>
      </pivotArea>
    </chartFormat>
    <chartFormat chart="40" format="31">
      <pivotArea type="data" outline="0" fieldPosition="0">
        <references count="2">
          <reference field="4294967294" count="1" selected="0">
            <x v="0"/>
          </reference>
          <reference field="6" count="1" selected="0">
            <x v="8"/>
          </reference>
        </references>
      </pivotArea>
    </chartFormat>
    <chartFormat chart="40" format="32">
      <pivotArea type="data" outline="0" fieldPosition="0">
        <references count="2">
          <reference field="4294967294" count="1" selected="0">
            <x v="0"/>
          </reference>
          <reference field="6" count="1" selected="0">
            <x v="9"/>
          </reference>
        </references>
      </pivotArea>
    </chartFormat>
    <chartFormat chart="40" format="33">
      <pivotArea type="data" outline="0" fieldPosition="0">
        <references count="2">
          <reference field="4294967294" count="1" selected="0">
            <x v="0"/>
          </reference>
          <reference field="6" count="1" selected="0">
            <x v="10"/>
          </reference>
        </references>
      </pivotArea>
    </chartFormat>
    <chartFormat chart="40" format="34">
      <pivotArea type="data" outline="0" fieldPosition="0">
        <references count="2">
          <reference field="4294967294" count="1" selected="0">
            <x v="0"/>
          </reference>
          <reference field="6" count="1" selected="0">
            <x v="11"/>
          </reference>
        </references>
      </pivotArea>
    </chartFormat>
    <chartFormat chart="40" format="35">
      <pivotArea type="data" outline="0" fieldPosition="0">
        <references count="2">
          <reference field="4294967294" count="1" selected="0">
            <x v="0"/>
          </reference>
          <reference field="6" count="1" selected="0">
            <x v="12"/>
          </reference>
        </references>
      </pivotArea>
    </chartFormat>
    <chartFormat chart="40" format="36">
      <pivotArea type="data" outline="0" fieldPosition="0">
        <references count="2">
          <reference field="4294967294" count="1" selected="0">
            <x v="0"/>
          </reference>
          <reference field="6" count="1" selected="0">
            <x v="13"/>
          </reference>
        </references>
      </pivotArea>
    </chartFormat>
    <chartFormat chart="40" format="37">
      <pivotArea type="data" outline="0" fieldPosition="0">
        <references count="2">
          <reference field="4294967294" count="1" selected="0">
            <x v="0"/>
          </reference>
          <reference field="6" count="1" selected="0">
            <x v="14"/>
          </reference>
        </references>
      </pivotArea>
    </chartFormat>
    <chartFormat chart="40" format="38">
      <pivotArea type="data" outline="0" fieldPosition="0">
        <references count="2">
          <reference field="4294967294" count="1" selected="0">
            <x v="0"/>
          </reference>
          <reference field="6" count="1" selected="0">
            <x v="15"/>
          </reference>
        </references>
      </pivotArea>
    </chartFormat>
    <chartFormat chart="40" format="39">
      <pivotArea type="data" outline="0" fieldPosition="0">
        <references count="2">
          <reference field="4294967294" count="1" selected="0">
            <x v="0"/>
          </reference>
          <reference field="6" count="1" selected="0">
            <x v="16"/>
          </reference>
        </references>
      </pivotArea>
    </chartFormat>
    <chartFormat chart="40" format="40">
      <pivotArea type="data" outline="0" fieldPosition="0">
        <references count="2">
          <reference field="4294967294" count="1" selected="0">
            <x v="0"/>
          </reference>
          <reference field="6" count="1" selected="0">
            <x v="17"/>
          </reference>
        </references>
      </pivotArea>
    </chartFormat>
    <chartFormat chart="40" format="41">
      <pivotArea type="data" outline="0" fieldPosition="0">
        <references count="2">
          <reference field="4294967294" count="1" selected="0">
            <x v="0"/>
          </reference>
          <reference field="6" count="1" selected="0">
            <x v="18"/>
          </reference>
        </references>
      </pivotArea>
    </chartFormat>
    <chartFormat chart="40" format="42">
      <pivotArea type="data" outline="0" fieldPosition="0">
        <references count="2">
          <reference field="4294967294" count="1" selected="0">
            <x v="0"/>
          </reference>
          <reference field="6" count="1" selected="0">
            <x v="19"/>
          </reference>
        </references>
      </pivotArea>
    </chartFormat>
    <chartFormat chart="40" format="43">
      <pivotArea type="data" outline="0" fieldPosition="0">
        <references count="2">
          <reference field="4294967294" count="1" selected="0">
            <x v="0"/>
          </reference>
          <reference field="6" count="1" selected="0">
            <x v="20"/>
          </reference>
        </references>
      </pivotArea>
    </chartFormat>
    <chartFormat chart="40" format="44">
      <pivotArea type="data" outline="0" fieldPosition="0">
        <references count="2">
          <reference field="4294967294" count="1" selected="0">
            <x v="0"/>
          </reference>
          <reference field="6" count="1" selected="0">
            <x v="21"/>
          </reference>
        </references>
      </pivotArea>
    </chartFormat>
    <chartFormat chart="40" format="45">
      <pivotArea type="data" outline="0" fieldPosition="0">
        <references count="2">
          <reference field="4294967294" count="1" selected="0">
            <x v="0"/>
          </reference>
          <reference field="6" count="1" selected="0">
            <x v="22"/>
          </reference>
        </references>
      </pivotArea>
    </chartFormat>
    <chartFormat chart="40" format="46">
      <pivotArea type="data" outline="0" fieldPosition="0">
        <references count="2">
          <reference field="4294967294" count="1" selected="0">
            <x v="0"/>
          </reference>
          <reference field="6" count="1" selected="0">
            <x v="23"/>
          </reference>
        </references>
      </pivotArea>
    </chartFormat>
    <chartFormat chart="44"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25C023-5D04-46FF-B37D-259F82832FD5}" autoFormatId="16" applyNumberFormats="0" applyBorderFormats="0" applyFontFormats="0" applyPatternFormats="0" applyAlignmentFormats="0" applyWidthHeightFormats="0">
  <queryTableRefresh nextId="14" unboundColumnsRight="3">
    <queryTableFields count="13">
      <queryTableField id="1" name="TITLE" tableColumnId="1"/>
      <queryTableField id="2" name="AUTHOR" tableColumnId="2"/>
      <queryTableField id="3" name="PAGES" tableColumnId="3"/>
      <queryTableField id="4" name="GENRE" tableColumnId="4"/>
      <queryTableField id="5" name="PUBLISHED DATE" tableColumnId="5"/>
      <queryTableField id="6" name="PUBLISHER" tableColumnId="6"/>
      <queryTableField id="7" name="LANGUAGE" tableColumnId="7"/>
      <queryTableField id="8" name="AVERAGE RATING" tableColumnId="8"/>
      <queryTableField id="9" name="RATINGS COUNT" tableColumnId="9"/>
      <queryTableField id="10" name="YEAR"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2512E47-08E0-462C-88AA-FA88AAAEC771}" sourceName="GENRE">
  <pivotTables>
    <pivotTable tabId="3" name="ptEngagement"/>
    <pivotTable tabId="3" name="ptBooksByGenre"/>
    <pivotTable tabId="3" name="ptAvgRatingByGenre"/>
  </pivotTables>
  <data>
    <tabular pivotCacheId="619560191">
      <items count="264">
        <i x="4" s="1"/>
        <i x="61" s="1"/>
        <i x="51" s="1"/>
        <i x="35" s="1"/>
        <i x="33" s="1"/>
        <i x="30" s="1"/>
        <i x="71" s="1"/>
        <i x="44" s="1"/>
        <i x="8" s="1"/>
        <i x="21" s="1"/>
        <i x="25" s="1"/>
        <i x="22" s="1"/>
        <i x="52" s="1"/>
        <i x="65" s="1"/>
        <i x="55" s="1"/>
        <i x="64" s="1"/>
        <i x="66" s="1"/>
        <i x="53" s="1"/>
        <i x="29" s="1"/>
        <i x="32" s="1"/>
        <i x="41" s="1"/>
        <i x="42" s="1"/>
        <i x="54" s="1"/>
        <i x="68" s="1"/>
        <i x="56" s="1"/>
        <i x="50" s="1"/>
        <i x="49" s="1"/>
        <i x="57" s="1"/>
        <i x="11" s="1"/>
        <i x="63" s="1"/>
        <i x="60" s="1"/>
        <i x="37" s="1"/>
        <i x="24" s="1"/>
        <i x="69" s="1"/>
        <i x="2" s="1"/>
        <i x="45" s="1"/>
        <i x="27" s="1"/>
        <i x="14" s="1"/>
        <i x="40" s="1"/>
        <i x="3" s="1"/>
        <i x="48" s="1"/>
        <i x="59" s="1"/>
        <i x="58" s="1"/>
        <i x="73" s="1"/>
        <i x="9" s="1"/>
        <i x="20" s="1"/>
        <i x="6" s="1"/>
        <i x="13" s="1"/>
        <i x="18" s="1"/>
        <i x="0" s="1"/>
        <i x="47" s="1"/>
        <i x="17" s="1"/>
        <i x="67" s="1"/>
        <i x="19" s="1"/>
        <i x="38" s="1"/>
        <i x="31" s="1"/>
        <i x="72" s="1"/>
        <i x="7" s="1"/>
        <i x="70" s="1"/>
        <i x="23" s="1"/>
        <i x="10" s="1"/>
        <i x="28" s="1"/>
        <i x="1" s="1"/>
        <i x="12" s="1"/>
        <i x="15" s="1"/>
        <i x="39" s="1"/>
        <i x="5" s="1"/>
        <i x="62" s="1"/>
        <i x="26" s="1"/>
        <i x="46" s="1"/>
        <i x="34" s="1"/>
        <i x="43" s="1"/>
        <i x="36" s="1"/>
        <i x="16" s="1"/>
        <i x="262" s="1" nd="1"/>
        <i x="135" s="1" nd="1"/>
        <i x="119" s="1" nd="1"/>
        <i x="128" s="1" nd="1"/>
        <i x="122" s="1" nd="1"/>
        <i x="259" s="1" nd="1"/>
        <i x="207" s="1" nd="1"/>
        <i x="192" s="1" nd="1"/>
        <i x="205" s="1" nd="1"/>
        <i x="110" s="1" nd="1"/>
        <i x="206" s="1" nd="1"/>
        <i x="233" s="1" nd="1"/>
        <i x="162" s="1" nd="1"/>
        <i x="147" s="1" nd="1"/>
        <i x="129" s="1" nd="1"/>
        <i x="246" s="1" nd="1"/>
        <i x="107" s="1" nd="1"/>
        <i x="234" s="1" nd="1"/>
        <i x="249" s="1" nd="1"/>
        <i x="97" s="1" nd="1"/>
        <i x="201" s="1" nd="1"/>
        <i x="194" s="1" nd="1"/>
        <i x="108" s="1" nd="1"/>
        <i x="245" s="1" nd="1"/>
        <i x="74" s="1" nd="1"/>
        <i x="151" s="1" nd="1"/>
        <i x="191" s="1" nd="1"/>
        <i x="258" s="1" nd="1"/>
        <i x="216" s="1" nd="1"/>
        <i x="178" s="1" nd="1"/>
        <i x="200" s="1" nd="1"/>
        <i x="214" s="1" nd="1"/>
        <i x="96" s="1" nd="1"/>
        <i x="241" s="1" nd="1"/>
        <i x="149" s="1" nd="1"/>
        <i x="170" s="1" nd="1"/>
        <i x="90" s="1" nd="1"/>
        <i x="86" s="1" nd="1"/>
        <i x="85" s="1" nd="1"/>
        <i x="102" s="1" nd="1"/>
        <i x="137" s="1" nd="1"/>
        <i x="225" s="1" nd="1"/>
        <i x="248" s="1" nd="1"/>
        <i x="180" s="1" nd="1"/>
        <i x="221" s="1" nd="1"/>
        <i x="220" s="1" nd="1"/>
        <i x="215" s="1" nd="1"/>
        <i x="218" s="1" nd="1"/>
        <i x="213" s="1" nd="1"/>
        <i x="101" s="1" nd="1"/>
        <i x="250" s="1" nd="1"/>
        <i x="160" s="1" nd="1"/>
        <i x="210" s="1" nd="1"/>
        <i x="189" s="1" nd="1"/>
        <i x="118" s="1" nd="1"/>
        <i x="242" s="1" nd="1"/>
        <i x="202" s="1" nd="1"/>
        <i x="177" s="1" nd="1"/>
        <i x="164" s="1" nd="1"/>
        <i x="140" s="1" nd="1"/>
        <i x="209" s="1" nd="1"/>
        <i x="182" s="1" nd="1"/>
        <i x="163" s="1" nd="1"/>
        <i x="145" s="1" nd="1"/>
        <i x="154" s="1" nd="1"/>
        <i x="153" s="1" nd="1"/>
        <i x="237" s="1" nd="1"/>
        <i x="231" s="1" nd="1"/>
        <i x="232" s="1" nd="1"/>
        <i x="253" s="1" nd="1"/>
        <i x="103" s="1" nd="1"/>
        <i x="169" s="1" nd="1"/>
        <i x="172" s="1" nd="1"/>
        <i x="165" s="1" nd="1"/>
        <i x="247" s="1" nd="1"/>
        <i x="203" s="1" nd="1"/>
        <i x="240" s="1" nd="1"/>
        <i x="224" s="1" nd="1"/>
        <i x="219" s="1" nd="1"/>
        <i x="144" s="1" nd="1"/>
        <i x="141" s="1" nd="1"/>
        <i x="183" s="1" nd="1"/>
        <i x="188" s="1" nd="1"/>
        <i x="184" s="1" nd="1"/>
        <i x="156" s="1" nd="1"/>
        <i x="91" s="1" nd="1"/>
        <i x="187" s="1" nd="1"/>
        <i x="199" s="1" nd="1"/>
        <i x="204" s="1" nd="1"/>
        <i x="77" s="1" nd="1"/>
        <i x="193" s="1" nd="1"/>
        <i x="195" s="1" nd="1"/>
        <i x="104" s="1" nd="1"/>
        <i x="181" s="1" nd="1"/>
        <i x="142" s="1" nd="1"/>
        <i x="227" s="1" nd="1"/>
        <i x="112" s="1" nd="1"/>
        <i x="158" s="1" nd="1"/>
        <i x="125" s="1" nd="1"/>
        <i x="109" s="1" nd="1"/>
        <i x="105" s="1" nd="1"/>
        <i x="167" s="1" nd="1"/>
        <i x="133" s="1" nd="1"/>
        <i x="186" s="1" nd="1"/>
        <i x="161" s="1" nd="1"/>
        <i x="196" s="1" nd="1"/>
        <i x="148" s="1" nd="1"/>
        <i x="226" s="1" nd="1"/>
        <i x="243" s="1" nd="1"/>
        <i x="89" s="1" nd="1"/>
        <i x="236" s="1" nd="1"/>
        <i x="208" s="1" nd="1"/>
        <i x="238" s="1" nd="1"/>
        <i x="155" s="1" nd="1"/>
        <i x="256" s="1" nd="1"/>
        <i x="166" s="1" nd="1"/>
        <i x="113" s="1" nd="1"/>
        <i x="126" s="1" nd="1"/>
        <i x="130" s="1" nd="1"/>
        <i x="235" s="1" nd="1"/>
        <i x="94" s="1" nd="1"/>
        <i x="106" s="1" nd="1"/>
        <i x="190" s="1" nd="1"/>
        <i x="217" s="1" nd="1"/>
        <i x="136" s="1" nd="1"/>
        <i x="251" s="1" nd="1"/>
        <i x="157" s="1" nd="1"/>
        <i x="127" s="1" nd="1"/>
        <i x="138" s="1" nd="1"/>
        <i x="117" s="1" nd="1"/>
        <i x="87" s="1" nd="1"/>
        <i x="143" s="1" nd="1"/>
        <i x="152" s="1" nd="1"/>
        <i x="131" s="1" nd="1"/>
        <i x="124" s="1" nd="1"/>
        <i x="134" s="1" nd="1"/>
        <i x="121" s="1" nd="1"/>
        <i x="197" s="1" nd="1"/>
        <i x="229" s="1" nd="1"/>
        <i x="84" s="1" nd="1"/>
        <i x="79" s="1" nd="1"/>
        <i x="82" s="1" nd="1"/>
        <i x="83" s="1" nd="1"/>
        <i x="93" s="1" nd="1"/>
        <i x="176" s="1" nd="1"/>
        <i x="171" s="1" nd="1"/>
        <i x="139" s="1" nd="1"/>
        <i x="114" s="1" nd="1"/>
        <i x="261" s="1" nd="1"/>
        <i x="92" s="1" nd="1"/>
        <i x="173" s="1" nd="1"/>
        <i x="255" s="1" nd="1"/>
        <i x="81" s="1" nd="1"/>
        <i x="223" s="1" nd="1"/>
        <i x="239" s="1" nd="1"/>
        <i x="123" s="1" nd="1"/>
        <i x="212" s="1" nd="1"/>
        <i x="146" s="1" nd="1"/>
        <i x="100" s="1" nd="1"/>
        <i x="111" s="1" nd="1"/>
        <i x="198" s="1" nd="1"/>
        <i x="222" s="1" nd="1"/>
        <i x="115" s="1" nd="1"/>
        <i x="257" s="1" nd="1"/>
        <i x="116" s="1" nd="1"/>
        <i x="95" s="1" nd="1"/>
        <i x="120" s="1" nd="1"/>
        <i x="175" s="1" nd="1"/>
        <i x="254" s="1" nd="1"/>
        <i x="80" s="1" nd="1"/>
        <i x="230" s="1" nd="1"/>
        <i x="228" s="1" nd="1"/>
        <i x="159" s="1" nd="1"/>
        <i x="88" s="1" nd="1"/>
        <i x="174" s="1" nd="1"/>
        <i x="98" s="1" nd="1"/>
        <i x="76" s="1" nd="1"/>
        <i x="260" s="1" nd="1"/>
        <i x="244" s="1" nd="1"/>
        <i x="179" s="1" nd="1"/>
        <i x="211" s="1" nd="1"/>
        <i x="168" s="1" nd="1"/>
        <i x="132" s="1" nd="1"/>
        <i x="75" s="1" nd="1"/>
        <i x="252" s="1" nd="1"/>
        <i x="99" s="1" nd="1"/>
        <i x="185" s="1" nd="1"/>
        <i x="263" s="1" nd="1"/>
        <i x="150" s="1" nd="1"/>
        <i x="7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D05FAFC8-DDFE-4704-8EEE-8D389C7E53B8}" sourceName="LANGUAGE">
  <pivotTables>
    <pivotTable tabId="3" name="ptEngagement"/>
    <pivotTable tabId="3" name="ptLanguageBreakdown"/>
    <pivotTable tabId="3" name="ptTopAuthors"/>
  </pivotTables>
  <data>
    <tabular pivotCacheId="619560191">
      <items count="24">
        <i x="10" s="1"/>
        <i x="16" s="1"/>
        <i x="0" s="1"/>
        <i x="11" s="1"/>
        <i x="7" s="1"/>
        <i x="8" s="1"/>
        <i x="15" s="1"/>
        <i x="2" s="1"/>
        <i x="4" s="1"/>
        <i x="18" s="1"/>
        <i x="14" s="1"/>
        <i x="5" s="1"/>
        <i x="1" s="1"/>
        <i x="9" s="1"/>
        <i x="13" s="1"/>
        <i x="6" s="1"/>
        <i x="17" s="1"/>
        <i x="3" s="1"/>
        <i x="12" s="1"/>
        <i x="23" s="1" nd="1"/>
        <i x="22" s="1" nd="1"/>
        <i x="19" s="1" nd="1"/>
        <i x="21" s="1" nd="1"/>
        <i x="2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9691DA-13D2-435C-B72A-77913692CFA7}" sourceName="YEAR">
  <pivotTables>
    <pivotTable tabId="3" name="ptEngagement"/>
    <pivotTable tabId="3" name="ptPubTrend"/>
  </pivotTables>
  <data>
    <tabular pivotCacheId="619560191">
      <items count="170">
        <i x="54" s="1"/>
        <i x="31" s="1"/>
        <i x="52" s="1"/>
        <i x="21" s="1"/>
        <i x="59" s="1"/>
        <i x="40" s="1"/>
        <i x="19" s="1"/>
        <i x="44" s="1"/>
        <i x="62" s="1"/>
        <i x="60" s="1"/>
        <i x="61" s="1"/>
        <i x="56" s="1"/>
        <i x="37" s="1"/>
        <i x="58" s="1"/>
        <i x="51" s="1"/>
        <i x="41" s="1"/>
        <i x="35" s="1"/>
        <i x="63" s="1"/>
        <i x="57" s="1"/>
        <i x="39" s="1"/>
        <i x="53" s="1"/>
        <i x="49" s="1"/>
        <i x="38" s="1"/>
        <i x="2" s="1"/>
        <i x="45" s="1"/>
        <i x="46" s="1"/>
        <i x="11" s="1"/>
        <i x="43" s="1"/>
        <i x="4" s="1"/>
        <i x="55" s="1"/>
        <i x="48" s="1"/>
        <i x="33" s="1"/>
        <i x="30" s="1"/>
        <i x="50" s="1"/>
        <i x="0" s="1"/>
        <i x="42" s="1"/>
        <i x="47" s="1"/>
        <i x="36" s="1"/>
        <i x="23" s="1"/>
        <i x="32" s="1"/>
        <i x="6" s="1"/>
        <i x="10" s="1"/>
        <i x="22" s="1"/>
        <i x="25" s="1"/>
        <i x="24" s="1"/>
        <i x="15" s="1"/>
        <i x="5" s="1"/>
        <i x="29" s="1"/>
        <i x="1" s="1"/>
        <i x="27" s="1"/>
        <i x="9" s="1"/>
        <i x="28" s="1"/>
        <i x="8" s="1"/>
        <i x="14" s="1"/>
        <i x="18" s="1"/>
        <i x="3" s="1"/>
        <i x="7" s="1"/>
        <i x="20" s="1"/>
        <i x="17" s="1"/>
        <i x="12" s="1"/>
        <i x="13" s="1"/>
        <i x="26" s="1"/>
        <i x="16" s="1"/>
        <i x="34" s="1"/>
        <i x="64" s="1" nd="1"/>
        <i x="114" s="1" nd="1"/>
        <i x="151" s="1" nd="1"/>
        <i x="166" s="1" nd="1"/>
        <i x="162" s="1" nd="1"/>
        <i x="167" s="1" nd="1"/>
        <i x="165" s="1" nd="1"/>
        <i x="156" s="1" nd="1"/>
        <i x="164" s="1" nd="1"/>
        <i x="163" s="1" nd="1"/>
        <i x="148" s="1" nd="1"/>
        <i x="154" s="1" nd="1"/>
        <i x="118" s="1" nd="1"/>
        <i x="117" s="1" nd="1"/>
        <i x="157" s="1" nd="1"/>
        <i x="116" s="1" nd="1"/>
        <i x="150" s="1" nd="1"/>
        <i x="133" s="1" nd="1"/>
        <i x="168" s="1" nd="1"/>
        <i x="115" s="1" nd="1"/>
        <i x="169" s="1" nd="1"/>
        <i x="141" s="1" nd="1"/>
        <i x="158" s="1" nd="1"/>
        <i x="160" s="1" nd="1"/>
        <i x="159" s="1" nd="1"/>
        <i x="155" s="1" nd="1"/>
        <i x="161" s="1" nd="1"/>
        <i x="103" s="1" nd="1"/>
        <i x="81" s="1" nd="1"/>
        <i x="109" s="1" nd="1"/>
        <i x="94" s="1" nd="1"/>
        <i x="113" s="1" nd="1"/>
        <i x="149" s="1" nd="1"/>
        <i x="97" s="1" nd="1"/>
        <i x="125" s="1" nd="1"/>
        <i x="105" s="1" nd="1"/>
        <i x="144" s="1" nd="1"/>
        <i x="124" s="1" nd="1"/>
        <i x="104" s="1" nd="1"/>
        <i x="71" s="1" nd="1"/>
        <i x="152" s="1" nd="1"/>
        <i x="65" s="1" nd="1"/>
        <i x="101" s="1" nd="1"/>
        <i x="112" s="1" nd="1"/>
        <i x="77" s="1" nd="1"/>
        <i x="73" s="1" nd="1"/>
        <i x="119" s="1" nd="1"/>
        <i x="123" s="1" nd="1"/>
        <i x="76" s="1" nd="1"/>
        <i x="102" s="1" nd="1"/>
        <i x="67" s="1" nd="1"/>
        <i x="122" s="1" nd="1"/>
        <i x="106" s="1" nd="1"/>
        <i x="100" s="1" nd="1"/>
        <i x="68" s="1" nd="1"/>
        <i x="111" s="1" nd="1"/>
        <i x="79" s="1" nd="1"/>
        <i x="108" s="1" nd="1"/>
        <i x="74" s="1" nd="1"/>
        <i x="70" s="1" nd="1"/>
        <i x="98" s="1" nd="1"/>
        <i x="66" s="1" nd="1"/>
        <i x="69" s="1" nd="1"/>
        <i x="138" s="1" nd="1"/>
        <i x="146" s="1" nd="1"/>
        <i x="128" s="1" nd="1"/>
        <i x="78" s="1" nd="1"/>
        <i x="75" s="1" nd="1"/>
        <i x="136" s="1" nd="1"/>
        <i x="89" s="1" nd="1"/>
        <i x="145" s="1" nd="1"/>
        <i x="121" s="1" nd="1"/>
        <i x="139" s="1" nd="1"/>
        <i x="107" s="1" nd="1"/>
        <i x="140" s="1" nd="1"/>
        <i x="80" s="1" nd="1"/>
        <i x="130" s="1" nd="1"/>
        <i x="88" s="1" nd="1"/>
        <i x="153" s="1" nd="1"/>
        <i x="96" s="1" nd="1"/>
        <i x="91" s="1" nd="1"/>
        <i x="131" s="1" nd="1"/>
        <i x="132" s="1" nd="1"/>
        <i x="92" s="1" nd="1"/>
        <i x="134" s="1" nd="1"/>
        <i x="82" s="1" nd="1"/>
        <i x="143" s="1" nd="1"/>
        <i x="137" s="1" nd="1"/>
        <i x="129" s="1" nd="1"/>
        <i x="120" s="1" nd="1"/>
        <i x="127" s="1" nd="1"/>
        <i x="147" s="1" nd="1"/>
        <i x="126" s="1" nd="1"/>
        <i x="142" s="1" nd="1"/>
        <i x="87" s="1" nd="1"/>
        <i x="83" s="1" nd="1"/>
        <i x="86" s="1" nd="1"/>
        <i x="90" s="1" nd="1"/>
        <i x="110" s="1" nd="1"/>
        <i x="93" s="1" nd="1"/>
        <i x="135" s="1" nd="1"/>
        <i x="84" s="1" nd="1"/>
        <i x="85" s="1" nd="1"/>
        <i x="99" s="1" nd="1"/>
        <i x="95" s="1" nd="1"/>
        <i x="7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IER" xr10:uid="{374F28DF-FA96-495D-B634-3AC46FE7AE76}" sourceName="RATING TIER">
  <pivotTables>
    <pivotTable tabId="3" name="ptEngagement"/>
    <pivotTable tabId="3" name="ptAvgRatingByGenre"/>
    <pivotTable tabId="3" name="ptTopAuthors"/>
  </pivotTables>
  <data>
    <tabular pivotCacheId="61956019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F2A80D21-BA19-4191-BFFC-E34D22D4D99A}" cache="Slicer_GENRE" caption="GENRE" startItem="32" style="SlicerStyleDark1" rowHeight="257175"/>
  <slicer name="LANGUAGE" xr10:uid="{3F1680B3-0E48-4CBF-B60F-3AEAC4291D9A}" cache="Slicer_LANGUAGE" caption="LANGUAGE" style="SlicerStyleDark1" rowHeight="257175"/>
  <slicer name="YEAR" xr10:uid="{B3B7C517-2586-4C89-A2CA-CFCBD98C985F}" cache="Slicer_YEAR" caption="YEAR" style="SlicerStyleDark1" rowHeight="257175"/>
  <slicer name="RATING TIER" xr10:uid="{5F566985-C468-45CD-85F1-ED05D8D566CF}" cache="Slicer_RATING_TIER" caption="RATING TIER"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1BBF1D-A3D8-45A1-8220-238E1696ADE3}" name="Books" displayName="Books" ref="A5:M1388" tableType="queryTable" totalsRowShown="0">
  <autoFilter ref="A5:M1388" xr:uid="{311BBF1D-A3D8-45A1-8220-238E1696ADE3}">
    <filterColumn colId="1">
      <customFilters>
        <customFilter operator="notEqual" val=" "/>
      </customFilters>
    </filterColumn>
    <filterColumn colId="3">
      <customFilters>
        <customFilter operator="notEqual" val=" "/>
      </customFilters>
    </filterColumn>
    <filterColumn colId="5">
      <customFilters>
        <customFilter operator="notEqual" val=" "/>
      </customFilters>
    </filterColumn>
  </autoFilter>
  <tableColumns count="13">
    <tableColumn id="1" xr3:uid="{E27BF663-DCCF-43B4-9A4B-53F4333B9FAF}" uniqueName="1" name="TITLE" queryTableFieldId="1" dataDxfId="10"/>
    <tableColumn id="2" xr3:uid="{66901E2E-83AB-4417-9574-25FBB9C46570}" uniqueName="2" name="AUTHOR" queryTableFieldId="2" dataDxfId="9"/>
    <tableColumn id="3" xr3:uid="{4E1DA0AF-FC07-47DF-8898-A14A543EF1AD}" uniqueName="3" name="PAGES" queryTableFieldId="3"/>
    <tableColumn id="4" xr3:uid="{58CF6653-58CD-41DC-90C2-377D4D92EBFD}" uniqueName="4" name="GENRE" queryTableFieldId="4" dataDxfId="8"/>
    <tableColumn id="5" xr3:uid="{85D08012-662C-4995-ABDB-AAC4D8B9292F}" uniqueName="5" name="PUBLISHED DATE" queryTableFieldId="5" dataDxfId="7"/>
    <tableColumn id="6" xr3:uid="{45F576E2-FD5C-4B48-9EED-128CEC5EF67C}" uniqueName="6" name="PUBLISHER" queryTableFieldId="6" dataDxfId="6"/>
    <tableColumn id="7" xr3:uid="{DF6857FA-343D-4144-80D3-FBE316DFF776}" uniqueName="7" name="LANGUAGE" queryTableFieldId="7" dataDxfId="5"/>
    <tableColumn id="8" xr3:uid="{EF2617AB-B495-41FF-AF00-84D037D8241C}" uniqueName="8" name="AVERAGE RATING" queryTableFieldId="8"/>
    <tableColumn id="9" xr3:uid="{E6EB1920-A162-49F0-9CD2-18CB80334CC2}" uniqueName="9" name="RATINGS COUNT" queryTableFieldId="9"/>
    <tableColumn id="10" xr3:uid="{2B9AAFFE-B1B4-4C1B-A797-4600F850D518}" uniqueName="10" name="YEAR" queryTableFieldId="10"/>
    <tableColumn id="11" xr3:uid="{B346D1F1-D8D3-44E9-8506-1D38641811D6}" uniqueName="11" name="RATING TIER" queryTableFieldId="11" dataDxfId="4">
      <calculatedColumnFormula>IF(Books[[#This Row],[AVERAGE RATING]]&gt;=4,"High",IF(Books[[#This Row],[AVERAGE RATING]]&gt;=3,"Medium","Low"))</calculatedColumnFormula>
    </tableColumn>
    <tableColumn id="12" xr3:uid="{CC631245-8F5D-4EAF-B676-C4FE4633F2B4}" uniqueName="12" name="POPULARITY" queryTableFieldId="12" dataDxfId="3">
      <calculatedColumnFormula>IF(Books[[#This Row],[AVERAGE RATING]]&gt;10000,"Popular","Average")</calculatedColumnFormula>
    </tableColumn>
    <tableColumn id="13" xr3:uid="{B96FF87A-3EA8-4C4A-B570-189A240B9F7F}" uniqueName="13" name="ENGAGEMENT SCORE" queryTableFieldId="13" dataDxfId="2">
      <calculatedColumnFormula>Books[[#This Row],[AVERAGE RATING]]*Books[[#This Row],[RATINGS COUNT]]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4BC26-F110-4C6F-91A9-F9CFBE808501}">
  <dimension ref="A1:M1388"/>
  <sheetViews>
    <sheetView topLeftCell="A6" workbookViewId="0">
      <selection activeCell="A21" sqref="A21"/>
    </sheetView>
  </sheetViews>
  <sheetFormatPr defaultRowHeight="15" x14ac:dyDescent="0.25"/>
  <cols>
    <col min="1" max="2" width="81.140625" bestFit="1" customWidth="1"/>
    <col min="3" max="3" width="9.28515625" bestFit="1" customWidth="1"/>
    <col min="4" max="4" width="29.140625" bestFit="1" customWidth="1"/>
    <col min="5" max="5" width="18.85546875" bestFit="1" customWidth="1"/>
    <col min="6" max="6" width="68.5703125" bestFit="1" customWidth="1"/>
    <col min="7" max="7" width="13.28515625" bestFit="1" customWidth="1"/>
    <col min="8" max="8" width="19.140625" bestFit="1" customWidth="1"/>
    <col min="9" max="9" width="18.42578125" bestFit="1" customWidth="1"/>
    <col min="10" max="10" width="8" bestFit="1" customWidth="1"/>
    <col min="11" max="11" width="14.5703125" bestFit="1" customWidth="1"/>
    <col min="12" max="12" width="14.42578125" bestFit="1" customWidth="1"/>
    <col min="13" max="13" width="23.28515625" bestFit="1" customWidth="1"/>
  </cols>
  <sheetData>
    <row r="1" spans="1:13" ht="15" customHeight="1" x14ac:dyDescent="0.25">
      <c r="A1" s="18" t="s">
        <v>4037</v>
      </c>
      <c r="B1" s="18"/>
    </row>
    <row r="2" spans="1:13" ht="15" customHeight="1" x14ac:dyDescent="0.25">
      <c r="A2" s="18"/>
      <c r="B2" s="18"/>
    </row>
    <row r="3" spans="1:13" ht="15" customHeight="1" x14ac:dyDescent="0.25">
      <c r="A3" s="18"/>
      <c r="B3" s="18"/>
    </row>
    <row r="4" spans="1:13" ht="40.5" customHeight="1" x14ac:dyDescent="0.4">
      <c r="A4" s="3" t="s">
        <v>4038</v>
      </c>
    </row>
    <row r="5" spans="1:13" x14ac:dyDescent="0.25">
      <c r="A5" t="s">
        <v>3043</v>
      </c>
      <c r="B5" t="s">
        <v>3044</v>
      </c>
      <c r="C5" t="s">
        <v>3045</v>
      </c>
      <c r="D5" t="s">
        <v>3046</v>
      </c>
      <c r="E5" t="s">
        <v>3047</v>
      </c>
      <c r="F5" t="s">
        <v>3048</v>
      </c>
      <c r="G5" t="s">
        <v>3049</v>
      </c>
      <c r="H5" t="s">
        <v>3050</v>
      </c>
      <c r="I5" t="s">
        <v>3051</v>
      </c>
      <c r="J5" t="s">
        <v>3052</v>
      </c>
      <c r="K5" t="s">
        <v>4034</v>
      </c>
      <c r="L5" t="s">
        <v>4035</v>
      </c>
      <c r="M5" t="s">
        <v>4036</v>
      </c>
    </row>
    <row r="6" spans="1:13" x14ac:dyDescent="0.25">
      <c r="A6" t="s">
        <v>0</v>
      </c>
      <c r="B6" t="s">
        <v>1</v>
      </c>
      <c r="C6">
        <v>252</v>
      </c>
      <c r="D6" t="s">
        <v>2</v>
      </c>
      <c r="E6" t="s">
        <v>3053</v>
      </c>
      <c r="F6" t="s">
        <v>3</v>
      </c>
      <c r="G6" t="s">
        <v>4</v>
      </c>
      <c r="H6">
        <v>0</v>
      </c>
      <c r="I6">
        <v>0</v>
      </c>
      <c r="J6">
        <v>1996</v>
      </c>
      <c r="K6" t="str">
        <f>IF(Books[[#This Row],[AVERAGE RATING]]&gt;=4,"High",IF(Books[[#This Row],[AVERAGE RATING]]&gt;=3,"Medium","Low"))</f>
        <v>Low</v>
      </c>
      <c r="L6" t="str">
        <f>IF(Books[[#This Row],[AVERAGE RATING]]&gt;10000,"Popular","Average")</f>
        <v>Average</v>
      </c>
      <c r="M6">
        <f>Books[[#This Row],[AVERAGE RATING]]*Books[[#This Row],[RATINGS COUNT]]</f>
        <v>0</v>
      </c>
    </row>
    <row r="7" spans="1:13" x14ac:dyDescent="0.25">
      <c r="A7" t="s">
        <v>5</v>
      </c>
      <c r="B7" t="s">
        <v>6</v>
      </c>
      <c r="C7">
        <v>802</v>
      </c>
      <c r="D7" t="s">
        <v>7</v>
      </c>
      <c r="E7" t="s">
        <v>3054</v>
      </c>
      <c r="F7" t="s">
        <v>8</v>
      </c>
      <c r="G7" t="s">
        <v>4</v>
      </c>
      <c r="H7">
        <v>0</v>
      </c>
      <c r="I7">
        <v>0</v>
      </c>
      <c r="J7">
        <v>2010</v>
      </c>
      <c r="K7" t="str">
        <f>IF(Books[[#This Row],[AVERAGE RATING]]&gt;=4,"High",IF(Books[[#This Row],[AVERAGE RATING]]&gt;=3,"Medium","Low"))</f>
        <v>Low</v>
      </c>
      <c r="L7" t="str">
        <f>IF(Books[[#This Row],[AVERAGE RATING]]&gt;10000,"Popular","Average")</f>
        <v>Average</v>
      </c>
      <c r="M7">
        <f>Books[[#This Row],[AVERAGE RATING]]*Books[[#This Row],[RATINGS COUNT]]</f>
        <v>0</v>
      </c>
    </row>
    <row r="8" spans="1:13" x14ac:dyDescent="0.25">
      <c r="A8" t="s">
        <v>9</v>
      </c>
      <c r="B8" t="s">
        <v>10</v>
      </c>
      <c r="C8">
        <v>248</v>
      </c>
      <c r="D8" t="s">
        <v>11</v>
      </c>
      <c r="E8" t="s">
        <v>3057</v>
      </c>
      <c r="F8" t="s">
        <v>12</v>
      </c>
      <c r="G8" t="s">
        <v>4</v>
      </c>
      <c r="H8">
        <v>0</v>
      </c>
      <c r="I8">
        <v>0</v>
      </c>
      <c r="J8">
        <v>1985</v>
      </c>
      <c r="K8" t="str">
        <f>IF(Books[[#This Row],[AVERAGE RATING]]&gt;=4,"High",IF(Books[[#This Row],[AVERAGE RATING]]&gt;=3,"Medium","Low"))</f>
        <v>Low</v>
      </c>
      <c r="L8" t="str">
        <f>IF(Books[[#This Row],[AVERAGE RATING]]&gt;10000,"Popular","Average")</f>
        <v>Average</v>
      </c>
      <c r="M8">
        <f>Books[[#This Row],[AVERAGE RATING]]*Books[[#This Row],[RATINGS COUNT]]</f>
        <v>0</v>
      </c>
    </row>
    <row r="9" spans="1:13" x14ac:dyDescent="0.25">
      <c r="A9" t="s">
        <v>13</v>
      </c>
      <c r="B9" t="s">
        <v>14</v>
      </c>
      <c r="C9">
        <v>337</v>
      </c>
      <c r="D9" t="s">
        <v>15</v>
      </c>
      <c r="E9" t="s">
        <v>3058</v>
      </c>
      <c r="F9" t="s">
        <v>16</v>
      </c>
      <c r="G9" t="s">
        <v>4</v>
      </c>
      <c r="H9">
        <v>0</v>
      </c>
      <c r="I9">
        <v>0</v>
      </c>
      <c r="J9">
        <v>2017</v>
      </c>
      <c r="K9" t="str">
        <f>IF(Books[[#This Row],[AVERAGE RATING]]&gt;=4,"High",IF(Books[[#This Row],[AVERAGE RATING]]&gt;=3,"Medium","Low"))</f>
        <v>Low</v>
      </c>
      <c r="L9" t="str">
        <f>IF(Books[[#This Row],[AVERAGE RATING]]&gt;10000,"Popular","Average")</f>
        <v>Average</v>
      </c>
      <c r="M9">
        <f>Books[[#This Row],[AVERAGE RATING]]*Books[[#This Row],[RATINGS COUNT]]</f>
        <v>0</v>
      </c>
    </row>
    <row r="10" spans="1:13" x14ac:dyDescent="0.25">
      <c r="A10" t="s">
        <v>19</v>
      </c>
      <c r="B10" t="s">
        <v>20</v>
      </c>
      <c r="C10">
        <v>230</v>
      </c>
      <c r="D10" t="s">
        <v>2</v>
      </c>
      <c r="E10" t="s">
        <v>3059</v>
      </c>
      <c r="F10" t="s">
        <v>21</v>
      </c>
      <c r="G10" t="s">
        <v>4</v>
      </c>
      <c r="H10">
        <v>0</v>
      </c>
      <c r="I10">
        <v>0</v>
      </c>
      <c r="J10">
        <v>1990</v>
      </c>
      <c r="K10" t="str">
        <f>IF(Books[[#This Row],[AVERAGE RATING]]&gt;=4,"High",IF(Books[[#This Row],[AVERAGE RATING]]&gt;=3,"Medium","Low"))</f>
        <v>Low</v>
      </c>
      <c r="L10" t="str">
        <f>IF(Books[[#This Row],[AVERAGE RATING]]&gt;10000,"Popular","Average")</f>
        <v>Average</v>
      </c>
      <c r="M10">
        <f>Books[[#This Row],[AVERAGE RATING]]*Books[[#This Row],[RATINGS COUNT]]</f>
        <v>0</v>
      </c>
    </row>
    <row r="11" spans="1:13" x14ac:dyDescent="0.25">
      <c r="A11" t="s">
        <v>22</v>
      </c>
      <c r="B11" t="s">
        <v>23</v>
      </c>
      <c r="C11">
        <v>178</v>
      </c>
      <c r="D11" t="s">
        <v>24</v>
      </c>
      <c r="E11" t="s">
        <v>3060</v>
      </c>
      <c r="F11" t="s">
        <v>25</v>
      </c>
      <c r="G11" t="s">
        <v>4</v>
      </c>
      <c r="H11">
        <v>0</v>
      </c>
      <c r="I11">
        <v>0</v>
      </c>
      <c r="J11">
        <v>2008</v>
      </c>
      <c r="K11" t="str">
        <f>IF(Books[[#This Row],[AVERAGE RATING]]&gt;=4,"High",IF(Books[[#This Row],[AVERAGE RATING]]&gt;=3,"Medium","Low"))</f>
        <v>Low</v>
      </c>
      <c r="L11" t="str">
        <f>IF(Books[[#This Row],[AVERAGE RATING]]&gt;10000,"Popular","Average")</f>
        <v>Average</v>
      </c>
      <c r="M11">
        <f>Books[[#This Row],[AVERAGE RATING]]*Books[[#This Row],[RATINGS COUNT]]</f>
        <v>0</v>
      </c>
    </row>
    <row r="12" spans="1:13" x14ac:dyDescent="0.25">
      <c r="A12" t="s">
        <v>26</v>
      </c>
      <c r="B12" t="s">
        <v>27</v>
      </c>
      <c r="C12">
        <v>604</v>
      </c>
      <c r="D12" t="s">
        <v>28</v>
      </c>
      <c r="E12" t="s">
        <v>3062</v>
      </c>
      <c r="F12" t="s">
        <v>29</v>
      </c>
      <c r="G12" t="s">
        <v>4</v>
      </c>
      <c r="H12">
        <v>0</v>
      </c>
      <c r="I12">
        <v>0</v>
      </c>
      <c r="J12">
        <v>2002</v>
      </c>
      <c r="K12" t="str">
        <f>IF(Books[[#This Row],[AVERAGE RATING]]&gt;=4,"High",IF(Books[[#This Row],[AVERAGE RATING]]&gt;=3,"Medium","Low"))</f>
        <v>Low</v>
      </c>
      <c r="L12" t="str">
        <f>IF(Books[[#This Row],[AVERAGE RATING]]&gt;10000,"Popular","Average")</f>
        <v>Average</v>
      </c>
      <c r="M12">
        <f>Books[[#This Row],[AVERAGE RATING]]*Books[[#This Row],[RATINGS COUNT]]</f>
        <v>0</v>
      </c>
    </row>
    <row r="13" spans="1:13" x14ac:dyDescent="0.25">
      <c r="A13" t="s">
        <v>30</v>
      </c>
      <c r="B13" t="s">
        <v>31</v>
      </c>
      <c r="C13">
        <v>206</v>
      </c>
      <c r="D13" t="s">
        <v>32</v>
      </c>
      <c r="E13" t="s">
        <v>3063</v>
      </c>
      <c r="F13" t="s">
        <v>18</v>
      </c>
      <c r="G13" t="s">
        <v>4</v>
      </c>
      <c r="H13">
        <v>0</v>
      </c>
      <c r="I13">
        <v>0</v>
      </c>
      <c r="J13">
        <v>2018</v>
      </c>
      <c r="K13" t="str">
        <f>IF(Books[[#This Row],[AVERAGE RATING]]&gt;=4,"High",IF(Books[[#This Row],[AVERAGE RATING]]&gt;=3,"Medium","Low"))</f>
        <v>Low</v>
      </c>
      <c r="L13" t="str">
        <f>IF(Books[[#This Row],[AVERAGE RATING]]&gt;10000,"Popular","Average")</f>
        <v>Average</v>
      </c>
      <c r="M13">
        <f>Books[[#This Row],[AVERAGE RATING]]*Books[[#This Row],[RATINGS COUNT]]</f>
        <v>0</v>
      </c>
    </row>
    <row r="14" spans="1:13" x14ac:dyDescent="0.25">
      <c r="A14" t="s">
        <v>33</v>
      </c>
      <c r="B14" t="s">
        <v>34</v>
      </c>
      <c r="C14">
        <v>838</v>
      </c>
      <c r="D14" t="s">
        <v>2</v>
      </c>
      <c r="E14" t="s">
        <v>3064</v>
      </c>
      <c r="F14" t="s">
        <v>35</v>
      </c>
      <c r="G14" t="s">
        <v>4</v>
      </c>
      <c r="H14">
        <v>3</v>
      </c>
      <c r="I14">
        <v>2</v>
      </c>
      <c r="J14">
        <v>2014</v>
      </c>
      <c r="K14" t="str">
        <f>IF(Books[[#This Row],[AVERAGE RATING]]&gt;=4,"High",IF(Books[[#This Row],[AVERAGE RATING]]&gt;=3,"Medium","Low"))</f>
        <v>Medium</v>
      </c>
      <c r="L14" t="str">
        <f>IF(Books[[#This Row],[AVERAGE RATING]]&gt;10000,"Popular","Average")</f>
        <v>Average</v>
      </c>
      <c r="M14">
        <f>Books[[#This Row],[AVERAGE RATING]]*Books[[#This Row],[RATINGS COUNT]]</f>
        <v>6</v>
      </c>
    </row>
    <row r="15" spans="1:13" x14ac:dyDescent="0.25">
      <c r="A15" t="s">
        <v>36</v>
      </c>
      <c r="B15" t="s">
        <v>37</v>
      </c>
      <c r="C15">
        <v>314</v>
      </c>
      <c r="D15" t="s">
        <v>38</v>
      </c>
      <c r="E15" t="s">
        <v>3065</v>
      </c>
      <c r="F15" t="s">
        <v>39</v>
      </c>
      <c r="G15" t="s">
        <v>4</v>
      </c>
      <c r="H15">
        <v>0</v>
      </c>
      <c r="I15">
        <v>0</v>
      </c>
      <c r="J15">
        <v>2017</v>
      </c>
      <c r="K15" t="str">
        <f>IF(Books[[#This Row],[AVERAGE RATING]]&gt;=4,"High",IF(Books[[#This Row],[AVERAGE RATING]]&gt;=3,"Medium","Low"))</f>
        <v>Low</v>
      </c>
      <c r="L15" t="str">
        <f>IF(Books[[#This Row],[AVERAGE RATING]]&gt;10000,"Popular","Average")</f>
        <v>Average</v>
      </c>
      <c r="M15">
        <f>Books[[#This Row],[AVERAGE RATING]]*Books[[#This Row],[RATINGS COUNT]]</f>
        <v>0</v>
      </c>
    </row>
    <row r="16" spans="1:13" x14ac:dyDescent="0.25">
      <c r="A16" t="s">
        <v>40</v>
      </c>
      <c r="B16" t="s">
        <v>41</v>
      </c>
      <c r="C16">
        <v>234</v>
      </c>
      <c r="D16" t="s">
        <v>38</v>
      </c>
      <c r="E16" t="s">
        <v>3066</v>
      </c>
      <c r="F16" t="s">
        <v>42</v>
      </c>
      <c r="G16" t="s">
        <v>4</v>
      </c>
      <c r="H16">
        <v>0</v>
      </c>
      <c r="I16">
        <v>0</v>
      </c>
      <c r="J16">
        <v>2012</v>
      </c>
      <c r="K16" t="str">
        <f>IF(Books[[#This Row],[AVERAGE RATING]]&gt;=4,"High",IF(Books[[#This Row],[AVERAGE RATING]]&gt;=3,"Medium","Low"))</f>
        <v>Low</v>
      </c>
      <c r="L16" t="str">
        <f>IF(Books[[#This Row],[AVERAGE RATING]]&gt;10000,"Popular","Average")</f>
        <v>Average</v>
      </c>
      <c r="M16">
        <f>Books[[#This Row],[AVERAGE RATING]]*Books[[#This Row],[RATINGS COUNT]]</f>
        <v>0</v>
      </c>
    </row>
    <row r="17" spans="1:13" x14ac:dyDescent="0.25">
      <c r="A17" t="s">
        <v>43</v>
      </c>
      <c r="B17" t="s">
        <v>44</v>
      </c>
      <c r="C17">
        <v>644</v>
      </c>
      <c r="D17" t="s">
        <v>45</v>
      </c>
      <c r="E17" t="s">
        <v>3067</v>
      </c>
      <c r="F17" t="s">
        <v>46</v>
      </c>
      <c r="G17" t="s">
        <v>4</v>
      </c>
      <c r="H17">
        <v>0</v>
      </c>
      <c r="I17">
        <v>0</v>
      </c>
      <c r="J17">
        <v>2003</v>
      </c>
      <c r="K17" t="str">
        <f>IF(Books[[#This Row],[AVERAGE RATING]]&gt;=4,"High",IF(Books[[#This Row],[AVERAGE RATING]]&gt;=3,"Medium","Low"))</f>
        <v>Low</v>
      </c>
      <c r="L17" t="str">
        <f>IF(Books[[#This Row],[AVERAGE RATING]]&gt;10000,"Popular","Average")</f>
        <v>Average</v>
      </c>
      <c r="M17">
        <f>Books[[#This Row],[AVERAGE RATING]]*Books[[#This Row],[RATINGS COUNT]]</f>
        <v>0</v>
      </c>
    </row>
    <row r="18" spans="1:13" x14ac:dyDescent="0.25">
      <c r="A18" t="s">
        <v>48</v>
      </c>
      <c r="B18" t="s">
        <v>49</v>
      </c>
      <c r="C18">
        <v>104</v>
      </c>
      <c r="D18" t="s">
        <v>2</v>
      </c>
      <c r="E18" t="s">
        <v>3068</v>
      </c>
      <c r="F18" t="s">
        <v>50</v>
      </c>
      <c r="G18" t="s">
        <v>4</v>
      </c>
      <c r="H18">
        <v>0</v>
      </c>
      <c r="I18">
        <v>0</v>
      </c>
      <c r="J18">
        <v>1988</v>
      </c>
      <c r="K18" t="str">
        <f>IF(Books[[#This Row],[AVERAGE RATING]]&gt;=4,"High",IF(Books[[#This Row],[AVERAGE RATING]]&gt;=3,"Medium","Low"))</f>
        <v>Low</v>
      </c>
      <c r="L18" t="str">
        <f>IF(Books[[#This Row],[AVERAGE RATING]]&gt;10000,"Popular","Average")</f>
        <v>Average</v>
      </c>
      <c r="M18">
        <f>Books[[#This Row],[AVERAGE RATING]]*Books[[#This Row],[RATINGS COUNT]]</f>
        <v>0</v>
      </c>
    </row>
    <row r="19" spans="1:13" x14ac:dyDescent="0.25">
      <c r="A19" t="s">
        <v>52</v>
      </c>
      <c r="B19" t="s">
        <v>53</v>
      </c>
      <c r="C19">
        <v>32</v>
      </c>
      <c r="D19" t="s">
        <v>54</v>
      </c>
      <c r="E19" t="s">
        <v>3071</v>
      </c>
      <c r="F19" t="s">
        <v>55</v>
      </c>
      <c r="G19" t="s">
        <v>4</v>
      </c>
      <c r="H19">
        <v>0</v>
      </c>
      <c r="I19">
        <v>0</v>
      </c>
      <c r="J19">
        <v>2017</v>
      </c>
      <c r="K19" t="str">
        <f>IF(Books[[#This Row],[AVERAGE RATING]]&gt;=4,"High",IF(Books[[#This Row],[AVERAGE RATING]]&gt;=3,"Medium","Low"))</f>
        <v>Low</v>
      </c>
      <c r="L19" t="str">
        <f>IF(Books[[#This Row],[AVERAGE RATING]]&gt;10000,"Popular","Average")</f>
        <v>Average</v>
      </c>
      <c r="M19">
        <f>Books[[#This Row],[AVERAGE RATING]]*Books[[#This Row],[RATINGS COUNT]]</f>
        <v>0</v>
      </c>
    </row>
    <row r="20" spans="1:13" x14ac:dyDescent="0.25">
      <c r="A20" t="s">
        <v>57</v>
      </c>
      <c r="B20" t="s">
        <v>58</v>
      </c>
      <c r="C20">
        <v>886</v>
      </c>
      <c r="D20" t="s">
        <v>59</v>
      </c>
      <c r="E20" t="s">
        <v>3079</v>
      </c>
      <c r="F20" t="s">
        <v>60</v>
      </c>
      <c r="G20" t="s">
        <v>4</v>
      </c>
      <c r="H20">
        <v>0</v>
      </c>
      <c r="I20">
        <v>0</v>
      </c>
      <c r="J20">
        <v>2021</v>
      </c>
      <c r="K20" t="str">
        <f>IF(Books[[#This Row],[AVERAGE RATING]]&gt;=4,"High",IF(Books[[#This Row],[AVERAGE RATING]]&gt;=3,"Medium","Low"))</f>
        <v>Low</v>
      </c>
      <c r="L20" t="str">
        <f>IF(Books[[#This Row],[AVERAGE RATING]]&gt;10000,"Popular","Average")</f>
        <v>Average</v>
      </c>
      <c r="M20">
        <f>Books[[#This Row],[AVERAGE RATING]]*Books[[#This Row],[RATINGS COUNT]]</f>
        <v>0</v>
      </c>
    </row>
    <row r="21" spans="1:13" x14ac:dyDescent="0.25">
      <c r="A21" t="s">
        <v>61</v>
      </c>
      <c r="B21" t="s">
        <v>62</v>
      </c>
      <c r="C21">
        <v>370</v>
      </c>
      <c r="D21" t="s">
        <v>63</v>
      </c>
      <c r="E21" t="s">
        <v>3080</v>
      </c>
      <c r="F21" t="s">
        <v>64</v>
      </c>
      <c r="G21" t="s">
        <v>4</v>
      </c>
      <c r="H21">
        <v>0</v>
      </c>
      <c r="I21">
        <v>0</v>
      </c>
      <c r="J21">
        <v>2012</v>
      </c>
      <c r="K21" t="str">
        <f>IF(Books[[#This Row],[AVERAGE RATING]]&gt;=4,"High",IF(Books[[#This Row],[AVERAGE RATING]]&gt;=3,"Medium","Low"))</f>
        <v>Low</v>
      </c>
      <c r="L21" t="str">
        <f>IF(Books[[#This Row],[AVERAGE RATING]]&gt;10000,"Popular","Average")</f>
        <v>Average</v>
      </c>
      <c r="M21">
        <f>Books[[#This Row],[AVERAGE RATING]]*Books[[#This Row],[RATINGS COUNT]]</f>
        <v>0</v>
      </c>
    </row>
    <row r="22" spans="1:13" x14ac:dyDescent="0.25">
      <c r="A22" t="s">
        <v>65</v>
      </c>
      <c r="B22" t="s">
        <v>66</v>
      </c>
      <c r="C22">
        <v>290</v>
      </c>
      <c r="D22" t="s">
        <v>15</v>
      </c>
      <c r="E22" t="s">
        <v>3081</v>
      </c>
      <c r="F22" t="s">
        <v>67</v>
      </c>
      <c r="G22" t="s">
        <v>4</v>
      </c>
      <c r="H22">
        <v>0</v>
      </c>
      <c r="I22">
        <v>0</v>
      </c>
      <c r="J22">
        <v>2022</v>
      </c>
      <c r="K22" t="str">
        <f>IF(Books[[#This Row],[AVERAGE RATING]]&gt;=4,"High",IF(Books[[#This Row],[AVERAGE RATING]]&gt;=3,"Medium","Low"))</f>
        <v>Low</v>
      </c>
      <c r="L22" t="str">
        <f>IF(Books[[#This Row],[AVERAGE RATING]]&gt;10000,"Popular","Average")</f>
        <v>Average</v>
      </c>
      <c r="M22">
        <f>Books[[#This Row],[AVERAGE RATING]]*Books[[#This Row],[RATINGS COUNT]]</f>
        <v>0</v>
      </c>
    </row>
    <row r="23" spans="1:13" x14ac:dyDescent="0.25">
      <c r="A23" t="s">
        <v>68</v>
      </c>
      <c r="B23" t="s">
        <v>69</v>
      </c>
      <c r="C23">
        <v>332</v>
      </c>
      <c r="D23" t="s">
        <v>15</v>
      </c>
      <c r="E23" t="s">
        <v>3082</v>
      </c>
      <c r="F23" t="s">
        <v>70</v>
      </c>
      <c r="G23" t="s">
        <v>4</v>
      </c>
      <c r="H23">
        <v>0</v>
      </c>
      <c r="I23">
        <v>0</v>
      </c>
      <c r="J23">
        <v>2021</v>
      </c>
      <c r="K23" t="str">
        <f>IF(Books[[#This Row],[AVERAGE RATING]]&gt;=4,"High",IF(Books[[#This Row],[AVERAGE RATING]]&gt;=3,"Medium","Low"))</f>
        <v>Low</v>
      </c>
      <c r="L23" t="str">
        <f>IF(Books[[#This Row],[AVERAGE RATING]]&gt;10000,"Popular","Average")</f>
        <v>Average</v>
      </c>
      <c r="M23">
        <f>Books[[#This Row],[AVERAGE RATING]]*Books[[#This Row],[RATINGS COUNT]]</f>
        <v>0</v>
      </c>
    </row>
    <row r="24" spans="1:13" x14ac:dyDescent="0.25">
      <c r="A24" t="s">
        <v>71</v>
      </c>
      <c r="B24" t="s">
        <v>72</v>
      </c>
      <c r="C24">
        <v>2131</v>
      </c>
      <c r="D24" t="s">
        <v>11</v>
      </c>
      <c r="E24" t="s">
        <v>3083</v>
      </c>
      <c r="F24" t="s">
        <v>73</v>
      </c>
      <c r="G24" t="s">
        <v>4</v>
      </c>
      <c r="H24">
        <v>0</v>
      </c>
      <c r="I24">
        <v>0</v>
      </c>
      <c r="J24">
        <v>2022</v>
      </c>
      <c r="K24" t="str">
        <f>IF(Books[[#This Row],[AVERAGE RATING]]&gt;=4,"High",IF(Books[[#This Row],[AVERAGE RATING]]&gt;=3,"Medium","Low"))</f>
        <v>Low</v>
      </c>
      <c r="L24" t="str">
        <f>IF(Books[[#This Row],[AVERAGE RATING]]&gt;10000,"Popular","Average")</f>
        <v>Average</v>
      </c>
      <c r="M24">
        <f>Books[[#This Row],[AVERAGE RATING]]*Books[[#This Row],[RATINGS COUNT]]</f>
        <v>0</v>
      </c>
    </row>
    <row r="25" spans="1:13" x14ac:dyDescent="0.25">
      <c r="A25" t="s">
        <v>74</v>
      </c>
      <c r="B25" t="s">
        <v>75</v>
      </c>
      <c r="C25">
        <v>303</v>
      </c>
      <c r="D25" t="s">
        <v>15</v>
      </c>
      <c r="E25" t="s">
        <v>3084</v>
      </c>
      <c r="F25" t="s">
        <v>76</v>
      </c>
      <c r="G25" t="s">
        <v>4</v>
      </c>
      <c r="H25">
        <v>0</v>
      </c>
      <c r="I25">
        <v>0</v>
      </c>
      <c r="J25">
        <v>2015</v>
      </c>
      <c r="K25" t="str">
        <f>IF(Books[[#This Row],[AVERAGE RATING]]&gt;=4,"High",IF(Books[[#This Row],[AVERAGE RATING]]&gt;=3,"Medium","Low"))</f>
        <v>Low</v>
      </c>
      <c r="L25" t="str">
        <f>IF(Books[[#This Row],[AVERAGE RATING]]&gt;10000,"Popular","Average")</f>
        <v>Average</v>
      </c>
      <c r="M25">
        <f>Books[[#This Row],[AVERAGE RATING]]*Books[[#This Row],[RATINGS COUNT]]</f>
        <v>0</v>
      </c>
    </row>
    <row r="26" spans="1:13" x14ac:dyDescent="0.25">
      <c r="A26" t="s">
        <v>77</v>
      </c>
      <c r="B26" t="s">
        <v>78</v>
      </c>
      <c r="C26">
        <v>267</v>
      </c>
      <c r="D26" t="s">
        <v>79</v>
      </c>
      <c r="E26" t="s">
        <v>3085</v>
      </c>
      <c r="F26" t="s">
        <v>80</v>
      </c>
      <c r="G26" t="s">
        <v>4</v>
      </c>
      <c r="H26">
        <v>0</v>
      </c>
      <c r="I26">
        <v>0</v>
      </c>
      <c r="J26">
        <v>2022</v>
      </c>
      <c r="K26" t="str">
        <f>IF(Books[[#This Row],[AVERAGE RATING]]&gt;=4,"High",IF(Books[[#This Row],[AVERAGE RATING]]&gt;=3,"Medium","Low"))</f>
        <v>Low</v>
      </c>
      <c r="L26" t="str">
        <f>IF(Books[[#This Row],[AVERAGE RATING]]&gt;10000,"Popular","Average")</f>
        <v>Average</v>
      </c>
      <c r="M26">
        <f>Books[[#This Row],[AVERAGE RATING]]*Books[[#This Row],[RATINGS COUNT]]</f>
        <v>0</v>
      </c>
    </row>
    <row r="27" spans="1:13" x14ac:dyDescent="0.25">
      <c r="A27" t="s">
        <v>81</v>
      </c>
      <c r="B27" t="s">
        <v>82</v>
      </c>
      <c r="C27">
        <v>309</v>
      </c>
      <c r="D27" t="s">
        <v>28</v>
      </c>
      <c r="E27" t="s">
        <v>3056</v>
      </c>
      <c r="F27" t="s">
        <v>18</v>
      </c>
      <c r="G27" t="s">
        <v>4</v>
      </c>
      <c r="H27">
        <v>0</v>
      </c>
      <c r="I27">
        <v>0</v>
      </c>
      <c r="J27">
        <v>2007</v>
      </c>
      <c r="K27" t="str">
        <f>IF(Books[[#This Row],[AVERAGE RATING]]&gt;=4,"High",IF(Books[[#This Row],[AVERAGE RATING]]&gt;=3,"Medium","Low"))</f>
        <v>Low</v>
      </c>
      <c r="L27" t="str">
        <f>IF(Books[[#This Row],[AVERAGE RATING]]&gt;10000,"Popular","Average")</f>
        <v>Average</v>
      </c>
      <c r="M27">
        <f>Books[[#This Row],[AVERAGE RATING]]*Books[[#This Row],[RATINGS COUNT]]</f>
        <v>0</v>
      </c>
    </row>
    <row r="28" spans="1:13" x14ac:dyDescent="0.25">
      <c r="A28" t="s">
        <v>83</v>
      </c>
      <c r="B28" t="s">
        <v>84</v>
      </c>
      <c r="C28">
        <v>250</v>
      </c>
      <c r="D28" t="s">
        <v>85</v>
      </c>
      <c r="E28" t="s">
        <v>3086</v>
      </c>
      <c r="F28" t="s">
        <v>60</v>
      </c>
      <c r="G28" t="s">
        <v>4</v>
      </c>
      <c r="H28">
        <v>0</v>
      </c>
      <c r="I28">
        <v>0</v>
      </c>
      <c r="J28">
        <v>2015</v>
      </c>
      <c r="K28" t="str">
        <f>IF(Books[[#This Row],[AVERAGE RATING]]&gt;=4,"High",IF(Books[[#This Row],[AVERAGE RATING]]&gt;=3,"Medium","Low"))</f>
        <v>Low</v>
      </c>
      <c r="L28" t="str">
        <f>IF(Books[[#This Row],[AVERAGE RATING]]&gt;10000,"Popular","Average")</f>
        <v>Average</v>
      </c>
      <c r="M28">
        <f>Books[[#This Row],[AVERAGE RATING]]*Books[[#This Row],[RATINGS COUNT]]</f>
        <v>0</v>
      </c>
    </row>
    <row r="29" spans="1:13" x14ac:dyDescent="0.25">
      <c r="A29" t="s">
        <v>86</v>
      </c>
      <c r="B29" t="s">
        <v>87</v>
      </c>
      <c r="C29">
        <v>222</v>
      </c>
      <c r="D29" t="s">
        <v>11</v>
      </c>
      <c r="E29" t="s">
        <v>3087</v>
      </c>
      <c r="F29" t="s">
        <v>88</v>
      </c>
      <c r="G29" t="s">
        <v>4</v>
      </c>
      <c r="H29">
        <v>0</v>
      </c>
      <c r="I29">
        <v>0</v>
      </c>
      <c r="J29">
        <v>2024</v>
      </c>
      <c r="K29" t="str">
        <f>IF(Books[[#This Row],[AVERAGE RATING]]&gt;=4,"High",IF(Books[[#This Row],[AVERAGE RATING]]&gt;=3,"Medium","Low"))</f>
        <v>Low</v>
      </c>
      <c r="L29" t="str">
        <f>IF(Books[[#This Row],[AVERAGE RATING]]&gt;10000,"Popular","Average")</f>
        <v>Average</v>
      </c>
      <c r="M29">
        <f>Books[[#This Row],[AVERAGE RATING]]*Books[[#This Row],[RATINGS COUNT]]</f>
        <v>0</v>
      </c>
    </row>
    <row r="30" spans="1:13" x14ac:dyDescent="0.25">
      <c r="A30" t="s">
        <v>89</v>
      </c>
      <c r="B30" t="s">
        <v>90</v>
      </c>
      <c r="C30">
        <v>490</v>
      </c>
      <c r="D30" t="s">
        <v>11</v>
      </c>
      <c r="E30" t="s">
        <v>3088</v>
      </c>
      <c r="F30" t="s">
        <v>88</v>
      </c>
      <c r="G30" t="s">
        <v>4</v>
      </c>
      <c r="H30">
        <v>0</v>
      </c>
      <c r="I30">
        <v>0</v>
      </c>
      <c r="J30">
        <v>2020</v>
      </c>
      <c r="K30" t="str">
        <f>IF(Books[[#This Row],[AVERAGE RATING]]&gt;=4,"High",IF(Books[[#This Row],[AVERAGE RATING]]&gt;=3,"Medium","Low"))</f>
        <v>Low</v>
      </c>
      <c r="L30" t="str">
        <f>IF(Books[[#This Row],[AVERAGE RATING]]&gt;10000,"Popular","Average")</f>
        <v>Average</v>
      </c>
      <c r="M30">
        <f>Books[[#This Row],[AVERAGE RATING]]*Books[[#This Row],[RATINGS COUNT]]</f>
        <v>0</v>
      </c>
    </row>
    <row r="31" spans="1:13" x14ac:dyDescent="0.25">
      <c r="A31" t="s">
        <v>91</v>
      </c>
      <c r="B31" t="s">
        <v>92</v>
      </c>
      <c r="C31">
        <v>1525</v>
      </c>
      <c r="D31" t="s">
        <v>59</v>
      </c>
      <c r="E31" t="s">
        <v>3089</v>
      </c>
      <c r="F31" t="s">
        <v>93</v>
      </c>
      <c r="G31" t="s">
        <v>4</v>
      </c>
      <c r="H31">
        <v>0</v>
      </c>
      <c r="I31">
        <v>0</v>
      </c>
      <c r="J31">
        <v>2016</v>
      </c>
      <c r="K31" t="str">
        <f>IF(Books[[#This Row],[AVERAGE RATING]]&gt;=4,"High",IF(Books[[#This Row],[AVERAGE RATING]]&gt;=3,"Medium","Low"))</f>
        <v>Low</v>
      </c>
      <c r="L31" t="str">
        <f>IF(Books[[#This Row],[AVERAGE RATING]]&gt;10000,"Popular","Average")</f>
        <v>Average</v>
      </c>
      <c r="M31">
        <f>Books[[#This Row],[AVERAGE RATING]]*Books[[#This Row],[RATINGS COUNT]]</f>
        <v>0</v>
      </c>
    </row>
    <row r="32" spans="1:13" x14ac:dyDescent="0.25">
      <c r="A32" t="s">
        <v>95</v>
      </c>
      <c r="B32" t="s">
        <v>96</v>
      </c>
      <c r="C32">
        <v>538</v>
      </c>
      <c r="D32" t="s">
        <v>15</v>
      </c>
      <c r="E32" t="s">
        <v>3091</v>
      </c>
      <c r="F32" t="s">
        <v>97</v>
      </c>
      <c r="G32" t="s">
        <v>4</v>
      </c>
      <c r="H32">
        <v>0</v>
      </c>
      <c r="I32">
        <v>0</v>
      </c>
      <c r="J32">
        <v>1910</v>
      </c>
      <c r="K32" t="str">
        <f>IF(Books[[#This Row],[AVERAGE RATING]]&gt;=4,"High",IF(Books[[#This Row],[AVERAGE RATING]]&gt;=3,"Medium","Low"))</f>
        <v>Low</v>
      </c>
      <c r="L32" t="str">
        <f>IF(Books[[#This Row],[AVERAGE RATING]]&gt;10000,"Popular","Average")</f>
        <v>Average</v>
      </c>
      <c r="M32">
        <f>Books[[#This Row],[AVERAGE RATING]]*Books[[#This Row],[RATINGS COUNT]]</f>
        <v>0</v>
      </c>
    </row>
    <row r="33" spans="1:13" x14ac:dyDescent="0.25">
      <c r="A33" t="s">
        <v>98</v>
      </c>
      <c r="B33" t="s">
        <v>99</v>
      </c>
      <c r="C33">
        <v>64</v>
      </c>
      <c r="D33" t="s">
        <v>7</v>
      </c>
      <c r="E33" t="s">
        <v>3092</v>
      </c>
      <c r="F33" t="s">
        <v>100</v>
      </c>
      <c r="G33" t="s">
        <v>4</v>
      </c>
      <c r="H33">
        <v>0</v>
      </c>
      <c r="I33">
        <v>0</v>
      </c>
      <c r="J33">
        <v>2019</v>
      </c>
      <c r="K33" t="str">
        <f>IF(Books[[#This Row],[AVERAGE RATING]]&gt;=4,"High",IF(Books[[#This Row],[AVERAGE RATING]]&gt;=3,"Medium","Low"))</f>
        <v>Low</v>
      </c>
      <c r="L33" t="str">
        <f>IF(Books[[#This Row],[AVERAGE RATING]]&gt;10000,"Popular","Average")</f>
        <v>Average</v>
      </c>
      <c r="M33">
        <f>Books[[#This Row],[AVERAGE RATING]]*Books[[#This Row],[RATINGS COUNT]]</f>
        <v>0</v>
      </c>
    </row>
    <row r="34" spans="1:13" x14ac:dyDescent="0.25">
      <c r="A34" t="s">
        <v>101</v>
      </c>
      <c r="B34" t="s">
        <v>102</v>
      </c>
      <c r="C34">
        <v>368</v>
      </c>
      <c r="D34" t="s">
        <v>103</v>
      </c>
      <c r="E34" t="s">
        <v>3093</v>
      </c>
      <c r="F34" t="s">
        <v>104</v>
      </c>
      <c r="G34" t="s">
        <v>4</v>
      </c>
      <c r="H34">
        <v>0</v>
      </c>
      <c r="I34">
        <v>0</v>
      </c>
      <c r="J34">
        <v>1900</v>
      </c>
      <c r="K34" t="str">
        <f>IF(Books[[#This Row],[AVERAGE RATING]]&gt;=4,"High",IF(Books[[#This Row],[AVERAGE RATING]]&gt;=3,"Medium","Low"))</f>
        <v>Low</v>
      </c>
      <c r="L34" t="str">
        <f>IF(Books[[#This Row],[AVERAGE RATING]]&gt;10000,"Popular","Average")</f>
        <v>Average</v>
      </c>
      <c r="M34">
        <f>Books[[#This Row],[AVERAGE RATING]]*Books[[#This Row],[RATINGS COUNT]]</f>
        <v>0</v>
      </c>
    </row>
    <row r="35" spans="1:13" x14ac:dyDescent="0.25">
      <c r="A35" t="s">
        <v>105</v>
      </c>
      <c r="B35" t="s">
        <v>106</v>
      </c>
      <c r="C35">
        <v>85</v>
      </c>
      <c r="D35" t="s">
        <v>45</v>
      </c>
      <c r="E35" t="s">
        <v>3055</v>
      </c>
      <c r="F35" t="s">
        <v>107</v>
      </c>
      <c r="G35" t="s">
        <v>4</v>
      </c>
      <c r="H35">
        <v>0</v>
      </c>
      <c r="I35">
        <v>0</v>
      </c>
      <c r="J35">
        <v>2004</v>
      </c>
      <c r="K35" t="str">
        <f>IF(Books[[#This Row],[AVERAGE RATING]]&gt;=4,"High",IF(Books[[#This Row],[AVERAGE RATING]]&gt;=3,"Medium","Low"))</f>
        <v>Low</v>
      </c>
      <c r="L35" t="str">
        <f>IF(Books[[#This Row],[AVERAGE RATING]]&gt;10000,"Popular","Average")</f>
        <v>Average</v>
      </c>
      <c r="M35">
        <f>Books[[#This Row],[AVERAGE RATING]]*Books[[#This Row],[RATINGS COUNT]]</f>
        <v>0</v>
      </c>
    </row>
    <row r="36" spans="1:13" x14ac:dyDescent="0.25">
      <c r="A36" t="s">
        <v>108</v>
      </c>
      <c r="B36" t="s">
        <v>109</v>
      </c>
      <c r="C36">
        <v>244</v>
      </c>
      <c r="D36" t="s">
        <v>2</v>
      </c>
      <c r="E36" t="s">
        <v>3094</v>
      </c>
      <c r="F36" t="s">
        <v>110</v>
      </c>
      <c r="G36" t="s">
        <v>4</v>
      </c>
      <c r="H36">
        <v>0</v>
      </c>
      <c r="I36">
        <v>0</v>
      </c>
      <c r="J36">
        <v>2017</v>
      </c>
      <c r="K36" t="str">
        <f>IF(Books[[#This Row],[AVERAGE RATING]]&gt;=4,"High",IF(Books[[#This Row],[AVERAGE RATING]]&gt;=3,"Medium","Low"))</f>
        <v>Low</v>
      </c>
      <c r="L36" t="str">
        <f>IF(Books[[#This Row],[AVERAGE RATING]]&gt;10000,"Popular","Average")</f>
        <v>Average</v>
      </c>
      <c r="M36">
        <f>Books[[#This Row],[AVERAGE RATING]]*Books[[#This Row],[RATINGS COUNT]]</f>
        <v>0</v>
      </c>
    </row>
    <row r="37" spans="1:13" x14ac:dyDescent="0.25">
      <c r="A37" t="s">
        <v>111</v>
      </c>
      <c r="B37" t="s">
        <v>112</v>
      </c>
      <c r="C37">
        <v>440</v>
      </c>
      <c r="D37" t="s">
        <v>2</v>
      </c>
      <c r="E37" t="s">
        <v>3095</v>
      </c>
      <c r="F37" t="s">
        <v>113</v>
      </c>
      <c r="G37" t="s">
        <v>4</v>
      </c>
      <c r="H37">
        <v>0</v>
      </c>
      <c r="I37">
        <v>0</v>
      </c>
      <c r="J37">
        <v>2007</v>
      </c>
      <c r="K37" t="str">
        <f>IF(Books[[#This Row],[AVERAGE RATING]]&gt;=4,"High",IF(Books[[#This Row],[AVERAGE RATING]]&gt;=3,"Medium","Low"))</f>
        <v>Low</v>
      </c>
      <c r="L37" t="str">
        <f>IF(Books[[#This Row],[AVERAGE RATING]]&gt;10000,"Popular","Average")</f>
        <v>Average</v>
      </c>
      <c r="M37">
        <f>Books[[#This Row],[AVERAGE RATING]]*Books[[#This Row],[RATINGS COUNT]]</f>
        <v>0</v>
      </c>
    </row>
    <row r="38" spans="1:13" x14ac:dyDescent="0.25">
      <c r="A38" t="s">
        <v>114</v>
      </c>
      <c r="B38" t="s">
        <v>115</v>
      </c>
      <c r="C38">
        <v>416</v>
      </c>
      <c r="D38" t="s">
        <v>2</v>
      </c>
      <c r="E38" t="s">
        <v>3096</v>
      </c>
      <c r="F38" t="s">
        <v>70</v>
      </c>
      <c r="G38" t="s">
        <v>4</v>
      </c>
      <c r="H38">
        <v>0</v>
      </c>
      <c r="I38">
        <v>0</v>
      </c>
      <c r="J38">
        <v>2017</v>
      </c>
      <c r="K38" t="str">
        <f>IF(Books[[#This Row],[AVERAGE RATING]]&gt;=4,"High",IF(Books[[#This Row],[AVERAGE RATING]]&gt;=3,"Medium","Low"))</f>
        <v>Low</v>
      </c>
      <c r="L38" t="str">
        <f>IF(Books[[#This Row],[AVERAGE RATING]]&gt;10000,"Popular","Average")</f>
        <v>Average</v>
      </c>
      <c r="M38">
        <f>Books[[#This Row],[AVERAGE RATING]]*Books[[#This Row],[RATINGS COUNT]]</f>
        <v>0</v>
      </c>
    </row>
    <row r="39" spans="1:13" x14ac:dyDescent="0.25">
      <c r="A39" t="s">
        <v>116</v>
      </c>
      <c r="B39" t="s">
        <v>117</v>
      </c>
      <c r="C39">
        <v>316</v>
      </c>
      <c r="D39" t="s">
        <v>118</v>
      </c>
      <c r="E39" t="s">
        <v>3097</v>
      </c>
      <c r="F39" t="s">
        <v>119</v>
      </c>
      <c r="G39" t="s">
        <v>4</v>
      </c>
      <c r="H39">
        <v>0</v>
      </c>
      <c r="I39">
        <v>0</v>
      </c>
      <c r="J39">
        <v>2020</v>
      </c>
      <c r="K39" t="str">
        <f>IF(Books[[#This Row],[AVERAGE RATING]]&gt;=4,"High",IF(Books[[#This Row],[AVERAGE RATING]]&gt;=3,"Medium","Low"))</f>
        <v>Low</v>
      </c>
      <c r="L39" t="str">
        <f>IF(Books[[#This Row],[AVERAGE RATING]]&gt;10000,"Popular","Average")</f>
        <v>Average</v>
      </c>
      <c r="M39">
        <f>Books[[#This Row],[AVERAGE RATING]]*Books[[#This Row],[RATINGS COUNT]]</f>
        <v>0</v>
      </c>
    </row>
    <row r="40" spans="1:13" x14ac:dyDescent="0.25">
      <c r="A40" t="s">
        <v>120</v>
      </c>
      <c r="B40" t="s">
        <v>121</v>
      </c>
      <c r="C40">
        <v>513</v>
      </c>
      <c r="D40" t="s">
        <v>45</v>
      </c>
      <c r="E40" t="s">
        <v>3098</v>
      </c>
      <c r="F40" t="s">
        <v>122</v>
      </c>
      <c r="G40" t="s">
        <v>4</v>
      </c>
      <c r="H40">
        <v>0</v>
      </c>
      <c r="I40">
        <v>0</v>
      </c>
      <c r="J40">
        <v>2012</v>
      </c>
      <c r="K40" t="str">
        <f>IF(Books[[#This Row],[AVERAGE RATING]]&gt;=4,"High",IF(Books[[#This Row],[AVERAGE RATING]]&gt;=3,"Medium","Low"))</f>
        <v>Low</v>
      </c>
      <c r="L40" t="str">
        <f>IF(Books[[#This Row],[AVERAGE RATING]]&gt;10000,"Popular","Average")</f>
        <v>Average</v>
      </c>
      <c r="M40">
        <f>Books[[#This Row],[AVERAGE RATING]]*Books[[#This Row],[RATINGS COUNT]]</f>
        <v>0</v>
      </c>
    </row>
    <row r="41" spans="1:13" x14ac:dyDescent="0.25">
      <c r="A41" t="s">
        <v>123</v>
      </c>
      <c r="B41" t="s">
        <v>124</v>
      </c>
      <c r="C41">
        <v>234</v>
      </c>
      <c r="D41" t="s">
        <v>28</v>
      </c>
      <c r="E41" t="s">
        <v>3100</v>
      </c>
      <c r="F41" t="s">
        <v>35</v>
      </c>
      <c r="G41" t="s">
        <v>4</v>
      </c>
      <c r="H41">
        <v>1</v>
      </c>
      <c r="I41">
        <v>1</v>
      </c>
      <c r="J41">
        <v>2016</v>
      </c>
      <c r="K41" t="str">
        <f>IF(Books[[#This Row],[AVERAGE RATING]]&gt;=4,"High",IF(Books[[#This Row],[AVERAGE RATING]]&gt;=3,"Medium","Low"))</f>
        <v>Low</v>
      </c>
      <c r="L41" t="str">
        <f>IF(Books[[#This Row],[AVERAGE RATING]]&gt;10000,"Popular","Average")</f>
        <v>Average</v>
      </c>
      <c r="M41">
        <f>Books[[#This Row],[AVERAGE RATING]]*Books[[#This Row],[RATINGS COUNT]]</f>
        <v>1</v>
      </c>
    </row>
    <row r="42" spans="1:13" x14ac:dyDescent="0.25">
      <c r="A42" t="s">
        <v>126</v>
      </c>
      <c r="B42" t="s">
        <v>127</v>
      </c>
      <c r="C42">
        <v>372</v>
      </c>
      <c r="D42" t="s">
        <v>7</v>
      </c>
      <c r="E42" t="s">
        <v>3101</v>
      </c>
      <c r="F42" t="s">
        <v>46</v>
      </c>
      <c r="G42" t="s">
        <v>4</v>
      </c>
      <c r="H42">
        <v>0</v>
      </c>
      <c r="I42">
        <v>0</v>
      </c>
      <c r="J42">
        <v>2000</v>
      </c>
      <c r="K42" t="str">
        <f>IF(Books[[#This Row],[AVERAGE RATING]]&gt;=4,"High",IF(Books[[#This Row],[AVERAGE RATING]]&gt;=3,"Medium","Low"))</f>
        <v>Low</v>
      </c>
      <c r="L42" t="str">
        <f>IF(Books[[#This Row],[AVERAGE RATING]]&gt;10000,"Popular","Average")</f>
        <v>Average</v>
      </c>
      <c r="M42">
        <f>Books[[#This Row],[AVERAGE RATING]]*Books[[#This Row],[RATINGS COUNT]]</f>
        <v>0</v>
      </c>
    </row>
    <row r="43" spans="1:13" x14ac:dyDescent="0.25">
      <c r="A43" t="s">
        <v>128</v>
      </c>
      <c r="B43" t="s">
        <v>129</v>
      </c>
      <c r="C43">
        <v>296</v>
      </c>
      <c r="D43" t="s">
        <v>2</v>
      </c>
      <c r="E43" t="s">
        <v>3102</v>
      </c>
      <c r="F43" t="s">
        <v>93</v>
      </c>
      <c r="G43" t="s">
        <v>4</v>
      </c>
      <c r="H43">
        <v>0</v>
      </c>
      <c r="I43">
        <v>0</v>
      </c>
      <c r="J43">
        <v>2017</v>
      </c>
      <c r="K43" t="str">
        <f>IF(Books[[#This Row],[AVERAGE RATING]]&gt;=4,"High",IF(Books[[#This Row],[AVERAGE RATING]]&gt;=3,"Medium","Low"))</f>
        <v>Low</v>
      </c>
      <c r="L43" t="str">
        <f>IF(Books[[#This Row],[AVERAGE RATING]]&gt;10000,"Popular","Average")</f>
        <v>Average</v>
      </c>
      <c r="M43">
        <f>Books[[#This Row],[AVERAGE RATING]]*Books[[#This Row],[RATINGS COUNT]]</f>
        <v>0</v>
      </c>
    </row>
    <row r="44" spans="1:13" x14ac:dyDescent="0.25">
      <c r="A44" t="s">
        <v>130</v>
      </c>
      <c r="B44" t="s">
        <v>131</v>
      </c>
      <c r="C44">
        <v>628</v>
      </c>
      <c r="D44" t="s">
        <v>45</v>
      </c>
      <c r="E44" t="s">
        <v>3103</v>
      </c>
      <c r="F44" t="s">
        <v>132</v>
      </c>
      <c r="G44" t="s">
        <v>4</v>
      </c>
      <c r="H44">
        <v>0</v>
      </c>
      <c r="I44">
        <v>0</v>
      </c>
      <c r="J44">
        <v>2018</v>
      </c>
      <c r="K44" t="str">
        <f>IF(Books[[#This Row],[AVERAGE RATING]]&gt;=4,"High",IF(Books[[#This Row],[AVERAGE RATING]]&gt;=3,"Medium","Low"))</f>
        <v>Low</v>
      </c>
      <c r="L44" t="str">
        <f>IF(Books[[#This Row],[AVERAGE RATING]]&gt;10000,"Popular","Average")</f>
        <v>Average</v>
      </c>
      <c r="M44">
        <f>Books[[#This Row],[AVERAGE RATING]]*Books[[#This Row],[RATINGS COUNT]]</f>
        <v>0</v>
      </c>
    </row>
    <row r="45" spans="1:13" x14ac:dyDescent="0.25">
      <c r="A45" t="s">
        <v>133</v>
      </c>
      <c r="B45" t="s">
        <v>134</v>
      </c>
      <c r="C45">
        <v>189</v>
      </c>
      <c r="D45" t="s">
        <v>135</v>
      </c>
      <c r="E45" t="s">
        <v>3104</v>
      </c>
      <c r="F45" t="s">
        <v>136</v>
      </c>
      <c r="G45" t="s">
        <v>4</v>
      </c>
      <c r="H45">
        <v>0</v>
      </c>
      <c r="I45">
        <v>0</v>
      </c>
      <c r="J45">
        <v>2020</v>
      </c>
      <c r="K45" t="str">
        <f>IF(Books[[#This Row],[AVERAGE RATING]]&gt;=4,"High",IF(Books[[#This Row],[AVERAGE RATING]]&gt;=3,"Medium","Low"))</f>
        <v>Low</v>
      </c>
      <c r="L45" t="str">
        <f>IF(Books[[#This Row],[AVERAGE RATING]]&gt;10000,"Popular","Average")</f>
        <v>Average</v>
      </c>
      <c r="M45">
        <f>Books[[#This Row],[AVERAGE RATING]]*Books[[#This Row],[RATINGS COUNT]]</f>
        <v>0</v>
      </c>
    </row>
    <row r="46" spans="1:13" x14ac:dyDescent="0.25">
      <c r="A46" t="s">
        <v>137</v>
      </c>
      <c r="B46" t="s">
        <v>138</v>
      </c>
      <c r="C46">
        <v>1735</v>
      </c>
      <c r="D46" t="s">
        <v>15</v>
      </c>
      <c r="E46" t="s">
        <v>3105</v>
      </c>
      <c r="F46" t="s">
        <v>139</v>
      </c>
      <c r="G46" t="s">
        <v>4</v>
      </c>
      <c r="H46">
        <v>0</v>
      </c>
      <c r="I46">
        <v>0</v>
      </c>
      <c r="J46">
        <v>2017</v>
      </c>
      <c r="K46" t="str">
        <f>IF(Books[[#This Row],[AVERAGE RATING]]&gt;=4,"High",IF(Books[[#This Row],[AVERAGE RATING]]&gt;=3,"Medium","Low"))</f>
        <v>Low</v>
      </c>
      <c r="L46" t="str">
        <f>IF(Books[[#This Row],[AVERAGE RATING]]&gt;10000,"Popular","Average")</f>
        <v>Average</v>
      </c>
      <c r="M46">
        <f>Books[[#This Row],[AVERAGE RATING]]*Books[[#This Row],[RATINGS COUNT]]</f>
        <v>0</v>
      </c>
    </row>
    <row r="47" spans="1:13" x14ac:dyDescent="0.25">
      <c r="A47" t="s">
        <v>140</v>
      </c>
      <c r="B47" t="s">
        <v>141</v>
      </c>
      <c r="C47">
        <v>243</v>
      </c>
      <c r="D47" t="s">
        <v>2</v>
      </c>
      <c r="E47" t="s">
        <v>3106</v>
      </c>
      <c r="F47" t="s">
        <v>93</v>
      </c>
      <c r="G47" t="s">
        <v>4</v>
      </c>
      <c r="H47">
        <v>0</v>
      </c>
      <c r="I47">
        <v>0</v>
      </c>
      <c r="J47">
        <v>2017</v>
      </c>
      <c r="K47" t="str">
        <f>IF(Books[[#This Row],[AVERAGE RATING]]&gt;=4,"High",IF(Books[[#This Row],[AVERAGE RATING]]&gt;=3,"Medium","Low"))</f>
        <v>Low</v>
      </c>
      <c r="L47" t="str">
        <f>IF(Books[[#This Row],[AVERAGE RATING]]&gt;10000,"Popular","Average")</f>
        <v>Average</v>
      </c>
      <c r="M47">
        <f>Books[[#This Row],[AVERAGE RATING]]*Books[[#This Row],[RATINGS COUNT]]</f>
        <v>0</v>
      </c>
    </row>
    <row r="48" spans="1:13" x14ac:dyDescent="0.25">
      <c r="A48" t="s">
        <v>142</v>
      </c>
      <c r="B48" t="s">
        <v>143</v>
      </c>
      <c r="C48">
        <v>304</v>
      </c>
      <c r="D48" t="s">
        <v>144</v>
      </c>
      <c r="E48" t="s">
        <v>3107</v>
      </c>
      <c r="F48" t="s">
        <v>145</v>
      </c>
      <c r="G48" t="s">
        <v>4</v>
      </c>
      <c r="H48">
        <v>0</v>
      </c>
      <c r="I48">
        <v>0</v>
      </c>
      <c r="J48">
        <v>2022</v>
      </c>
      <c r="K48" t="str">
        <f>IF(Books[[#This Row],[AVERAGE RATING]]&gt;=4,"High",IF(Books[[#This Row],[AVERAGE RATING]]&gt;=3,"Medium","Low"))</f>
        <v>Low</v>
      </c>
      <c r="L48" t="str">
        <f>IF(Books[[#This Row],[AVERAGE RATING]]&gt;10000,"Popular","Average")</f>
        <v>Average</v>
      </c>
      <c r="M48">
        <f>Books[[#This Row],[AVERAGE RATING]]*Books[[#This Row],[RATINGS COUNT]]</f>
        <v>0</v>
      </c>
    </row>
    <row r="49" spans="1:13" x14ac:dyDescent="0.25">
      <c r="A49" t="s">
        <v>146</v>
      </c>
      <c r="B49" t="s">
        <v>147</v>
      </c>
      <c r="C49">
        <v>223</v>
      </c>
      <c r="D49" t="s">
        <v>79</v>
      </c>
      <c r="E49" t="s">
        <v>3108</v>
      </c>
      <c r="F49" t="s">
        <v>148</v>
      </c>
      <c r="G49" t="s">
        <v>4</v>
      </c>
      <c r="H49">
        <v>0</v>
      </c>
      <c r="I49">
        <v>0</v>
      </c>
      <c r="J49">
        <v>2006</v>
      </c>
      <c r="K49" t="str">
        <f>IF(Books[[#This Row],[AVERAGE RATING]]&gt;=4,"High",IF(Books[[#This Row],[AVERAGE RATING]]&gt;=3,"Medium","Low"))</f>
        <v>Low</v>
      </c>
      <c r="L49" t="str">
        <f>IF(Books[[#This Row],[AVERAGE RATING]]&gt;10000,"Popular","Average")</f>
        <v>Average</v>
      </c>
      <c r="M49">
        <f>Books[[#This Row],[AVERAGE RATING]]*Books[[#This Row],[RATINGS COUNT]]</f>
        <v>0</v>
      </c>
    </row>
    <row r="50" spans="1:13" x14ac:dyDescent="0.25">
      <c r="A50" t="s">
        <v>149</v>
      </c>
      <c r="B50" t="s">
        <v>150</v>
      </c>
      <c r="C50">
        <v>168</v>
      </c>
      <c r="D50" t="s">
        <v>45</v>
      </c>
      <c r="E50" t="s">
        <v>3057</v>
      </c>
      <c r="F50" t="s">
        <v>151</v>
      </c>
      <c r="G50" t="s">
        <v>4</v>
      </c>
      <c r="H50">
        <v>0</v>
      </c>
      <c r="I50">
        <v>0</v>
      </c>
      <c r="J50">
        <v>1985</v>
      </c>
      <c r="K50" t="str">
        <f>IF(Books[[#This Row],[AVERAGE RATING]]&gt;=4,"High",IF(Books[[#This Row],[AVERAGE RATING]]&gt;=3,"Medium","Low"))</f>
        <v>Low</v>
      </c>
      <c r="L50" t="str">
        <f>IF(Books[[#This Row],[AVERAGE RATING]]&gt;10000,"Popular","Average")</f>
        <v>Average</v>
      </c>
      <c r="M50">
        <f>Books[[#This Row],[AVERAGE RATING]]*Books[[#This Row],[RATINGS COUNT]]</f>
        <v>0</v>
      </c>
    </row>
    <row r="51" spans="1:13" x14ac:dyDescent="0.25">
      <c r="A51" t="s">
        <v>152</v>
      </c>
      <c r="B51" t="s">
        <v>153</v>
      </c>
      <c r="C51">
        <v>466</v>
      </c>
      <c r="D51" t="s">
        <v>2</v>
      </c>
      <c r="E51" t="s">
        <v>3109</v>
      </c>
      <c r="F51" t="s">
        <v>70</v>
      </c>
      <c r="G51" t="s">
        <v>4</v>
      </c>
      <c r="H51">
        <v>0</v>
      </c>
      <c r="I51">
        <v>0</v>
      </c>
      <c r="J51">
        <v>2018</v>
      </c>
      <c r="K51" t="str">
        <f>IF(Books[[#This Row],[AVERAGE RATING]]&gt;=4,"High",IF(Books[[#This Row],[AVERAGE RATING]]&gt;=3,"Medium","Low"))</f>
        <v>Low</v>
      </c>
      <c r="L51" t="str">
        <f>IF(Books[[#This Row],[AVERAGE RATING]]&gt;10000,"Popular","Average")</f>
        <v>Average</v>
      </c>
      <c r="M51">
        <f>Books[[#This Row],[AVERAGE RATING]]*Books[[#This Row],[RATINGS COUNT]]</f>
        <v>0</v>
      </c>
    </row>
    <row r="52" spans="1:13" x14ac:dyDescent="0.25">
      <c r="A52" t="s">
        <v>154</v>
      </c>
      <c r="B52" t="s">
        <v>155</v>
      </c>
      <c r="C52">
        <v>329</v>
      </c>
      <c r="D52" t="s">
        <v>28</v>
      </c>
      <c r="E52" t="s">
        <v>3110</v>
      </c>
      <c r="F52" t="s">
        <v>156</v>
      </c>
      <c r="G52" t="s">
        <v>4</v>
      </c>
      <c r="H52">
        <v>0</v>
      </c>
      <c r="I52">
        <v>0</v>
      </c>
      <c r="J52">
        <v>2024</v>
      </c>
      <c r="K52" t="str">
        <f>IF(Books[[#This Row],[AVERAGE RATING]]&gt;=4,"High",IF(Books[[#This Row],[AVERAGE RATING]]&gt;=3,"Medium","Low"))</f>
        <v>Low</v>
      </c>
      <c r="L52" t="str">
        <f>IF(Books[[#This Row],[AVERAGE RATING]]&gt;10000,"Popular","Average")</f>
        <v>Average</v>
      </c>
      <c r="M52">
        <f>Books[[#This Row],[AVERAGE RATING]]*Books[[#This Row],[RATINGS COUNT]]</f>
        <v>0</v>
      </c>
    </row>
    <row r="53" spans="1:13" x14ac:dyDescent="0.25">
      <c r="A53" t="s">
        <v>157</v>
      </c>
      <c r="B53" t="s">
        <v>106</v>
      </c>
      <c r="C53">
        <v>161</v>
      </c>
      <c r="D53" t="s">
        <v>158</v>
      </c>
      <c r="E53" t="s">
        <v>3111</v>
      </c>
      <c r="F53" t="s">
        <v>107</v>
      </c>
      <c r="G53" t="s">
        <v>4</v>
      </c>
      <c r="H53">
        <v>0</v>
      </c>
      <c r="I53">
        <v>0</v>
      </c>
      <c r="J53">
        <v>2005</v>
      </c>
      <c r="K53" t="str">
        <f>IF(Books[[#This Row],[AVERAGE RATING]]&gt;=4,"High",IF(Books[[#This Row],[AVERAGE RATING]]&gt;=3,"Medium","Low"))</f>
        <v>Low</v>
      </c>
      <c r="L53" t="str">
        <f>IF(Books[[#This Row],[AVERAGE RATING]]&gt;10000,"Popular","Average")</f>
        <v>Average</v>
      </c>
      <c r="M53">
        <f>Books[[#This Row],[AVERAGE RATING]]*Books[[#This Row],[RATINGS COUNT]]</f>
        <v>0</v>
      </c>
    </row>
    <row r="54" spans="1:13" x14ac:dyDescent="0.25">
      <c r="A54" t="s">
        <v>159</v>
      </c>
      <c r="B54" t="s">
        <v>160</v>
      </c>
      <c r="C54">
        <v>304</v>
      </c>
      <c r="D54" t="s">
        <v>45</v>
      </c>
      <c r="E54" t="s">
        <v>3065</v>
      </c>
      <c r="F54" t="s">
        <v>39</v>
      </c>
      <c r="G54" t="s">
        <v>4</v>
      </c>
      <c r="H54">
        <v>0</v>
      </c>
      <c r="I54">
        <v>0</v>
      </c>
      <c r="J54">
        <v>2017</v>
      </c>
      <c r="K54" t="str">
        <f>IF(Books[[#This Row],[AVERAGE RATING]]&gt;=4,"High",IF(Books[[#This Row],[AVERAGE RATING]]&gt;=3,"Medium","Low"))</f>
        <v>Low</v>
      </c>
      <c r="L54" t="str">
        <f>IF(Books[[#This Row],[AVERAGE RATING]]&gt;10000,"Popular","Average")</f>
        <v>Average</v>
      </c>
      <c r="M54">
        <f>Books[[#This Row],[AVERAGE RATING]]*Books[[#This Row],[RATINGS COUNT]]</f>
        <v>0</v>
      </c>
    </row>
    <row r="55" spans="1:13" x14ac:dyDescent="0.25">
      <c r="A55" t="s">
        <v>161</v>
      </c>
      <c r="B55" t="s">
        <v>162</v>
      </c>
      <c r="C55">
        <v>522</v>
      </c>
      <c r="D55" t="s">
        <v>15</v>
      </c>
      <c r="E55" t="s">
        <v>3113</v>
      </c>
      <c r="F55" t="s">
        <v>145</v>
      </c>
      <c r="G55" t="s">
        <v>4</v>
      </c>
      <c r="H55">
        <v>0</v>
      </c>
      <c r="I55">
        <v>0</v>
      </c>
      <c r="J55">
        <v>2023</v>
      </c>
      <c r="K55" t="str">
        <f>IF(Books[[#This Row],[AVERAGE RATING]]&gt;=4,"High",IF(Books[[#This Row],[AVERAGE RATING]]&gt;=3,"Medium","Low"))</f>
        <v>Low</v>
      </c>
      <c r="L55" t="str">
        <f>IF(Books[[#This Row],[AVERAGE RATING]]&gt;10000,"Popular","Average")</f>
        <v>Average</v>
      </c>
      <c r="M55">
        <f>Books[[#This Row],[AVERAGE RATING]]*Books[[#This Row],[RATINGS COUNT]]</f>
        <v>0</v>
      </c>
    </row>
    <row r="56" spans="1:13" x14ac:dyDescent="0.25">
      <c r="A56" t="s">
        <v>163</v>
      </c>
      <c r="B56" t="s">
        <v>164</v>
      </c>
      <c r="C56">
        <v>271</v>
      </c>
      <c r="D56" t="s">
        <v>15</v>
      </c>
      <c r="E56" t="s">
        <v>3114</v>
      </c>
      <c r="F56" t="s">
        <v>165</v>
      </c>
      <c r="G56" t="s">
        <v>4</v>
      </c>
      <c r="H56">
        <v>0</v>
      </c>
      <c r="I56">
        <v>0</v>
      </c>
      <c r="J56">
        <v>2019</v>
      </c>
      <c r="K56" t="str">
        <f>IF(Books[[#This Row],[AVERAGE RATING]]&gt;=4,"High",IF(Books[[#This Row],[AVERAGE RATING]]&gt;=3,"Medium","Low"))</f>
        <v>Low</v>
      </c>
      <c r="L56" t="str">
        <f>IF(Books[[#This Row],[AVERAGE RATING]]&gt;10000,"Popular","Average")</f>
        <v>Average</v>
      </c>
      <c r="M56">
        <f>Books[[#This Row],[AVERAGE RATING]]*Books[[#This Row],[RATINGS COUNT]]</f>
        <v>0</v>
      </c>
    </row>
    <row r="57" spans="1:13" x14ac:dyDescent="0.25">
      <c r="A57" t="s">
        <v>166</v>
      </c>
      <c r="B57" t="s">
        <v>167</v>
      </c>
      <c r="C57">
        <v>234</v>
      </c>
      <c r="D57" t="s">
        <v>15</v>
      </c>
      <c r="E57" t="s">
        <v>3115</v>
      </c>
      <c r="F57" t="s">
        <v>168</v>
      </c>
      <c r="G57" t="s">
        <v>4</v>
      </c>
      <c r="H57">
        <v>0</v>
      </c>
      <c r="I57">
        <v>0</v>
      </c>
      <c r="J57">
        <v>2014</v>
      </c>
      <c r="K57" t="str">
        <f>IF(Books[[#This Row],[AVERAGE RATING]]&gt;=4,"High",IF(Books[[#This Row],[AVERAGE RATING]]&gt;=3,"Medium","Low"))</f>
        <v>Low</v>
      </c>
      <c r="L57" t="str">
        <f>IF(Books[[#This Row],[AVERAGE RATING]]&gt;10000,"Popular","Average")</f>
        <v>Average</v>
      </c>
      <c r="M57">
        <f>Books[[#This Row],[AVERAGE RATING]]*Books[[#This Row],[RATINGS COUNT]]</f>
        <v>0</v>
      </c>
    </row>
    <row r="58" spans="1:13" x14ac:dyDescent="0.25">
      <c r="A58" t="s">
        <v>169</v>
      </c>
      <c r="B58" t="s">
        <v>170</v>
      </c>
      <c r="C58">
        <v>244</v>
      </c>
      <c r="D58" t="s">
        <v>32</v>
      </c>
      <c r="E58" t="s">
        <v>3116</v>
      </c>
      <c r="F58" t="s">
        <v>171</v>
      </c>
      <c r="G58" t="s">
        <v>4</v>
      </c>
      <c r="H58">
        <v>0</v>
      </c>
      <c r="I58">
        <v>0</v>
      </c>
      <c r="J58">
        <v>2002</v>
      </c>
      <c r="K58" t="str">
        <f>IF(Books[[#This Row],[AVERAGE RATING]]&gt;=4,"High",IF(Books[[#This Row],[AVERAGE RATING]]&gt;=3,"Medium","Low"))</f>
        <v>Low</v>
      </c>
      <c r="L58" t="str">
        <f>IF(Books[[#This Row],[AVERAGE RATING]]&gt;10000,"Popular","Average")</f>
        <v>Average</v>
      </c>
      <c r="M58">
        <f>Books[[#This Row],[AVERAGE RATING]]*Books[[#This Row],[RATINGS COUNT]]</f>
        <v>0</v>
      </c>
    </row>
    <row r="59" spans="1:13" x14ac:dyDescent="0.25">
      <c r="A59" t="s">
        <v>172</v>
      </c>
      <c r="B59" t="s">
        <v>173</v>
      </c>
      <c r="C59">
        <v>156</v>
      </c>
      <c r="D59" t="s">
        <v>11</v>
      </c>
      <c r="E59" t="s">
        <v>3117</v>
      </c>
      <c r="F59" t="s">
        <v>73</v>
      </c>
      <c r="G59" t="s">
        <v>4</v>
      </c>
      <c r="H59">
        <v>0</v>
      </c>
      <c r="I59">
        <v>0</v>
      </c>
      <c r="J59">
        <v>2022</v>
      </c>
      <c r="K59" t="str">
        <f>IF(Books[[#This Row],[AVERAGE RATING]]&gt;=4,"High",IF(Books[[#This Row],[AVERAGE RATING]]&gt;=3,"Medium","Low"))</f>
        <v>Low</v>
      </c>
      <c r="L59" t="str">
        <f>IF(Books[[#This Row],[AVERAGE RATING]]&gt;10000,"Popular","Average")</f>
        <v>Average</v>
      </c>
      <c r="M59">
        <f>Books[[#This Row],[AVERAGE RATING]]*Books[[#This Row],[RATINGS COUNT]]</f>
        <v>0</v>
      </c>
    </row>
    <row r="60" spans="1:13" x14ac:dyDescent="0.25">
      <c r="A60" t="s">
        <v>174</v>
      </c>
      <c r="B60" t="s">
        <v>175</v>
      </c>
      <c r="C60">
        <v>161</v>
      </c>
      <c r="D60" t="s">
        <v>79</v>
      </c>
      <c r="E60" t="s">
        <v>3118</v>
      </c>
      <c r="F60" t="s">
        <v>80</v>
      </c>
      <c r="G60" t="s">
        <v>4</v>
      </c>
      <c r="H60">
        <v>0</v>
      </c>
      <c r="I60">
        <v>0</v>
      </c>
      <c r="J60">
        <v>2010</v>
      </c>
      <c r="K60" t="str">
        <f>IF(Books[[#This Row],[AVERAGE RATING]]&gt;=4,"High",IF(Books[[#This Row],[AVERAGE RATING]]&gt;=3,"Medium","Low"))</f>
        <v>Low</v>
      </c>
      <c r="L60" t="str">
        <f>IF(Books[[#This Row],[AVERAGE RATING]]&gt;10000,"Popular","Average")</f>
        <v>Average</v>
      </c>
      <c r="M60">
        <f>Books[[#This Row],[AVERAGE RATING]]*Books[[#This Row],[RATINGS COUNT]]</f>
        <v>0</v>
      </c>
    </row>
    <row r="61" spans="1:13" x14ac:dyDescent="0.25">
      <c r="A61" t="s">
        <v>176</v>
      </c>
      <c r="B61" t="s">
        <v>177</v>
      </c>
      <c r="C61">
        <v>517</v>
      </c>
      <c r="D61" t="s">
        <v>11</v>
      </c>
      <c r="E61" t="s">
        <v>3119</v>
      </c>
      <c r="F61" t="s">
        <v>177</v>
      </c>
      <c r="G61" t="s">
        <v>4</v>
      </c>
      <c r="H61">
        <v>0</v>
      </c>
      <c r="I61">
        <v>0</v>
      </c>
      <c r="J61">
        <v>2022</v>
      </c>
      <c r="K61" t="str">
        <f>IF(Books[[#This Row],[AVERAGE RATING]]&gt;=4,"High",IF(Books[[#This Row],[AVERAGE RATING]]&gt;=3,"Medium","Low"))</f>
        <v>Low</v>
      </c>
      <c r="L61" t="str">
        <f>IF(Books[[#This Row],[AVERAGE RATING]]&gt;10000,"Popular","Average")</f>
        <v>Average</v>
      </c>
      <c r="M61">
        <f>Books[[#This Row],[AVERAGE RATING]]*Books[[#This Row],[RATINGS COUNT]]</f>
        <v>0</v>
      </c>
    </row>
    <row r="62" spans="1:13" x14ac:dyDescent="0.25">
      <c r="A62" t="s">
        <v>178</v>
      </c>
      <c r="B62" t="s">
        <v>179</v>
      </c>
      <c r="C62">
        <v>186</v>
      </c>
      <c r="D62" t="s">
        <v>7</v>
      </c>
      <c r="E62" t="s">
        <v>3120</v>
      </c>
      <c r="F62" t="s">
        <v>8</v>
      </c>
      <c r="G62" t="s">
        <v>4</v>
      </c>
      <c r="H62">
        <v>0</v>
      </c>
      <c r="I62">
        <v>0</v>
      </c>
      <c r="J62">
        <v>2008</v>
      </c>
      <c r="K62" t="str">
        <f>IF(Books[[#This Row],[AVERAGE RATING]]&gt;=4,"High",IF(Books[[#This Row],[AVERAGE RATING]]&gt;=3,"Medium","Low"))</f>
        <v>Low</v>
      </c>
      <c r="L62" t="str">
        <f>IF(Books[[#This Row],[AVERAGE RATING]]&gt;10000,"Popular","Average")</f>
        <v>Average</v>
      </c>
      <c r="M62">
        <f>Books[[#This Row],[AVERAGE RATING]]*Books[[#This Row],[RATINGS COUNT]]</f>
        <v>0</v>
      </c>
    </row>
    <row r="63" spans="1:13" x14ac:dyDescent="0.25">
      <c r="A63" t="s">
        <v>181</v>
      </c>
      <c r="B63" t="s">
        <v>182</v>
      </c>
      <c r="C63">
        <v>165</v>
      </c>
      <c r="D63" t="s">
        <v>2</v>
      </c>
      <c r="E63" t="s">
        <v>3121</v>
      </c>
      <c r="F63" t="s">
        <v>183</v>
      </c>
      <c r="G63" t="s">
        <v>4</v>
      </c>
      <c r="H63">
        <v>0</v>
      </c>
      <c r="I63">
        <v>0</v>
      </c>
      <c r="J63">
        <v>2022</v>
      </c>
      <c r="K63" t="str">
        <f>IF(Books[[#This Row],[AVERAGE RATING]]&gt;=4,"High",IF(Books[[#This Row],[AVERAGE RATING]]&gt;=3,"Medium","Low"))</f>
        <v>Low</v>
      </c>
      <c r="L63" t="str">
        <f>IF(Books[[#This Row],[AVERAGE RATING]]&gt;10000,"Popular","Average")</f>
        <v>Average</v>
      </c>
      <c r="M63">
        <f>Books[[#This Row],[AVERAGE RATING]]*Books[[#This Row],[RATINGS COUNT]]</f>
        <v>0</v>
      </c>
    </row>
    <row r="64" spans="1:13" x14ac:dyDescent="0.25">
      <c r="A64" t="s">
        <v>184</v>
      </c>
      <c r="B64" t="s">
        <v>185</v>
      </c>
      <c r="C64">
        <v>292</v>
      </c>
      <c r="D64" t="s">
        <v>15</v>
      </c>
      <c r="E64" t="s">
        <v>3122</v>
      </c>
      <c r="F64" t="s">
        <v>186</v>
      </c>
      <c r="G64" t="s">
        <v>4</v>
      </c>
      <c r="H64">
        <v>0</v>
      </c>
      <c r="I64">
        <v>0</v>
      </c>
      <c r="J64">
        <v>2018</v>
      </c>
      <c r="K64" t="str">
        <f>IF(Books[[#This Row],[AVERAGE RATING]]&gt;=4,"High",IF(Books[[#This Row],[AVERAGE RATING]]&gt;=3,"Medium","Low"))</f>
        <v>Low</v>
      </c>
      <c r="L64" t="str">
        <f>IF(Books[[#This Row],[AVERAGE RATING]]&gt;10000,"Popular","Average")</f>
        <v>Average</v>
      </c>
      <c r="M64">
        <f>Books[[#This Row],[AVERAGE RATING]]*Books[[#This Row],[RATINGS COUNT]]</f>
        <v>0</v>
      </c>
    </row>
    <row r="65" spans="1:13" x14ac:dyDescent="0.25">
      <c r="A65" t="s">
        <v>187</v>
      </c>
      <c r="B65" t="s">
        <v>188</v>
      </c>
      <c r="C65">
        <v>79</v>
      </c>
      <c r="D65" t="s">
        <v>54</v>
      </c>
      <c r="E65" t="s">
        <v>3123</v>
      </c>
      <c r="F65" t="s">
        <v>188</v>
      </c>
      <c r="G65" t="s">
        <v>4</v>
      </c>
      <c r="H65">
        <v>0</v>
      </c>
      <c r="I65">
        <v>0</v>
      </c>
      <c r="J65">
        <v>2014</v>
      </c>
      <c r="K65" t="str">
        <f>IF(Books[[#This Row],[AVERAGE RATING]]&gt;=4,"High",IF(Books[[#This Row],[AVERAGE RATING]]&gt;=3,"Medium","Low"))</f>
        <v>Low</v>
      </c>
      <c r="L65" t="str">
        <f>IF(Books[[#This Row],[AVERAGE RATING]]&gt;10000,"Popular","Average")</f>
        <v>Average</v>
      </c>
      <c r="M65">
        <f>Books[[#This Row],[AVERAGE RATING]]*Books[[#This Row],[RATINGS COUNT]]</f>
        <v>0</v>
      </c>
    </row>
    <row r="66" spans="1:13" x14ac:dyDescent="0.25">
      <c r="A66" t="s">
        <v>189</v>
      </c>
      <c r="B66" t="s">
        <v>190</v>
      </c>
      <c r="C66">
        <v>149</v>
      </c>
      <c r="D66" t="s">
        <v>54</v>
      </c>
      <c r="E66" t="s">
        <v>3124</v>
      </c>
      <c r="F66" t="s">
        <v>191</v>
      </c>
      <c r="G66" t="s">
        <v>4</v>
      </c>
      <c r="H66">
        <v>0</v>
      </c>
      <c r="I66">
        <v>0</v>
      </c>
      <c r="J66">
        <v>2011</v>
      </c>
      <c r="K66" t="str">
        <f>IF(Books[[#This Row],[AVERAGE RATING]]&gt;=4,"High",IF(Books[[#This Row],[AVERAGE RATING]]&gt;=3,"Medium","Low"))</f>
        <v>Low</v>
      </c>
      <c r="L66" t="str">
        <f>IF(Books[[#This Row],[AVERAGE RATING]]&gt;10000,"Popular","Average")</f>
        <v>Average</v>
      </c>
      <c r="M66">
        <f>Books[[#This Row],[AVERAGE RATING]]*Books[[#This Row],[RATINGS COUNT]]</f>
        <v>0</v>
      </c>
    </row>
    <row r="67" spans="1:13" x14ac:dyDescent="0.25">
      <c r="A67" t="s">
        <v>192</v>
      </c>
      <c r="B67" t="s">
        <v>190</v>
      </c>
      <c r="C67">
        <v>149</v>
      </c>
      <c r="D67" t="s">
        <v>54</v>
      </c>
      <c r="E67" t="s">
        <v>3124</v>
      </c>
      <c r="F67" t="s">
        <v>191</v>
      </c>
      <c r="G67" t="s">
        <v>4</v>
      </c>
      <c r="H67">
        <v>0</v>
      </c>
      <c r="I67">
        <v>0</v>
      </c>
      <c r="J67">
        <v>2011</v>
      </c>
      <c r="K67" t="str">
        <f>IF(Books[[#This Row],[AVERAGE RATING]]&gt;=4,"High",IF(Books[[#This Row],[AVERAGE RATING]]&gt;=3,"Medium","Low"))</f>
        <v>Low</v>
      </c>
      <c r="L67" t="str">
        <f>IF(Books[[#This Row],[AVERAGE RATING]]&gt;10000,"Popular","Average")</f>
        <v>Average</v>
      </c>
      <c r="M67">
        <f>Books[[#This Row],[AVERAGE RATING]]*Books[[#This Row],[RATINGS COUNT]]</f>
        <v>0</v>
      </c>
    </row>
    <row r="68" spans="1:13" x14ac:dyDescent="0.25">
      <c r="A68" t="s">
        <v>193</v>
      </c>
      <c r="B68" t="s">
        <v>190</v>
      </c>
      <c r="C68">
        <v>148</v>
      </c>
      <c r="D68" t="s">
        <v>54</v>
      </c>
      <c r="E68" t="s">
        <v>3125</v>
      </c>
      <c r="F68" t="s">
        <v>191</v>
      </c>
      <c r="G68" t="s">
        <v>4</v>
      </c>
      <c r="H68">
        <v>0</v>
      </c>
      <c r="I68">
        <v>0</v>
      </c>
      <c r="J68">
        <v>2006</v>
      </c>
      <c r="K68" t="str">
        <f>IF(Books[[#This Row],[AVERAGE RATING]]&gt;=4,"High",IF(Books[[#This Row],[AVERAGE RATING]]&gt;=3,"Medium","Low"))</f>
        <v>Low</v>
      </c>
      <c r="L68" t="str">
        <f>IF(Books[[#This Row],[AVERAGE RATING]]&gt;10000,"Popular","Average")</f>
        <v>Average</v>
      </c>
      <c r="M68">
        <f>Books[[#This Row],[AVERAGE RATING]]*Books[[#This Row],[RATINGS COUNT]]</f>
        <v>0</v>
      </c>
    </row>
    <row r="69" spans="1:13" x14ac:dyDescent="0.25">
      <c r="A69" t="s">
        <v>194</v>
      </c>
      <c r="B69" t="s">
        <v>195</v>
      </c>
      <c r="C69">
        <v>240</v>
      </c>
      <c r="D69" t="s">
        <v>11</v>
      </c>
      <c r="E69" t="s">
        <v>3126</v>
      </c>
      <c r="F69" t="s">
        <v>195</v>
      </c>
      <c r="G69" t="s">
        <v>4</v>
      </c>
      <c r="H69">
        <v>0</v>
      </c>
      <c r="I69">
        <v>0</v>
      </c>
      <c r="J69">
        <v>2013</v>
      </c>
      <c r="K69" t="str">
        <f>IF(Books[[#This Row],[AVERAGE RATING]]&gt;=4,"High",IF(Books[[#This Row],[AVERAGE RATING]]&gt;=3,"Medium","Low"))</f>
        <v>Low</v>
      </c>
      <c r="L69" t="str">
        <f>IF(Books[[#This Row],[AVERAGE RATING]]&gt;10000,"Popular","Average")</f>
        <v>Average</v>
      </c>
      <c r="M69">
        <f>Books[[#This Row],[AVERAGE RATING]]*Books[[#This Row],[RATINGS COUNT]]</f>
        <v>0</v>
      </c>
    </row>
    <row r="70" spans="1:13" x14ac:dyDescent="0.25">
      <c r="A70" t="s">
        <v>196</v>
      </c>
      <c r="B70" t="s">
        <v>177</v>
      </c>
      <c r="C70">
        <v>251</v>
      </c>
      <c r="D70" t="s">
        <v>11</v>
      </c>
      <c r="E70" t="s">
        <v>3127</v>
      </c>
      <c r="F70" t="s">
        <v>177</v>
      </c>
      <c r="G70" t="s">
        <v>4</v>
      </c>
      <c r="H70">
        <v>0</v>
      </c>
      <c r="I70">
        <v>0</v>
      </c>
      <c r="J70">
        <v>2018</v>
      </c>
      <c r="K70" t="str">
        <f>IF(Books[[#This Row],[AVERAGE RATING]]&gt;=4,"High",IF(Books[[#This Row],[AVERAGE RATING]]&gt;=3,"Medium","Low"))</f>
        <v>Low</v>
      </c>
      <c r="L70" t="str">
        <f>IF(Books[[#This Row],[AVERAGE RATING]]&gt;10000,"Popular","Average")</f>
        <v>Average</v>
      </c>
      <c r="M70">
        <f>Books[[#This Row],[AVERAGE RATING]]*Books[[#This Row],[RATINGS COUNT]]</f>
        <v>0</v>
      </c>
    </row>
    <row r="71" spans="1:13" x14ac:dyDescent="0.25">
      <c r="A71" t="s">
        <v>197</v>
      </c>
      <c r="B71" t="s">
        <v>177</v>
      </c>
      <c r="C71">
        <v>250</v>
      </c>
      <c r="D71" t="s">
        <v>11</v>
      </c>
      <c r="E71" t="s">
        <v>3128</v>
      </c>
      <c r="F71" t="s">
        <v>177</v>
      </c>
      <c r="G71" t="s">
        <v>4</v>
      </c>
      <c r="H71">
        <v>0</v>
      </c>
      <c r="I71">
        <v>0</v>
      </c>
      <c r="J71">
        <v>2019</v>
      </c>
      <c r="K71" t="str">
        <f>IF(Books[[#This Row],[AVERAGE RATING]]&gt;=4,"High",IF(Books[[#This Row],[AVERAGE RATING]]&gt;=3,"Medium","Low"))</f>
        <v>Low</v>
      </c>
      <c r="L71" t="str">
        <f>IF(Books[[#This Row],[AVERAGE RATING]]&gt;10000,"Popular","Average")</f>
        <v>Average</v>
      </c>
      <c r="M71">
        <f>Books[[#This Row],[AVERAGE RATING]]*Books[[#This Row],[RATINGS COUNT]]</f>
        <v>0</v>
      </c>
    </row>
    <row r="72" spans="1:13" x14ac:dyDescent="0.25">
      <c r="A72" t="s">
        <v>198</v>
      </c>
      <c r="B72" t="s">
        <v>177</v>
      </c>
      <c r="C72">
        <v>258</v>
      </c>
      <c r="D72" t="s">
        <v>11</v>
      </c>
      <c r="E72" t="s">
        <v>3129</v>
      </c>
      <c r="F72" t="s">
        <v>177</v>
      </c>
      <c r="G72" t="s">
        <v>4</v>
      </c>
      <c r="H72">
        <v>0</v>
      </c>
      <c r="I72">
        <v>0</v>
      </c>
      <c r="J72">
        <v>2019</v>
      </c>
      <c r="K72" t="str">
        <f>IF(Books[[#This Row],[AVERAGE RATING]]&gt;=4,"High",IF(Books[[#This Row],[AVERAGE RATING]]&gt;=3,"Medium","Low"))</f>
        <v>Low</v>
      </c>
      <c r="L72" t="str">
        <f>IF(Books[[#This Row],[AVERAGE RATING]]&gt;10000,"Popular","Average")</f>
        <v>Average</v>
      </c>
      <c r="M72">
        <f>Books[[#This Row],[AVERAGE RATING]]*Books[[#This Row],[RATINGS COUNT]]</f>
        <v>0</v>
      </c>
    </row>
    <row r="73" spans="1:13" x14ac:dyDescent="0.25">
      <c r="A73" t="s">
        <v>199</v>
      </c>
      <c r="B73" t="s">
        <v>190</v>
      </c>
      <c r="C73">
        <v>145</v>
      </c>
      <c r="D73" t="s">
        <v>54</v>
      </c>
      <c r="E73" t="s">
        <v>3130</v>
      </c>
      <c r="F73" t="s">
        <v>191</v>
      </c>
      <c r="G73" t="s">
        <v>4</v>
      </c>
      <c r="H73">
        <v>0</v>
      </c>
      <c r="I73">
        <v>0</v>
      </c>
      <c r="J73">
        <v>2009</v>
      </c>
      <c r="K73" t="str">
        <f>IF(Books[[#This Row],[AVERAGE RATING]]&gt;=4,"High",IF(Books[[#This Row],[AVERAGE RATING]]&gt;=3,"Medium","Low"))</f>
        <v>Low</v>
      </c>
      <c r="L73" t="str">
        <f>IF(Books[[#This Row],[AVERAGE RATING]]&gt;10000,"Popular","Average")</f>
        <v>Average</v>
      </c>
      <c r="M73">
        <f>Books[[#This Row],[AVERAGE RATING]]*Books[[#This Row],[RATINGS COUNT]]</f>
        <v>0</v>
      </c>
    </row>
    <row r="74" spans="1:13" x14ac:dyDescent="0.25">
      <c r="A74" t="s">
        <v>200</v>
      </c>
      <c r="B74" t="s">
        <v>177</v>
      </c>
      <c r="C74">
        <v>290</v>
      </c>
      <c r="D74" t="s">
        <v>11</v>
      </c>
      <c r="E74" t="s">
        <v>3131</v>
      </c>
      <c r="F74" t="s">
        <v>177</v>
      </c>
      <c r="G74" t="s">
        <v>4</v>
      </c>
      <c r="H74">
        <v>4</v>
      </c>
      <c r="I74">
        <v>1</v>
      </c>
      <c r="J74">
        <v>2018</v>
      </c>
      <c r="K74" t="str">
        <f>IF(Books[[#This Row],[AVERAGE RATING]]&gt;=4,"High",IF(Books[[#This Row],[AVERAGE RATING]]&gt;=3,"Medium","Low"))</f>
        <v>High</v>
      </c>
      <c r="L74" t="str">
        <f>IF(Books[[#This Row],[AVERAGE RATING]]&gt;10000,"Popular","Average")</f>
        <v>Average</v>
      </c>
      <c r="M74">
        <f>Books[[#This Row],[AVERAGE RATING]]*Books[[#This Row],[RATINGS COUNT]]</f>
        <v>4</v>
      </c>
    </row>
    <row r="75" spans="1:13" x14ac:dyDescent="0.25">
      <c r="A75" t="s">
        <v>201</v>
      </c>
      <c r="B75" t="s">
        <v>202</v>
      </c>
      <c r="C75">
        <v>190</v>
      </c>
      <c r="D75" t="s">
        <v>125</v>
      </c>
      <c r="E75" t="s">
        <v>3132</v>
      </c>
      <c r="F75" t="s">
        <v>203</v>
      </c>
      <c r="G75" t="s">
        <v>4</v>
      </c>
      <c r="H75">
        <v>0</v>
      </c>
      <c r="I75">
        <v>0</v>
      </c>
      <c r="J75">
        <v>2019</v>
      </c>
      <c r="K75" t="str">
        <f>IF(Books[[#This Row],[AVERAGE RATING]]&gt;=4,"High",IF(Books[[#This Row],[AVERAGE RATING]]&gt;=3,"Medium","Low"))</f>
        <v>Low</v>
      </c>
      <c r="L75" t="str">
        <f>IF(Books[[#This Row],[AVERAGE RATING]]&gt;10000,"Popular","Average")</f>
        <v>Average</v>
      </c>
      <c r="M75">
        <f>Books[[#This Row],[AVERAGE RATING]]*Books[[#This Row],[RATINGS COUNT]]</f>
        <v>0</v>
      </c>
    </row>
    <row r="76" spans="1:13" x14ac:dyDescent="0.25">
      <c r="A76" t="s">
        <v>204</v>
      </c>
      <c r="B76" t="s">
        <v>177</v>
      </c>
      <c r="C76">
        <v>317</v>
      </c>
      <c r="D76" t="s">
        <v>11</v>
      </c>
      <c r="E76" t="s">
        <v>3133</v>
      </c>
      <c r="F76" t="s">
        <v>177</v>
      </c>
      <c r="G76" t="s">
        <v>4</v>
      </c>
      <c r="H76">
        <v>0</v>
      </c>
      <c r="I76">
        <v>0</v>
      </c>
      <c r="J76">
        <v>2018</v>
      </c>
      <c r="K76" t="str">
        <f>IF(Books[[#This Row],[AVERAGE RATING]]&gt;=4,"High",IF(Books[[#This Row],[AVERAGE RATING]]&gt;=3,"Medium","Low"))</f>
        <v>Low</v>
      </c>
      <c r="L76" t="str">
        <f>IF(Books[[#This Row],[AVERAGE RATING]]&gt;10000,"Popular","Average")</f>
        <v>Average</v>
      </c>
      <c r="M76">
        <f>Books[[#This Row],[AVERAGE RATING]]*Books[[#This Row],[RATINGS COUNT]]</f>
        <v>0</v>
      </c>
    </row>
    <row r="77" spans="1:13" x14ac:dyDescent="0.25">
      <c r="A77" t="s">
        <v>205</v>
      </c>
      <c r="B77" t="s">
        <v>190</v>
      </c>
      <c r="C77">
        <v>145</v>
      </c>
      <c r="D77" t="s">
        <v>54</v>
      </c>
      <c r="E77" t="s">
        <v>3134</v>
      </c>
      <c r="F77" t="s">
        <v>191</v>
      </c>
      <c r="G77" t="s">
        <v>4</v>
      </c>
      <c r="H77">
        <v>0</v>
      </c>
      <c r="I77">
        <v>0</v>
      </c>
      <c r="J77">
        <v>2005</v>
      </c>
      <c r="K77" t="str">
        <f>IF(Books[[#This Row],[AVERAGE RATING]]&gt;=4,"High",IF(Books[[#This Row],[AVERAGE RATING]]&gt;=3,"Medium","Low"))</f>
        <v>Low</v>
      </c>
      <c r="L77" t="str">
        <f>IF(Books[[#This Row],[AVERAGE RATING]]&gt;10000,"Popular","Average")</f>
        <v>Average</v>
      </c>
      <c r="M77">
        <f>Books[[#This Row],[AVERAGE RATING]]*Books[[#This Row],[RATINGS COUNT]]</f>
        <v>0</v>
      </c>
    </row>
    <row r="78" spans="1:13" x14ac:dyDescent="0.25">
      <c r="A78" t="s">
        <v>206</v>
      </c>
      <c r="B78" t="s">
        <v>190</v>
      </c>
      <c r="C78">
        <v>69</v>
      </c>
      <c r="D78" t="s">
        <v>207</v>
      </c>
      <c r="E78" t="s">
        <v>3135</v>
      </c>
      <c r="F78" t="s">
        <v>208</v>
      </c>
      <c r="G78" t="s">
        <v>4</v>
      </c>
      <c r="H78">
        <v>0</v>
      </c>
      <c r="I78">
        <v>0</v>
      </c>
      <c r="J78">
        <v>1994</v>
      </c>
      <c r="K78" t="str">
        <f>IF(Books[[#This Row],[AVERAGE RATING]]&gt;=4,"High",IF(Books[[#This Row],[AVERAGE RATING]]&gt;=3,"Medium","Low"))</f>
        <v>Low</v>
      </c>
      <c r="L78" t="str">
        <f>IF(Books[[#This Row],[AVERAGE RATING]]&gt;10000,"Popular","Average")</f>
        <v>Average</v>
      </c>
      <c r="M78">
        <f>Books[[#This Row],[AVERAGE RATING]]*Books[[#This Row],[RATINGS COUNT]]</f>
        <v>0</v>
      </c>
    </row>
    <row r="79" spans="1:13" x14ac:dyDescent="0.25">
      <c r="A79" t="s">
        <v>209</v>
      </c>
      <c r="B79" t="s">
        <v>210</v>
      </c>
      <c r="C79">
        <v>209</v>
      </c>
      <c r="D79" t="s">
        <v>79</v>
      </c>
      <c r="E79" t="s">
        <v>3136</v>
      </c>
      <c r="F79" t="s">
        <v>186</v>
      </c>
      <c r="G79" t="s">
        <v>4</v>
      </c>
      <c r="H79">
        <v>0</v>
      </c>
      <c r="I79">
        <v>0</v>
      </c>
      <c r="J79">
        <v>2013</v>
      </c>
      <c r="K79" t="str">
        <f>IF(Books[[#This Row],[AVERAGE RATING]]&gt;=4,"High",IF(Books[[#This Row],[AVERAGE RATING]]&gt;=3,"Medium","Low"))</f>
        <v>Low</v>
      </c>
      <c r="L79" t="str">
        <f>IF(Books[[#This Row],[AVERAGE RATING]]&gt;10000,"Popular","Average")</f>
        <v>Average</v>
      </c>
      <c r="M79">
        <f>Books[[#This Row],[AVERAGE RATING]]*Books[[#This Row],[RATINGS COUNT]]</f>
        <v>0</v>
      </c>
    </row>
    <row r="80" spans="1:13" x14ac:dyDescent="0.25">
      <c r="A80" t="s">
        <v>211</v>
      </c>
      <c r="B80" t="s">
        <v>212</v>
      </c>
      <c r="C80">
        <v>225</v>
      </c>
      <c r="D80" t="s">
        <v>11</v>
      </c>
      <c r="E80" t="s">
        <v>3137</v>
      </c>
      <c r="F80" t="s">
        <v>212</v>
      </c>
      <c r="G80" t="s">
        <v>4</v>
      </c>
      <c r="H80">
        <v>0</v>
      </c>
      <c r="I80">
        <v>0</v>
      </c>
      <c r="J80">
        <v>2023</v>
      </c>
      <c r="K80" t="str">
        <f>IF(Books[[#This Row],[AVERAGE RATING]]&gt;=4,"High",IF(Books[[#This Row],[AVERAGE RATING]]&gt;=3,"Medium","Low"))</f>
        <v>Low</v>
      </c>
      <c r="L80" t="str">
        <f>IF(Books[[#This Row],[AVERAGE RATING]]&gt;10000,"Popular","Average")</f>
        <v>Average</v>
      </c>
      <c r="M80">
        <f>Books[[#This Row],[AVERAGE RATING]]*Books[[#This Row],[RATINGS COUNT]]</f>
        <v>0</v>
      </c>
    </row>
    <row r="81" spans="1:13" x14ac:dyDescent="0.25">
      <c r="A81" t="s">
        <v>213</v>
      </c>
      <c r="B81" t="s">
        <v>212</v>
      </c>
      <c r="C81">
        <v>197</v>
      </c>
      <c r="D81" t="s">
        <v>11</v>
      </c>
      <c r="E81" t="s">
        <v>3138</v>
      </c>
      <c r="F81" t="s">
        <v>212</v>
      </c>
      <c r="G81" t="s">
        <v>4</v>
      </c>
      <c r="H81">
        <v>0</v>
      </c>
      <c r="I81">
        <v>0</v>
      </c>
      <c r="J81">
        <v>2023</v>
      </c>
      <c r="K81" t="str">
        <f>IF(Books[[#This Row],[AVERAGE RATING]]&gt;=4,"High",IF(Books[[#This Row],[AVERAGE RATING]]&gt;=3,"Medium","Low"))</f>
        <v>Low</v>
      </c>
      <c r="L81" t="str">
        <f>IF(Books[[#This Row],[AVERAGE RATING]]&gt;10000,"Popular","Average")</f>
        <v>Average</v>
      </c>
      <c r="M81">
        <f>Books[[#This Row],[AVERAGE RATING]]*Books[[#This Row],[RATINGS COUNT]]</f>
        <v>0</v>
      </c>
    </row>
    <row r="82" spans="1:13" x14ac:dyDescent="0.25">
      <c r="A82" t="s">
        <v>214</v>
      </c>
      <c r="B82" t="s">
        <v>177</v>
      </c>
      <c r="C82">
        <v>504</v>
      </c>
      <c r="D82" t="s">
        <v>11</v>
      </c>
      <c r="E82" t="s">
        <v>3139</v>
      </c>
      <c r="F82" t="s">
        <v>177</v>
      </c>
      <c r="G82" t="s">
        <v>4</v>
      </c>
      <c r="H82">
        <v>0</v>
      </c>
      <c r="I82">
        <v>0</v>
      </c>
      <c r="J82">
        <v>2021</v>
      </c>
      <c r="K82" t="str">
        <f>IF(Books[[#This Row],[AVERAGE RATING]]&gt;=4,"High",IF(Books[[#This Row],[AVERAGE RATING]]&gt;=3,"Medium","Low"))</f>
        <v>Low</v>
      </c>
      <c r="L82" t="str">
        <f>IF(Books[[#This Row],[AVERAGE RATING]]&gt;10000,"Popular","Average")</f>
        <v>Average</v>
      </c>
      <c r="M82">
        <f>Books[[#This Row],[AVERAGE RATING]]*Books[[#This Row],[RATINGS COUNT]]</f>
        <v>0</v>
      </c>
    </row>
    <row r="83" spans="1:13" x14ac:dyDescent="0.25">
      <c r="A83" t="s">
        <v>215</v>
      </c>
      <c r="B83" t="s">
        <v>216</v>
      </c>
      <c r="C83">
        <v>162</v>
      </c>
      <c r="D83" t="s">
        <v>17</v>
      </c>
      <c r="E83" t="s">
        <v>3140</v>
      </c>
      <c r="F83" t="s">
        <v>217</v>
      </c>
      <c r="G83" t="s">
        <v>4</v>
      </c>
      <c r="H83">
        <v>0</v>
      </c>
      <c r="I83">
        <v>0</v>
      </c>
      <c r="J83">
        <v>2012</v>
      </c>
      <c r="K83" t="str">
        <f>IF(Books[[#This Row],[AVERAGE RATING]]&gt;=4,"High",IF(Books[[#This Row],[AVERAGE RATING]]&gt;=3,"Medium","Low"))</f>
        <v>Low</v>
      </c>
      <c r="L83" t="str">
        <f>IF(Books[[#This Row],[AVERAGE RATING]]&gt;10000,"Popular","Average")</f>
        <v>Average</v>
      </c>
      <c r="M83">
        <f>Books[[#This Row],[AVERAGE RATING]]*Books[[#This Row],[RATINGS COUNT]]</f>
        <v>0</v>
      </c>
    </row>
    <row r="84" spans="1:13" x14ac:dyDescent="0.25">
      <c r="A84" t="s">
        <v>218</v>
      </c>
      <c r="B84" t="s">
        <v>190</v>
      </c>
      <c r="C84">
        <v>68</v>
      </c>
      <c r="D84" t="s">
        <v>207</v>
      </c>
      <c r="E84" t="s">
        <v>3135</v>
      </c>
      <c r="F84" t="s">
        <v>208</v>
      </c>
      <c r="G84" t="s">
        <v>4</v>
      </c>
      <c r="H84">
        <v>0</v>
      </c>
      <c r="I84">
        <v>0</v>
      </c>
      <c r="J84">
        <v>1994</v>
      </c>
      <c r="K84" t="str">
        <f>IF(Books[[#This Row],[AVERAGE RATING]]&gt;=4,"High",IF(Books[[#This Row],[AVERAGE RATING]]&gt;=3,"Medium","Low"))</f>
        <v>Low</v>
      </c>
      <c r="L84" t="str">
        <f>IF(Books[[#This Row],[AVERAGE RATING]]&gt;10000,"Popular","Average")</f>
        <v>Average</v>
      </c>
      <c r="M84">
        <f>Books[[#This Row],[AVERAGE RATING]]*Books[[#This Row],[RATINGS COUNT]]</f>
        <v>0</v>
      </c>
    </row>
    <row r="85" spans="1:13" x14ac:dyDescent="0.25">
      <c r="A85" t="s">
        <v>219</v>
      </c>
      <c r="B85" t="s">
        <v>212</v>
      </c>
      <c r="C85">
        <v>332</v>
      </c>
      <c r="D85" t="s">
        <v>11</v>
      </c>
      <c r="E85" t="s">
        <v>3141</v>
      </c>
      <c r="F85" t="s">
        <v>212</v>
      </c>
      <c r="G85" t="s">
        <v>4</v>
      </c>
      <c r="H85">
        <v>0</v>
      </c>
      <c r="I85">
        <v>0</v>
      </c>
      <c r="J85">
        <v>2021</v>
      </c>
      <c r="K85" t="str">
        <f>IF(Books[[#This Row],[AVERAGE RATING]]&gt;=4,"High",IF(Books[[#This Row],[AVERAGE RATING]]&gt;=3,"Medium","Low"))</f>
        <v>Low</v>
      </c>
      <c r="L85" t="str">
        <f>IF(Books[[#This Row],[AVERAGE RATING]]&gt;10000,"Popular","Average")</f>
        <v>Average</v>
      </c>
      <c r="M85">
        <f>Books[[#This Row],[AVERAGE RATING]]*Books[[#This Row],[RATINGS COUNT]]</f>
        <v>0</v>
      </c>
    </row>
    <row r="86" spans="1:13" x14ac:dyDescent="0.25">
      <c r="A86" t="s">
        <v>220</v>
      </c>
      <c r="B86" t="s">
        <v>221</v>
      </c>
      <c r="C86">
        <v>365</v>
      </c>
      <c r="D86" t="s">
        <v>11</v>
      </c>
      <c r="E86" t="s">
        <v>3142</v>
      </c>
      <c r="F86" t="s">
        <v>8</v>
      </c>
      <c r="G86" t="s">
        <v>4</v>
      </c>
      <c r="H86">
        <v>0</v>
      </c>
      <c r="I86">
        <v>0</v>
      </c>
      <c r="J86">
        <v>2015</v>
      </c>
      <c r="K86" t="str">
        <f>IF(Books[[#This Row],[AVERAGE RATING]]&gt;=4,"High",IF(Books[[#This Row],[AVERAGE RATING]]&gt;=3,"Medium","Low"))</f>
        <v>Low</v>
      </c>
      <c r="L86" t="str">
        <f>IF(Books[[#This Row],[AVERAGE RATING]]&gt;10000,"Popular","Average")</f>
        <v>Average</v>
      </c>
      <c r="M86">
        <f>Books[[#This Row],[AVERAGE RATING]]*Books[[#This Row],[RATINGS COUNT]]</f>
        <v>0</v>
      </c>
    </row>
    <row r="87" spans="1:13" x14ac:dyDescent="0.25">
      <c r="A87" t="s">
        <v>222</v>
      </c>
      <c r="B87" t="s">
        <v>223</v>
      </c>
      <c r="C87">
        <v>68</v>
      </c>
      <c r="D87" t="s">
        <v>2</v>
      </c>
      <c r="E87" t="s">
        <v>3054</v>
      </c>
      <c r="F87" t="s">
        <v>8</v>
      </c>
      <c r="G87" t="s">
        <v>4</v>
      </c>
      <c r="H87">
        <v>0</v>
      </c>
      <c r="I87">
        <v>0</v>
      </c>
      <c r="J87">
        <v>2010</v>
      </c>
      <c r="K87" t="str">
        <f>IF(Books[[#This Row],[AVERAGE RATING]]&gt;=4,"High",IF(Books[[#This Row],[AVERAGE RATING]]&gt;=3,"Medium","Low"))</f>
        <v>Low</v>
      </c>
      <c r="L87" t="str">
        <f>IF(Books[[#This Row],[AVERAGE RATING]]&gt;10000,"Popular","Average")</f>
        <v>Average</v>
      </c>
      <c r="M87">
        <f>Books[[#This Row],[AVERAGE RATING]]*Books[[#This Row],[RATINGS COUNT]]</f>
        <v>0</v>
      </c>
    </row>
    <row r="88" spans="1:13" x14ac:dyDescent="0.25">
      <c r="A88" t="s">
        <v>224</v>
      </c>
      <c r="B88" t="s">
        <v>225</v>
      </c>
      <c r="C88">
        <v>460</v>
      </c>
      <c r="D88" t="s">
        <v>63</v>
      </c>
      <c r="E88" t="s">
        <v>3143</v>
      </c>
      <c r="F88" t="s">
        <v>35</v>
      </c>
      <c r="G88" t="s">
        <v>4</v>
      </c>
      <c r="H88">
        <v>0</v>
      </c>
      <c r="I88">
        <v>0</v>
      </c>
      <c r="J88">
        <v>2010</v>
      </c>
      <c r="K88" t="str">
        <f>IF(Books[[#This Row],[AVERAGE RATING]]&gt;=4,"High",IF(Books[[#This Row],[AVERAGE RATING]]&gt;=3,"Medium","Low"))</f>
        <v>Low</v>
      </c>
      <c r="L88" t="str">
        <f>IF(Books[[#This Row],[AVERAGE RATING]]&gt;10000,"Popular","Average")</f>
        <v>Average</v>
      </c>
      <c r="M88">
        <f>Books[[#This Row],[AVERAGE RATING]]*Books[[#This Row],[RATINGS COUNT]]</f>
        <v>0</v>
      </c>
    </row>
    <row r="89" spans="1:13" x14ac:dyDescent="0.25">
      <c r="A89" t="s">
        <v>226</v>
      </c>
      <c r="B89" t="s">
        <v>227</v>
      </c>
      <c r="C89">
        <v>212</v>
      </c>
      <c r="D89" t="s">
        <v>228</v>
      </c>
      <c r="E89" t="s">
        <v>3090</v>
      </c>
      <c r="F89" t="s">
        <v>229</v>
      </c>
      <c r="G89" t="s">
        <v>4</v>
      </c>
      <c r="H89">
        <v>0</v>
      </c>
      <c r="I89">
        <v>0</v>
      </c>
      <c r="J89">
        <v>1888</v>
      </c>
      <c r="K89" t="str">
        <f>IF(Books[[#This Row],[AVERAGE RATING]]&gt;=4,"High",IF(Books[[#This Row],[AVERAGE RATING]]&gt;=3,"Medium","Low"))</f>
        <v>Low</v>
      </c>
      <c r="L89" t="str">
        <f>IF(Books[[#This Row],[AVERAGE RATING]]&gt;10000,"Popular","Average")</f>
        <v>Average</v>
      </c>
      <c r="M89">
        <f>Books[[#This Row],[AVERAGE RATING]]*Books[[#This Row],[RATINGS COUNT]]</f>
        <v>0</v>
      </c>
    </row>
    <row r="90" spans="1:13" x14ac:dyDescent="0.25">
      <c r="A90" t="s">
        <v>230</v>
      </c>
      <c r="B90" t="s">
        <v>231</v>
      </c>
      <c r="C90">
        <v>286</v>
      </c>
      <c r="D90" t="s">
        <v>2</v>
      </c>
      <c r="E90" t="s">
        <v>3144</v>
      </c>
      <c r="F90" t="s">
        <v>232</v>
      </c>
      <c r="G90" t="s">
        <v>4</v>
      </c>
      <c r="H90">
        <v>0</v>
      </c>
      <c r="I90">
        <v>0</v>
      </c>
      <c r="J90">
        <v>2008</v>
      </c>
      <c r="K90" t="str">
        <f>IF(Books[[#This Row],[AVERAGE RATING]]&gt;=4,"High",IF(Books[[#This Row],[AVERAGE RATING]]&gt;=3,"Medium","Low"))</f>
        <v>Low</v>
      </c>
      <c r="L90" t="str">
        <f>IF(Books[[#This Row],[AVERAGE RATING]]&gt;10000,"Popular","Average")</f>
        <v>Average</v>
      </c>
      <c r="M90">
        <f>Books[[#This Row],[AVERAGE RATING]]*Books[[#This Row],[RATINGS COUNT]]</f>
        <v>0</v>
      </c>
    </row>
    <row r="91" spans="1:13" x14ac:dyDescent="0.25">
      <c r="A91" t="s">
        <v>233</v>
      </c>
      <c r="B91" t="s">
        <v>234</v>
      </c>
      <c r="C91">
        <v>420</v>
      </c>
      <c r="D91" t="s">
        <v>2</v>
      </c>
      <c r="E91" t="s">
        <v>3145</v>
      </c>
      <c r="F91" t="s">
        <v>235</v>
      </c>
      <c r="G91" t="s">
        <v>4</v>
      </c>
      <c r="H91">
        <v>0</v>
      </c>
      <c r="I91">
        <v>0</v>
      </c>
      <c r="J91">
        <v>2023</v>
      </c>
      <c r="K91" t="str">
        <f>IF(Books[[#This Row],[AVERAGE RATING]]&gt;=4,"High",IF(Books[[#This Row],[AVERAGE RATING]]&gt;=3,"Medium","Low"))</f>
        <v>Low</v>
      </c>
      <c r="L91" t="str">
        <f>IF(Books[[#This Row],[AVERAGE RATING]]&gt;10000,"Popular","Average")</f>
        <v>Average</v>
      </c>
      <c r="M91">
        <f>Books[[#This Row],[AVERAGE RATING]]*Books[[#This Row],[RATINGS COUNT]]</f>
        <v>0</v>
      </c>
    </row>
    <row r="92" spans="1:13" x14ac:dyDescent="0.25">
      <c r="A92" t="s">
        <v>236</v>
      </c>
      <c r="B92" t="s">
        <v>237</v>
      </c>
      <c r="C92">
        <v>228</v>
      </c>
      <c r="D92" t="s">
        <v>32</v>
      </c>
      <c r="E92" t="s">
        <v>3146</v>
      </c>
      <c r="F92" t="s">
        <v>238</v>
      </c>
      <c r="G92" t="s">
        <v>4</v>
      </c>
      <c r="H92">
        <v>0</v>
      </c>
      <c r="I92">
        <v>0</v>
      </c>
      <c r="J92">
        <v>2007</v>
      </c>
      <c r="K92" t="str">
        <f>IF(Books[[#This Row],[AVERAGE RATING]]&gt;=4,"High",IF(Books[[#This Row],[AVERAGE RATING]]&gt;=3,"Medium","Low"))</f>
        <v>Low</v>
      </c>
      <c r="L92" t="str">
        <f>IF(Books[[#This Row],[AVERAGE RATING]]&gt;10000,"Popular","Average")</f>
        <v>Average</v>
      </c>
      <c r="M92">
        <f>Books[[#This Row],[AVERAGE RATING]]*Books[[#This Row],[RATINGS COUNT]]</f>
        <v>0</v>
      </c>
    </row>
    <row r="93" spans="1:13" x14ac:dyDescent="0.25">
      <c r="A93" t="s">
        <v>239</v>
      </c>
      <c r="B93" t="s">
        <v>240</v>
      </c>
      <c r="C93">
        <v>1117</v>
      </c>
      <c r="D93" t="s">
        <v>2</v>
      </c>
      <c r="E93" t="s">
        <v>3147</v>
      </c>
      <c r="F93" t="s">
        <v>122</v>
      </c>
      <c r="G93" t="s">
        <v>4</v>
      </c>
      <c r="H93">
        <v>0</v>
      </c>
      <c r="I93">
        <v>0</v>
      </c>
      <c r="J93">
        <v>2010</v>
      </c>
      <c r="K93" t="str">
        <f>IF(Books[[#This Row],[AVERAGE RATING]]&gt;=4,"High",IF(Books[[#This Row],[AVERAGE RATING]]&gt;=3,"Medium","Low"))</f>
        <v>Low</v>
      </c>
      <c r="L93" t="str">
        <f>IF(Books[[#This Row],[AVERAGE RATING]]&gt;10000,"Popular","Average")</f>
        <v>Average</v>
      </c>
      <c r="M93">
        <f>Books[[#This Row],[AVERAGE RATING]]*Books[[#This Row],[RATINGS COUNT]]</f>
        <v>0</v>
      </c>
    </row>
    <row r="94" spans="1:13" x14ac:dyDescent="0.25">
      <c r="A94" t="s">
        <v>241</v>
      </c>
      <c r="B94" t="s">
        <v>242</v>
      </c>
      <c r="C94">
        <v>263</v>
      </c>
      <c r="D94" t="s">
        <v>243</v>
      </c>
      <c r="E94" t="s">
        <v>3148</v>
      </c>
      <c r="F94" t="s">
        <v>244</v>
      </c>
      <c r="G94" t="s">
        <v>4</v>
      </c>
      <c r="H94">
        <v>0</v>
      </c>
      <c r="I94">
        <v>0</v>
      </c>
      <c r="J94">
        <v>2010</v>
      </c>
      <c r="K94" t="str">
        <f>IF(Books[[#This Row],[AVERAGE RATING]]&gt;=4,"High",IF(Books[[#This Row],[AVERAGE RATING]]&gt;=3,"Medium","Low"))</f>
        <v>Low</v>
      </c>
      <c r="L94" t="str">
        <f>IF(Books[[#This Row],[AVERAGE RATING]]&gt;10000,"Popular","Average")</f>
        <v>Average</v>
      </c>
      <c r="M94">
        <f>Books[[#This Row],[AVERAGE RATING]]*Books[[#This Row],[RATINGS COUNT]]</f>
        <v>0</v>
      </c>
    </row>
    <row r="95" spans="1:13" x14ac:dyDescent="0.25">
      <c r="A95" t="s">
        <v>245</v>
      </c>
      <c r="B95" t="s">
        <v>246</v>
      </c>
      <c r="C95">
        <v>238</v>
      </c>
      <c r="D95" t="s">
        <v>32</v>
      </c>
      <c r="E95" t="s">
        <v>3149</v>
      </c>
      <c r="F95" t="s">
        <v>247</v>
      </c>
      <c r="G95" t="s">
        <v>4</v>
      </c>
      <c r="H95">
        <v>0</v>
      </c>
      <c r="I95">
        <v>0</v>
      </c>
      <c r="J95">
        <v>2009</v>
      </c>
      <c r="K95" t="str">
        <f>IF(Books[[#This Row],[AVERAGE RATING]]&gt;=4,"High",IF(Books[[#This Row],[AVERAGE RATING]]&gt;=3,"Medium","Low"))</f>
        <v>Low</v>
      </c>
      <c r="L95" t="str">
        <f>IF(Books[[#This Row],[AVERAGE RATING]]&gt;10000,"Popular","Average")</f>
        <v>Average</v>
      </c>
      <c r="M95">
        <f>Books[[#This Row],[AVERAGE RATING]]*Books[[#This Row],[RATINGS COUNT]]</f>
        <v>0</v>
      </c>
    </row>
    <row r="96" spans="1:13" x14ac:dyDescent="0.25">
      <c r="A96" t="s">
        <v>248</v>
      </c>
      <c r="B96" t="s">
        <v>249</v>
      </c>
      <c r="C96">
        <v>2198</v>
      </c>
      <c r="D96" t="s">
        <v>32</v>
      </c>
      <c r="E96" t="s">
        <v>3150</v>
      </c>
      <c r="F96" t="s">
        <v>39</v>
      </c>
      <c r="G96" t="s">
        <v>4</v>
      </c>
      <c r="H96">
        <v>5</v>
      </c>
      <c r="I96">
        <v>1</v>
      </c>
      <c r="J96">
        <v>2003</v>
      </c>
      <c r="K96" t="str">
        <f>IF(Books[[#This Row],[AVERAGE RATING]]&gt;=4,"High",IF(Books[[#This Row],[AVERAGE RATING]]&gt;=3,"Medium","Low"))</f>
        <v>High</v>
      </c>
      <c r="L96" t="str">
        <f>IF(Books[[#This Row],[AVERAGE RATING]]&gt;10000,"Popular","Average")</f>
        <v>Average</v>
      </c>
      <c r="M96">
        <f>Books[[#This Row],[AVERAGE RATING]]*Books[[#This Row],[RATINGS COUNT]]</f>
        <v>5</v>
      </c>
    </row>
    <row r="97" spans="1:13" x14ac:dyDescent="0.25">
      <c r="A97" t="s">
        <v>250</v>
      </c>
      <c r="B97" t="s">
        <v>251</v>
      </c>
      <c r="C97">
        <v>260</v>
      </c>
      <c r="D97" t="s">
        <v>2</v>
      </c>
      <c r="E97" t="s">
        <v>3151</v>
      </c>
      <c r="F97" t="s">
        <v>252</v>
      </c>
      <c r="G97" t="s">
        <v>4</v>
      </c>
      <c r="H97">
        <v>0</v>
      </c>
      <c r="I97">
        <v>0</v>
      </c>
      <c r="J97">
        <v>1994</v>
      </c>
      <c r="K97" t="str">
        <f>IF(Books[[#This Row],[AVERAGE RATING]]&gt;=4,"High",IF(Books[[#This Row],[AVERAGE RATING]]&gt;=3,"Medium","Low"))</f>
        <v>Low</v>
      </c>
      <c r="L97" t="str">
        <f>IF(Books[[#This Row],[AVERAGE RATING]]&gt;10000,"Popular","Average")</f>
        <v>Average</v>
      </c>
      <c r="M97">
        <f>Books[[#This Row],[AVERAGE RATING]]*Books[[#This Row],[RATINGS COUNT]]</f>
        <v>0</v>
      </c>
    </row>
    <row r="98" spans="1:13" x14ac:dyDescent="0.25">
      <c r="A98" t="s">
        <v>253</v>
      </c>
      <c r="B98" t="s">
        <v>254</v>
      </c>
      <c r="C98">
        <v>225</v>
      </c>
      <c r="D98" t="s">
        <v>2</v>
      </c>
      <c r="E98" t="s">
        <v>3152</v>
      </c>
      <c r="F98" t="s">
        <v>76</v>
      </c>
      <c r="G98" t="s">
        <v>4</v>
      </c>
      <c r="H98">
        <v>0</v>
      </c>
      <c r="I98">
        <v>0</v>
      </c>
      <c r="J98">
        <v>2016</v>
      </c>
      <c r="K98" t="str">
        <f>IF(Books[[#This Row],[AVERAGE RATING]]&gt;=4,"High",IF(Books[[#This Row],[AVERAGE RATING]]&gt;=3,"Medium","Low"))</f>
        <v>Low</v>
      </c>
      <c r="L98" t="str">
        <f>IF(Books[[#This Row],[AVERAGE RATING]]&gt;10000,"Popular","Average")</f>
        <v>Average</v>
      </c>
      <c r="M98">
        <f>Books[[#This Row],[AVERAGE RATING]]*Books[[#This Row],[RATINGS COUNT]]</f>
        <v>0</v>
      </c>
    </row>
    <row r="99" spans="1:13" x14ac:dyDescent="0.25">
      <c r="A99" t="s">
        <v>255</v>
      </c>
      <c r="B99" t="s">
        <v>256</v>
      </c>
      <c r="C99">
        <v>164</v>
      </c>
      <c r="D99" t="s">
        <v>32</v>
      </c>
      <c r="E99" t="s">
        <v>3153</v>
      </c>
      <c r="F99" t="s">
        <v>257</v>
      </c>
      <c r="G99" t="s">
        <v>4</v>
      </c>
      <c r="H99">
        <v>0</v>
      </c>
      <c r="I99">
        <v>0</v>
      </c>
      <c r="J99">
        <v>2001</v>
      </c>
      <c r="K99" t="str">
        <f>IF(Books[[#This Row],[AVERAGE RATING]]&gt;=4,"High",IF(Books[[#This Row],[AVERAGE RATING]]&gt;=3,"Medium","Low"))</f>
        <v>Low</v>
      </c>
      <c r="L99" t="str">
        <f>IF(Books[[#This Row],[AVERAGE RATING]]&gt;10000,"Popular","Average")</f>
        <v>Average</v>
      </c>
      <c r="M99">
        <f>Books[[#This Row],[AVERAGE RATING]]*Books[[#This Row],[RATINGS COUNT]]</f>
        <v>0</v>
      </c>
    </row>
    <row r="100" spans="1:13" x14ac:dyDescent="0.25">
      <c r="A100" t="s">
        <v>258</v>
      </c>
      <c r="B100" t="s">
        <v>259</v>
      </c>
      <c r="C100">
        <v>180</v>
      </c>
      <c r="D100" t="s">
        <v>15</v>
      </c>
      <c r="E100" t="s">
        <v>3154</v>
      </c>
      <c r="F100" t="s">
        <v>260</v>
      </c>
      <c r="G100" t="s">
        <v>4</v>
      </c>
      <c r="H100">
        <v>0</v>
      </c>
      <c r="I100">
        <v>0</v>
      </c>
      <c r="J100">
        <v>2023</v>
      </c>
      <c r="K100" t="str">
        <f>IF(Books[[#This Row],[AVERAGE RATING]]&gt;=4,"High",IF(Books[[#This Row],[AVERAGE RATING]]&gt;=3,"Medium","Low"))</f>
        <v>Low</v>
      </c>
      <c r="L100" t="str">
        <f>IF(Books[[#This Row],[AVERAGE RATING]]&gt;10000,"Popular","Average")</f>
        <v>Average</v>
      </c>
      <c r="M100">
        <f>Books[[#This Row],[AVERAGE RATING]]*Books[[#This Row],[RATINGS COUNT]]</f>
        <v>0</v>
      </c>
    </row>
    <row r="101" spans="1:13" x14ac:dyDescent="0.25">
      <c r="A101" t="s">
        <v>261</v>
      </c>
      <c r="B101" t="s">
        <v>262</v>
      </c>
      <c r="C101">
        <v>138</v>
      </c>
      <c r="D101" t="s">
        <v>263</v>
      </c>
      <c r="E101" t="s">
        <v>3155</v>
      </c>
      <c r="F101" t="s">
        <v>264</v>
      </c>
      <c r="G101" t="s">
        <v>4</v>
      </c>
      <c r="H101">
        <v>5</v>
      </c>
      <c r="I101">
        <v>1</v>
      </c>
      <c r="J101">
        <v>2006</v>
      </c>
      <c r="K101" t="str">
        <f>IF(Books[[#This Row],[AVERAGE RATING]]&gt;=4,"High",IF(Books[[#This Row],[AVERAGE RATING]]&gt;=3,"Medium","Low"))</f>
        <v>High</v>
      </c>
      <c r="L101" t="str">
        <f>IF(Books[[#This Row],[AVERAGE RATING]]&gt;10000,"Popular","Average")</f>
        <v>Average</v>
      </c>
      <c r="M101">
        <f>Books[[#This Row],[AVERAGE RATING]]*Books[[#This Row],[RATINGS COUNT]]</f>
        <v>5</v>
      </c>
    </row>
    <row r="102" spans="1:13" x14ac:dyDescent="0.25">
      <c r="A102" t="s">
        <v>265</v>
      </c>
      <c r="B102" t="s">
        <v>266</v>
      </c>
      <c r="C102">
        <v>243</v>
      </c>
      <c r="D102" t="s">
        <v>158</v>
      </c>
      <c r="E102" t="s">
        <v>3156</v>
      </c>
      <c r="F102" t="s">
        <v>267</v>
      </c>
      <c r="G102" t="s">
        <v>4</v>
      </c>
      <c r="H102">
        <v>0</v>
      </c>
      <c r="I102">
        <v>0</v>
      </c>
      <c r="J102">
        <v>2021</v>
      </c>
      <c r="K102" t="str">
        <f>IF(Books[[#This Row],[AVERAGE RATING]]&gt;=4,"High",IF(Books[[#This Row],[AVERAGE RATING]]&gt;=3,"Medium","Low"))</f>
        <v>Low</v>
      </c>
      <c r="L102" t="str">
        <f>IF(Books[[#This Row],[AVERAGE RATING]]&gt;10000,"Popular","Average")</f>
        <v>Average</v>
      </c>
      <c r="M102">
        <f>Books[[#This Row],[AVERAGE RATING]]*Books[[#This Row],[RATINGS COUNT]]</f>
        <v>0</v>
      </c>
    </row>
    <row r="103" spans="1:13" x14ac:dyDescent="0.25">
      <c r="A103" t="s">
        <v>268</v>
      </c>
      <c r="B103" t="s">
        <v>269</v>
      </c>
      <c r="C103">
        <v>251</v>
      </c>
      <c r="D103" t="s">
        <v>11</v>
      </c>
      <c r="E103" t="s">
        <v>3157</v>
      </c>
      <c r="F103" t="s">
        <v>270</v>
      </c>
      <c r="G103" t="s">
        <v>4</v>
      </c>
      <c r="H103">
        <v>5</v>
      </c>
      <c r="I103">
        <v>1</v>
      </c>
      <c r="J103">
        <v>2014</v>
      </c>
      <c r="K103" t="str">
        <f>IF(Books[[#This Row],[AVERAGE RATING]]&gt;=4,"High",IF(Books[[#This Row],[AVERAGE RATING]]&gt;=3,"Medium","Low"))</f>
        <v>High</v>
      </c>
      <c r="L103" t="str">
        <f>IF(Books[[#This Row],[AVERAGE RATING]]&gt;10000,"Popular","Average")</f>
        <v>Average</v>
      </c>
      <c r="M103">
        <f>Books[[#This Row],[AVERAGE RATING]]*Books[[#This Row],[RATINGS COUNT]]</f>
        <v>5</v>
      </c>
    </row>
    <row r="104" spans="1:13" x14ac:dyDescent="0.25">
      <c r="A104" t="s">
        <v>271</v>
      </c>
      <c r="B104" t="s">
        <v>272</v>
      </c>
      <c r="C104">
        <v>247</v>
      </c>
      <c r="D104" t="s">
        <v>63</v>
      </c>
      <c r="E104" t="s">
        <v>3158</v>
      </c>
      <c r="F104" t="s">
        <v>273</v>
      </c>
      <c r="G104" t="s">
        <v>4</v>
      </c>
      <c r="H104">
        <v>0</v>
      </c>
      <c r="I104">
        <v>0</v>
      </c>
      <c r="J104">
        <v>2015</v>
      </c>
      <c r="K104" t="str">
        <f>IF(Books[[#This Row],[AVERAGE RATING]]&gt;=4,"High",IF(Books[[#This Row],[AVERAGE RATING]]&gt;=3,"Medium","Low"))</f>
        <v>Low</v>
      </c>
      <c r="L104" t="str">
        <f>IF(Books[[#This Row],[AVERAGE RATING]]&gt;10000,"Popular","Average")</f>
        <v>Average</v>
      </c>
      <c r="M104">
        <f>Books[[#This Row],[AVERAGE RATING]]*Books[[#This Row],[RATINGS COUNT]]</f>
        <v>0</v>
      </c>
    </row>
    <row r="105" spans="1:13" x14ac:dyDescent="0.25">
      <c r="A105" t="s">
        <v>274</v>
      </c>
      <c r="B105" t="s">
        <v>275</v>
      </c>
      <c r="C105">
        <v>230</v>
      </c>
      <c r="D105" t="s">
        <v>2</v>
      </c>
      <c r="E105" t="s">
        <v>3075</v>
      </c>
      <c r="F105" t="s">
        <v>276</v>
      </c>
      <c r="G105" t="s">
        <v>4</v>
      </c>
      <c r="H105">
        <v>0</v>
      </c>
      <c r="I105">
        <v>0</v>
      </c>
      <c r="J105">
        <v>1993</v>
      </c>
      <c r="K105" t="str">
        <f>IF(Books[[#This Row],[AVERAGE RATING]]&gt;=4,"High",IF(Books[[#This Row],[AVERAGE RATING]]&gt;=3,"Medium","Low"))</f>
        <v>Low</v>
      </c>
      <c r="L105" t="str">
        <f>IF(Books[[#This Row],[AVERAGE RATING]]&gt;10000,"Popular","Average")</f>
        <v>Average</v>
      </c>
      <c r="M105">
        <f>Books[[#This Row],[AVERAGE RATING]]*Books[[#This Row],[RATINGS COUNT]]</f>
        <v>0</v>
      </c>
    </row>
    <row r="106" spans="1:13" x14ac:dyDescent="0.25">
      <c r="A106" t="s">
        <v>277</v>
      </c>
      <c r="B106" t="s">
        <v>278</v>
      </c>
      <c r="C106">
        <v>2822</v>
      </c>
      <c r="D106" t="s">
        <v>2</v>
      </c>
      <c r="E106" t="s">
        <v>3159</v>
      </c>
      <c r="F106" t="s">
        <v>279</v>
      </c>
      <c r="G106" t="s">
        <v>4</v>
      </c>
      <c r="H106">
        <v>0</v>
      </c>
      <c r="I106">
        <v>0</v>
      </c>
      <c r="J106">
        <v>2010</v>
      </c>
      <c r="K106" t="str">
        <f>IF(Books[[#This Row],[AVERAGE RATING]]&gt;=4,"High",IF(Books[[#This Row],[AVERAGE RATING]]&gt;=3,"Medium","Low"))</f>
        <v>Low</v>
      </c>
      <c r="L106" t="str">
        <f>IF(Books[[#This Row],[AVERAGE RATING]]&gt;10000,"Popular","Average")</f>
        <v>Average</v>
      </c>
      <c r="M106">
        <f>Books[[#This Row],[AVERAGE RATING]]*Books[[#This Row],[RATINGS COUNT]]</f>
        <v>0</v>
      </c>
    </row>
    <row r="107" spans="1:13" x14ac:dyDescent="0.25">
      <c r="A107" t="s">
        <v>280</v>
      </c>
      <c r="B107" t="s">
        <v>281</v>
      </c>
      <c r="C107">
        <v>643</v>
      </c>
      <c r="D107" t="s">
        <v>2</v>
      </c>
      <c r="E107" t="s">
        <v>3160</v>
      </c>
      <c r="F107" t="s">
        <v>70</v>
      </c>
      <c r="G107" t="s">
        <v>4</v>
      </c>
      <c r="H107">
        <v>0</v>
      </c>
      <c r="I107">
        <v>0</v>
      </c>
      <c r="J107">
        <v>2018</v>
      </c>
      <c r="K107" t="str">
        <f>IF(Books[[#This Row],[AVERAGE RATING]]&gt;=4,"High",IF(Books[[#This Row],[AVERAGE RATING]]&gt;=3,"Medium","Low"))</f>
        <v>Low</v>
      </c>
      <c r="L107" t="str">
        <f>IF(Books[[#This Row],[AVERAGE RATING]]&gt;10000,"Popular","Average")</f>
        <v>Average</v>
      </c>
      <c r="M107">
        <f>Books[[#This Row],[AVERAGE RATING]]*Books[[#This Row],[RATINGS COUNT]]</f>
        <v>0</v>
      </c>
    </row>
    <row r="108" spans="1:13" x14ac:dyDescent="0.25">
      <c r="A108" t="s">
        <v>282</v>
      </c>
      <c r="B108" t="s">
        <v>283</v>
      </c>
      <c r="C108">
        <v>271</v>
      </c>
      <c r="D108" t="s">
        <v>2</v>
      </c>
      <c r="E108" t="s">
        <v>3161</v>
      </c>
      <c r="F108" t="s">
        <v>76</v>
      </c>
      <c r="G108" t="s">
        <v>4</v>
      </c>
      <c r="H108">
        <v>0</v>
      </c>
      <c r="I108">
        <v>0</v>
      </c>
      <c r="J108">
        <v>2018</v>
      </c>
      <c r="K108" t="str">
        <f>IF(Books[[#This Row],[AVERAGE RATING]]&gt;=4,"High",IF(Books[[#This Row],[AVERAGE RATING]]&gt;=3,"Medium","Low"))</f>
        <v>Low</v>
      </c>
      <c r="L108" t="str">
        <f>IF(Books[[#This Row],[AVERAGE RATING]]&gt;10000,"Popular","Average")</f>
        <v>Average</v>
      </c>
      <c r="M108">
        <f>Books[[#This Row],[AVERAGE RATING]]*Books[[#This Row],[RATINGS COUNT]]</f>
        <v>0</v>
      </c>
    </row>
    <row r="109" spans="1:13" x14ac:dyDescent="0.25">
      <c r="A109" t="s">
        <v>284</v>
      </c>
      <c r="B109" t="s">
        <v>285</v>
      </c>
      <c r="C109">
        <v>288</v>
      </c>
      <c r="D109" t="s">
        <v>2</v>
      </c>
      <c r="E109" t="s">
        <v>3162</v>
      </c>
      <c r="F109" t="s">
        <v>70</v>
      </c>
      <c r="G109" t="s">
        <v>4</v>
      </c>
      <c r="H109">
        <v>0</v>
      </c>
      <c r="I109">
        <v>0</v>
      </c>
      <c r="J109">
        <v>2023</v>
      </c>
      <c r="K109" t="str">
        <f>IF(Books[[#This Row],[AVERAGE RATING]]&gt;=4,"High",IF(Books[[#This Row],[AVERAGE RATING]]&gt;=3,"Medium","Low"))</f>
        <v>Low</v>
      </c>
      <c r="L109" t="str">
        <f>IF(Books[[#This Row],[AVERAGE RATING]]&gt;10000,"Popular","Average")</f>
        <v>Average</v>
      </c>
      <c r="M109">
        <f>Books[[#This Row],[AVERAGE RATING]]*Books[[#This Row],[RATINGS COUNT]]</f>
        <v>0</v>
      </c>
    </row>
    <row r="110" spans="1:13" x14ac:dyDescent="0.25">
      <c r="A110" t="s">
        <v>286</v>
      </c>
      <c r="B110" t="s">
        <v>287</v>
      </c>
      <c r="C110">
        <v>527</v>
      </c>
      <c r="D110" t="s">
        <v>32</v>
      </c>
      <c r="E110" t="s">
        <v>3163</v>
      </c>
      <c r="F110" t="s">
        <v>70</v>
      </c>
      <c r="G110" t="s">
        <v>4</v>
      </c>
      <c r="H110">
        <v>0</v>
      </c>
      <c r="I110">
        <v>0</v>
      </c>
      <c r="J110">
        <v>2024</v>
      </c>
      <c r="K110" t="str">
        <f>IF(Books[[#This Row],[AVERAGE RATING]]&gt;=4,"High",IF(Books[[#This Row],[AVERAGE RATING]]&gt;=3,"Medium","Low"))</f>
        <v>Low</v>
      </c>
      <c r="L110" t="str">
        <f>IF(Books[[#This Row],[AVERAGE RATING]]&gt;10000,"Popular","Average")</f>
        <v>Average</v>
      </c>
      <c r="M110">
        <f>Books[[#This Row],[AVERAGE RATING]]*Books[[#This Row],[RATINGS COUNT]]</f>
        <v>0</v>
      </c>
    </row>
    <row r="111" spans="1:13" x14ac:dyDescent="0.25">
      <c r="A111" t="s">
        <v>288</v>
      </c>
      <c r="B111" t="s">
        <v>289</v>
      </c>
      <c r="C111">
        <v>281</v>
      </c>
      <c r="D111" t="s">
        <v>2</v>
      </c>
      <c r="E111" t="s">
        <v>3164</v>
      </c>
      <c r="F111" t="s">
        <v>110</v>
      </c>
      <c r="G111" t="s">
        <v>4</v>
      </c>
      <c r="H111">
        <v>0</v>
      </c>
      <c r="I111">
        <v>0</v>
      </c>
      <c r="J111">
        <v>2023</v>
      </c>
      <c r="K111" t="str">
        <f>IF(Books[[#This Row],[AVERAGE RATING]]&gt;=4,"High",IF(Books[[#This Row],[AVERAGE RATING]]&gt;=3,"Medium","Low"))</f>
        <v>Low</v>
      </c>
      <c r="L111" t="str">
        <f>IF(Books[[#This Row],[AVERAGE RATING]]&gt;10000,"Popular","Average")</f>
        <v>Average</v>
      </c>
      <c r="M111">
        <f>Books[[#This Row],[AVERAGE RATING]]*Books[[#This Row],[RATINGS COUNT]]</f>
        <v>0</v>
      </c>
    </row>
    <row r="112" spans="1:13" x14ac:dyDescent="0.25">
      <c r="A112" t="s">
        <v>290</v>
      </c>
      <c r="B112" t="s">
        <v>291</v>
      </c>
      <c r="C112">
        <v>253</v>
      </c>
      <c r="D112" t="s">
        <v>2</v>
      </c>
      <c r="E112" t="s">
        <v>3165</v>
      </c>
      <c r="F112" t="s">
        <v>93</v>
      </c>
      <c r="G112" t="s">
        <v>4</v>
      </c>
      <c r="H112">
        <v>0</v>
      </c>
      <c r="I112">
        <v>0</v>
      </c>
      <c r="J112">
        <v>2006</v>
      </c>
      <c r="K112" t="str">
        <f>IF(Books[[#This Row],[AVERAGE RATING]]&gt;=4,"High",IF(Books[[#This Row],[AVERAGE RATING]]&gt;=3,"Medium","Low"))</f>
        <v>Low</v>
      </c>
      <c r="L112" t="str">
        <f>IF(Books[[#This Row],[AVERAGE RATING]]&gt;10000,"Popular","Average")</f>
        <v>Average</v>
      </c>
      <c r="M112">
        <f>Books[[#This Row],[AVERAGE RATING]]*Books[[#This Row],[RATINGS COUNT]]</f>
        <v>0</v>
      </c>
    </row>
    <row r="113" spans="1:13" x14ac:dyDescent="0.25">
      <c r="A113" t="s">
        <v>292</v>
      </c>
      <c r="B113" t="s">
        <v>293</v>
      </c>
      <c r="C113">
        <v>291</v>
      </c>
      <c r="D113" t="s">
        <v>2</v>
      </c>
      <c r="E113" t="s">
        <v>3166</v>
      </c>
      <c r="F113" t="s">
        <v>93</v>
      </c>
      <c r="G113" t="s">
        <v>4</v>
      </c>
      <c r="H113">
        <v>0</v>
      </c>
      <c r="I113">
        <v>0</v>
      </c>
      <c r="J113">
        <v>2016</v>
      </c>
      <c r="K113" t="str">
        <f>IF(Books[[#This Row],[AVERAGE RATING]]&gt;=4,"High",IF(Books[[#This Row],[AVERAGE RATING]]&gt;=3,"Medium","Low"))</f>
        <v>Low</v>
      </c>
      <c r="L113" t="str">
        <f>IF(Books[[#This Row],[AVERAGE RATING]]&gt;10000,"Popular","Average")</f>
        <v>Average</v>
      </c>
      <c r="M113">
        <f>Books[[#This Row],[AVERAGE RATING]]*Books[[#This Row],[RATINGS COUNT]]</f>
        <v>0</v>
      </c>
    </row>
    <row r="114" spans="1:13" x14ac:dyDescent="0.25">
      <c r="A114" t="s">
        <v>294</v>
      </c>
      <c r="B114" t="s">
        <v>295</v>
      </c>
      <c r="C114">
        <v>282</v>
      </c>
      <c r="D114" t="s">
        <v>2</v>
      </c>
      <c r="E114" t="s">
        <v>3167</v>
      </c>
      <c r="F114" t="s">
        <v>119</v>
      </c>
      <c r="G114" t="s">
        <v>4</v>
      </c>
      <c r="H114">
        <v>0</v>
      </c>
      <c r="I114">
        <v>0</v>
      </c>
      <c r="J114">
        <v>2020</v>
      </c>
      <c r="K114" t="str">
        <f>IF(Books[[#This Row],[AVERAGE RATING]]&gt;=4,"High",IF(Books[[#This Row],[AVERAGE RATING]]&gt;=3,"Medium","Low"))</f>
        <v>Low</v>
      </c>
      <c r="L114" t="str">
        <f>IF(Books[[#This Row],[AVERAGE RATING]]&gt;10000,"Popular","Average")</f>
        <v>Average</v>
      </c>
      <c r="M114">
        <f>Books[[#This Row],[AVERAGE RATING]]*Books[[#This Row],[RATINGS COUNT]]</f>
        <v>0</v>
      </c>
    </row>
    <row r="115" spans="1:13" x14ac:dyDescent="0.25">
      <c r="A115" t="s">
        <v>296</v>
      </c>
      <c r="B115" t="s">
        <v>297</v>
      </c>
      <c r="C115">
        <v>1105</v>
      </c>
      <c r="D115" t="s">
        <v>298</v>
      </c>
      <c r="E115" t="s">
        <v>3168</v>
      </c>
      <c r="F115" t="s">
        <v>299</v>
      </c>
      <c r="G115" t="s">
        <v>4</v>
      </c>
      <c r="H115">
        <v>0</v>
      </c>
      <c r="I115">
        <v>0</v>
      </c>
      <c r="J115">
        <v>2010</v>
      </c>
      <c r="K115" t="str">
        <f>IF(Books[[#This Row],[AVERAGE RATING]]&gt;=4,"High",IF(Books[[#This Row],[AVERAGE RATING]]&gt;=3,"Medium","Low"))</f>
        <v>Low</v>
      </c>
      <c r="L115" t="str">
        <f>IF(Books[[#This Row],[AVERAGE RATING]]&gt;10000,"Popular","Average")</f>
        <v>Average</v>
      </c>
      <c r="M115">
        <f>Books[[#This Row],[AVERAGE RATING]]*Books[[#This Row],[RATINGS COUNT]]</f>
        <v>0</v>
      </c>
    </row>
    <row r="116" spans="1:13" x14ac:dyDescent="0.25">
      <c r="A116" t="s">
        <v>300</v>
      </c>
      <c r="B116" t="s">
        <v>301</v>
      </c>
      <c r="C116">
        <v>207</v>
      </c>
      <c r="D116" t="s">
        <v>28</v>
      </c>
      <c r="E116" t="s">
        <v>3169</v>
      </c>
      <c r="F116" t="s">
        <v>302</v>
      </c>
      <c r="G116" t="s">
        <v>4</v>
      </c>
      <c r="H116">
        <v>0</v>
      </c>
      <c r="I116">
        <v>0</v>
      </c>
      <c r="J116">
        <v>2011</v>
      </c>
      <c r="K116" t="str">
        <f>IF(Books[[#This Row],[AVERAGE RATING]]&gt;=4,"High",IF(Books[[#This Row],[AVERAGE RATING]]&gt;=3,"Medium","Low"))</f>
        <v>Low</v>
      </c>
      <c r="L116" t="str">
        <f>IF(Books[[#This Row],[AVERAGE RATING]]&gt;10000,"Popular","Average")</f>
        <v>Average</v>
      </c>
      <c r="M116">
        <f>Books[[#This Row],[AVERAGE RATING]]*Books[[#This Row],[RATINGS COUNT]]</f>
        <v>0</v>
      </c>
    </row>
    <row r="117" spans="1:13" x14ac:dyDescent="0.25">
      <c r="A117" t="s">
        <v>303</v>
      </c>
      <c r="B117" t="s">
        <v>304</v>
      </c>
      <c r="C117">
        <v>245</v>
      </c>
      <c r="D117" t="s">
        <v>2</v>
      </c>
      <c r="E117" t="s">
        <v>3170</v>
      </c>
      <c r="F117" t="s">
        <v>35</v>
      </c>
      <c r="G117" t="s">
        <v>4</v>
      </c>
      <c r="H117">
        <v>0</v>
      </c>
      <c r="I117">
        <v>0</v>
      </c>
      <c r="J117">
        <v>2016</v>
      </c>
      <c r="K117" t="str">
        <f>IF(Books[[#This Row],[AVERAGE RATING]]&gt;=4,"High",IF(Books[[#This Row],[AVERAGE RATING]]&gt;=3,"Medium","Low"))</f>
        <v>Low</v>
      </c>
      <c r="L117" t="str">
        <f>IF(Books[[#This Row],[AVERAGE RATING]]&gt;10000,"Popular","Average")</f>
        <v>Average</v>
      </c>
      <c r="M117">
        <f>Books[[#This Row],[AVERAGE RATING]]*Books[[#This Row],[RATINGS COUNT]]</f>
        <v>0</v>
      </c>
    </row>
    <row r="118" spans="1:13" x14ac:dyDescent="0.25">
      <c r="A118" t="s">
        <v>305</v>
      </c>
      <c r="B118" t="s">
        <v>306</v>
      </c>
      <c r="C118">
        <v>178</v>
      </c>
      <c r="D118" t="s">
        <v>307</v>
      </c>
      <c r="E118" t="s">
        <v>3171</v>
      </c>
      <c r="F118" t="s">
        <v>35</v>
      </c>
      <c r="G118" t="s">
        <v>4</v>
      </c>
      <c r="H118">
        <v>0</v>
      </c>
      <c r="I118">
        <v>0</v>
      </c>
      <c r="J118">
        <v>2013</v>
      </c>
      <c r="K118" t="str">
        <f>IF(Books[[#This Row],[AVERAGE RATING]]&gt;=4,"High",IF(Books[[#This Row],[AVERAGE RATING]]&gt;=3,"Medium","Low"))</f>
        <v>Low</v>
      </c>
      <c r="L118" t="str">
        <f>IF(Books[[#This Row],[AVERAGE RATING]]&gt;10000,"Popular","Average")</f>
        <v>Average</v>
      </c>
      <c r="M118">
        <f>Books[[#This Row],[AVERAGE RATING]]*Books[[#This Row],[RATINGS COUNT]]</f>
        <v>0</v>
      </c>
    </row>
    <row r="119" spans="1:13" x14ac:dyDescent="0.25">
      <c r="A119" t="s">
        <v>308</v>
      </c>
      <c r="B119" t="s">
        <v>309</v>
      </c>
      <c r="C119">
        <v>185</v>
      </c>
      <c r="D119" t="s">
        <v>38</v>
      </c>
      <c r="E119" t="s">
        <v>3172</v>
      </c>
      <c r="F119" t="s">
        <v>29</v>
      </c>
      <c r="G119" t="s">
        <v>4</v>
      </c>
      <c r="H119">
        <v>0</v>
      </c>
      <c r="I119">
        <v>0</v>
      </c>
      <c r="J119">
        <v>2009</v>
      </c>
      <c r="K119" t="str">
        <f>IF(Books[[#This Row],[AVERAGE RATING]]&gt;=4,"High",IF(Books[[#This Row],[AVERAGE RATING]]&gt;=3,"Medium","Low"))</f>
        <v>Low</v>
      </c>
      <c r="L119" t="str">
        <f>IF(Books[[#This Row],[AVERAGE RATING]]&gt;10000,"Popular","Average")</f>
        <v>Average</v>
      </c>
      <c r="M119">
        <f>Books[[#This Row],[AVERAGE RATING]]*Books[[#This Row],[RATINGS COUNT]]</f>
        <v>0</v>
      </c>
    </row>
    <row r="120" spans="1:13" x14ac:dyDescent="0.25">
      <c r="A120" t="s">
        <v>310</v>
      </c>
      <c r="B120" t="s">
        <v>311</v>
      </c>
      <c r="C120">
        <v>225</v>
      </c>
      <c r="D120" t="s">
        <v>63</v>
      </c>
      <c r="E120" t="s">
        <v>3173</v>
      </c>
      <c r="F120" t="s">
        <v>132</v>
      </c>
      <c r="G120" t="s">
        <v>4</v>
      </c>
      <c r="H120">
        <v>0</v>
      </c>
      <c r="I120">
        <v>0</v>
      </c>
      <c r="J120">
        <v>2007</v>
      </c>
      <c r="K120" t="str">
        <f>IF(Books[[#This Row],[AVERAGE RATING]]&gt;=4,"High",IF(Books[[#This Row],[AVERAGE RATING]]&gt;=3,"Medium","Low"))</f>
        <v>Low</v>
      </c>
      <c r="L120" t="str">
        <f>IF(Books[[#This Row],[AVERAGE RATING]]&gt;10000,"Popular","Average")</f>
        <v>Average</v>
      </c>
      <c r="M120">
        <f>Books[[#This Row],[AVERAGE RATING]]*Books[[#This Row],[RATINGS COUNT]]</f>
        <v>0</v>
      </c>
    </row>
    <row r="121" spans="1:13" x14ac:dyDescent="0.25">
      <c r="A121" t="s">
        <v>312</v>
      </c>
      <c r="B121" t="s">
        <v>313</v>
      </c>
      <c r="C121">
        <v>328</v>
      </c>
      <c r="D121" t="s">
        <v>314</v>
      </c>
      <c r="E121" t="s">
        <v>3174</v>
      </c>
      <c r="F121" t="s">
        <v>315</v>
      </c>
      <c r="G121" t="s">
        <v>4</v>
      </c>
      <c r="H121">
        <v>0</v>
      </c>
      <c r="I121">
        <v>0</v>
      </c>
      <c r="J121">
        <v>2018</v>
      </c>
      <c r="K121" t="str">
        <f>IF(Books[[#This Row],[AVERAGE RATING]]&gt;=4,"High",IF(Books[[#This Row],[AVERAGE RATING]]&gt;=3,"Medium","Low"))</f>
        <v>Low</v>
      </c>
      <c r="L121" t="str">
        <f>IF(Books[[#This Row],[AVERAGE RATING]]&gt;10000,"Popular","Average")</f>
        <v>Average</v>
      </c>
      <c r="M121">
        <f>Books[[#This Row],[AVERAGE RATING]]*Books[[#This Row],[RATINGS COUNT]]</f>
        <v>0</v>
      </c>
    </row>
    <row r="122" spans="1:13" x14ac:dyDescent="0.25">
      <c r="A122" t="s">
        <v>316</v>
      </c>
      <c r="B122" t="s">
        <v>317</v>
      </c>
      <c r="C122">
        <v>274</v>
      </c>
      <c r="D122" t="s">
        <v>32</v>
      </c>
      <c r="E122" t="s">
        <v>3175</v>
      </c>
      <c r="F122" t="s">
        <v>93</v>
      </c>
      <c r="G122" t="s">
        <v>4</v>
      </c>
      <c r="H122">
        <v>0</v>
      </c>
      <c r="I122">
        <v>0</v>
      </c>
      <c r="J122">
        <v>2013</v>
      </c>
      <c r="K122" t="str">
        <f>IF(Books[[#This Row],[AVERAGE RATING]]&gt;=4,"High",IF(Books[[#This Row],[AVERAGE RATING]]&gt;=3,"Medium","Low"))</f>
        <v>Low</v>
      </c>
      <c r="L122" t="str">
        <f>IF(Books[[#This Row],[AVERAGE RATING]]&gt;10000,"Popular","Average")</f>
        <v>Average</v>
      </c>
      <c r="M122">
        <f>Books[[#This Row],[AVERAGE RATING]]*Books[[#This Row],[RATINGS COUNT]]</f>
        <v>0</v>
      </c>
    </row>
    <row r="123" spans="1:13" x14ac:dyDescent="0.25">
      <c r="A123" t="s">
        <v>318</v>
      </c>
      <c r="B123" t="s">
        <v>319</v>
      </c>
      <c r="C123">
        <v>239</v>
      </c>
      <c r="D123" t="s">
        <v>2</v>
      </c>
      <c r="E123" t="s">
        <v>3176</v>
      </c>
      <c r="F123" t="s">
        <v>35</v>
      </c>
      <c r="G123" t="s">
        <v>4</v>
      </c>
      <c r="H123">
        <v>0</v>
      </c>
      <c r="I123">
        <v>0</v>
      </c>
      <c r="J123">
        <v>2015</v>
      </c>
      <c r="K123" t="str">
        <f>IF(Books[[#This Row],[AVERAGE RATING]]&gt;=4,"High",IF(Books[[#This Row],[AVERAGE RATING]]&gt;=3,"Medium","Low"))</f>
        <v>Low</v>
      </c>
      <c r="L123" t="str">
        <f>IF(Books[[#This Row],[AVERAGE RATING]]&gt;10000,"Popular","Average")</f>
        <v>Average</v>
      </c>
      <c r="M123">
        <f>Books[[#This Row],[AVERAGE RATING]]*Books[[#This Row],[RATINGS COUNT]]</f>
        <v>0</v>
      </c>
    </row>
    <row r="124" spans="1:13" x14ac:dyDescent="0.25">
      <c r="A124" t="s">
        <v>320</v>
      </c>
      <c r="B124" t="s">
        <v>321</v>
      </c>
      <c r="C124">
        <v>236</v>
      </c>
      <c r="D124" t="s">
        <v>314</v>
      </c>
      <c r="E124" t="s">
        <v>3177</v>
      </c>
      <c r="F124" t="s">
        <v>322</v>
      </c>
      <c r="G124" t="s">
        <v>4</v>
      </c>
      <c r="H124">
        <v>3</v>
      </c>
      <c r="I124">
        <v>1</v>
      </c>
      <c r="J124">
        <v>2008</v>
      </c>
      <c r="K124" t="str">
        <f>IF(Books[[#This Row],[AVERAGE RATING]]&gt;=4,"High",IF(Books[[#This Row],[AVERAGE RATING]]&gt;=3,"Medium","Low"))</f>
        <v>Medium</v>
      </c>
      <c r="L124" t="str">
        <f>IF(Books[[#This Row],[AVERAGE RATING]]&gt;10000,"Popular","Average")</f>
        <v>Average</v>
      </c>
      <c r="M124">
        <f>Books[[#This Row],[AVERAGE RATING]]*Books[[#This Row],[RATINGS COUNT]]</f>
        <v>3</v>
      </c>
    </row>
    <row r="125" spans="1:13" x14ac:dyDescent="0.25">
      <c r="A125" t="s">
        <v>323</v>
      </c>
      <c r="B125" t="s">
        <v>324</v>
      </c>
      <c r="C125">
        <v>338</v>
      </c>
      <c r="D125" t="s">
        <v>11</v>
      </c>
      <c r="E125" t="s">
        <v>3178</v>
      </c>
      <c r="F125" t="s">
        <v>325</v>
      </c>
      <c r="G125" t="s">
        <v>4</v>
      </c>
      <c r="H125">
        <v>0</v>
      </c>
      <c r="I125">
        <v>0</v>
      </c>
      <c r="J125">
        <v>2024</v>
      </c>
      <c r="K125" t="str">
        <f>IF(Books[[#This Row],[AVERAGE RATING]]&gt;=4,"High",IF(Books[[#This Row],[AVERAGE RATING]]&gt;=3,"Medium","Low"))</f>
        <v>Low</v>
      </c>
      <c r="L125" t="str">
        <f>IF(Books[[#This Row],[AVERAGE RATING]]&gt;10000,"Popular","Average")</f>
        <v>Average</v>
      </c>
      <c r="M125">
        <f>Books[[#This Row],[AVERAGE RATING]]*Books[[#This Row],[RATINGS COUNT]]</f>
        <v>0</v>
      </c>
    </row>
    <row r="126" spans="1:13" x14ac:dyDescent="0.25">
      <c r="A126" t="s">
        <v>326</v>
      </c>
      <c r="B126" t="s">
        <v>327</v>
      </c>
      <c r="C126">
        <v>242</v>
      </c>
      <c r="D126" t="s">
        <v>328</v>
      </c>
      <c r="E126" t="s">
        <v>3179</v>
      </c>
      <c r="F126" t="s">
        <v>35</v>
      </c>
      <c r="G126" t="s">
        <v>4</v>
      </c>
      <c r="H126">
        <v>0</v>
      </c>
      <c r="I126">
        <v>0</v>
      </c>
      <c r="J126">
        <v>2013</v>
      </c>
      <c r="K126" t="str">
        <f>IF(Books[[#This Row],[AVERAGE RATING]]&gt;=4,"High",IF(Books[[#This Row],[AVERAGE RATING]]&gt;=3,"Medium","Low"))</f>
        <v>Low</v>
      </c>
      <c r="L126" t="str">
        <f>IF(Books[[#This Row],[AVERAGE RATING]]&gt;10000,"Popular","Average")</f>
        <v>Average</v>
      </c>
      <c r="M126">
        <f>Books[[#This Row],[AVERAGE RATING]]*Books[[#This Row],[RATINGS COUNT]]</f>
        <v>0</v>
      </c>
    </row>
    <row r="127" spans="1:13" x14ac:dyDescent="0.25">
      <c r="A127" t="s">
        <v>329</v>
      </c>
      <c r="B127" t="s">
        <v>324</v>
      </c>
      <c r="C127">
        <v>342</v>
      </c>
      <c r="D127" t="s">
        <v>11</v>
      </c>
      <c r="E127" t="s">
        <v>3180</v>
      </c>
      <c r="F127" t="s">
        <v>325</v>
      </c>
      <c r="G127" t="s">
        <v>4</v>
      </c>
      <c r="H127">
        <v>0</v>
      </c>
      <c r="I127">
        <v>0</v>
      </c>
      <c r="J127">
        <v>2024</v>
      </c>
      <c r="K127" t="str">
        <f>IF(Books[[#This Row],[AVERAGE RATING]]&gt;=4,"High",IF(Books[[#This Row],[AVERAGE RATING]]&gt;=3,"Medium","Low"))</f>
        <v>Low</v>
      </c>
      <c r="L127" t="str">
        <f>IF(Books[[#This Row],[AVERAGE RATING]]&gt;10000,"Popular","Average")</f>
        <v>Average</v>
      </c>
      <c r="M127">
        <f>Books[[#This Row],[AVERAGE RATING]]*Books[[#This Row],[RATINGS COUNT]]</f>
        <v>0</v>
      </c>
    </row>
    <row r="128" spans="1:13" x14ac:dyDescent="0.25">
      <c r="A128" t="s">
        <v>330</v>
      </c>
      <c r="B128" t="s">
        <v>331</v>
      </c>
      <c r="C128">
        <v>297</v>
      </c>
      <c r="D128" t="s">
        <v>2</v>
      </c>
      <c r="E128" t="s">
        <v>3181</v>
      </c>
      <c r="F128" t="s">
        <v>122</v>
      </c>
      <c r="G128" t="s">
        <v>4</v>
      </c>
      <c r="H128">
        <v>0</v>
      </c>
      <c r="I128">
        <v>0</v>
      </c>
      <c r="J128">
        <v>2012</v>
      </c>
      <c r="K128" t="str">
        <f>IF(Books[[#This Row],[AVERAGE RATING]]&gt;=4,"High",IF(Books[[#This Row],[AVERAGE RATING]]&gt;=3,"Medium","Low"))</f>
        <v>Low</v>
      </c>
      <c r="L128" t="str">
        <f>IF(Books[[#This Row],[AVERAGE RATING]]&gt;10000,"Popular","Average")</f>
        <v>Average</v>
      </c>
      <c r="M128">
        <f>Books[[#This Row],[AVERAGE RATING]]*Books[[#This Row],[RATINGS COUNT]]</f>
        <v>0</v>
      </c>
    </row>
    <row r="129" spans="1:13" x14ac:dyDescent="0.25">
      <c r="A129" t="s">
        <v>332</v>
      </c>
      <c r="B129" t="s">
        <v>333</v>
      </c>
      <c r="C129">
        <v>579</v>
      </c>
      <c r="D129" t="s">
        <v>2</v>
      </c>
      <c r="E129" t="s">
        <v>3182</v>
      </c>
      <c r="F129" t="s">
        <v>334</v>
      </c>
      <c r="G129" t="s">
        <v>4</v>
      </c>
      <c r="H129">
        <v>0</v>
      </c>
      <c r="I129">
        <v>0</v>
      </c>
      <c r="J129">
        <v>2023</v>
      </c>
      <c r="K129" t="str">
        <f>IF(Books[[#This Row],[AVERAGE RATING]]&gt;=4,"High",IF(Books[[#This Row],[AVERAGE RATING]]&gt;=3,"Medium","Low"))</f>
        <v>Low</v>
      </c>
      <c r="L129" t="str">
        <f>IF(Books[[#This Row],[AVERAGE RATING]]&gt;10000,"Popular","Average")</f>
        <v>Average</v>
      </c>
      <c r="M129">
        <f>Books[[#This Row],[AVERAGE RATING]]*Books[[#This Row],[RATINGS COUNT]]</f>
        <v>0</v>
      </c>
    </row>
    <row r="130" spans="1:13" x14ac:dyDescent="0.25">
      <c r="A130" t="s">
        <v>335</v>
      </c>
      <c r="B130" t="s">
        <v>336</v>
      </c>
      <c r="C130">
        <v>231</v>
      </c>
      <c r="D130" t="s">
        <v>2</v>
      </c>
      <c r="E130" t="s">
        <v>3183</v>
      </c>
      <c r="F130" t="s">
        <v>80</v>
      </c>
      <c r="G130" t="s">
        <v>4</v>
      </c>
      <c r="H130">
        <v>0</v>
      </c>
      <c r="I130">
        <v>0</v>
      </c>
      <c r="J130">
        <v>2020</v>
      </c>
      <c r="K130" t="str">
        <f>IF(Books[[#This Row],[AVERAGE RATING]]&gt;=4,"High",IF(Books[[#This Row],[AVERAGE RATING]]&gt;=3,"Medium","Low"))</f>
        <v>Low</v>
      </c>
      <c r="L130" t="str">
        <f>IF(Books[[#This Row],[AVERAGE RATING]]&gt;10000,"Popular","Average")</f>
        <v>Average</v>
      </c>
      <c r="M130">
        <f>Books[[#This Row],[AVERAGE RATING]]*Books[[#This Row],[RATINGS COUNT]]</f>
        <v>0</v>
      </c>
    </row>
    <row r="131" spans="1:13" x14ac:dyDescent="0.25">
      <c r="A131" t="s">
        <v>337</v>
      </c>
      <c r="B131" t="s">
        <v>338</v>
      </c>
      <c r="C131">
        <v>454</v>
      </c>
      <c r="D131" t="s">
        <v>339</v>
      </c>
      <c r="E131" t="s">
        <v>3127</v>
      </c>
      <c r="F131" t="s">
        <v>315</v>
      </c>
      <c r="G131" t="s">
        <v>4</v>
      </c>
      <c r="H131">
        <v>0</v>
      </c>
      <c r="I131">
        <v>0</v>
      </c>
      <c r="J131">
        <v>2018</v>
      </c>
      <c r="K131" t="str">
        <f>IF(Books[[#This Row],[AVERAGE RATING]]&gt;=4,"High",IF(Books[[#This Row],[AVERAGE RATING]]&gt;=3,"Medium","Low"))</f>
        <v>Low</v>
      </c>
      <c r="L131" t="str">
        <f>IF(Books[[#This Row],[AVERAGE RATING]]&gt;10000,"Popular","Average")</f>
        <v>Average</v>
      </c>
      <c r="M131">
        <f>Books[[#This Row],[AVERAGE RATING]]*Books[[#This Row],[RATINGS COUNT]]</f>
        <v>0</v>
      </c>
    </row>
    <row r="132" spans="1:13" x14ac:dyDescent="0.25">
      <c r="A132" t="s">
        <v>340</v>
      </c>
      <c r="B132" t="s">
        <v>341</v>
      </c>
      <c r="C132">
        <v>203</v>
      </c>
      <c r="D132" t="s">
        <v>28</v>
      </c>
      <c r="E132" t="s">
        <v>3184</v>
      </c>
      <c r="F132" t="s">
        <v>35</v>
      </c>
      <c r="G132" t="s">
        <v>4</v>
      </c>
      <c r="H132">
        <v>0</v>
      </c>
      <c r="I132">
        <v>0</v>
      </c>
      <c r="J132">
        <v>2016</v>
      </c>
      <c r="K132" t="str">
        <f>IF(Books[[#This Row],[AVERAGE RATING]]&gt;=4,"High",IF(Books[[#This Row],[AVERAGE RATING]]&gt;=3,"Medium","Low"))</f>
        <v>Low</v>
      </c>
      <c r="L132" t="str">
        <f>IF(Books[[#This Row],[AVERAGE RATING]]&gt;10000,"Popular","Average")</f>
        <v>Average</v>
      </c>
      <c r="M132">
        <f>Books[[#This Row],[AVERAGE RATING]]*Books[[#This Row],[RATINGS COUNT]]</f>
        <v>0</v>
      </c>
    </row>
    <row r="133" spans="1:13" x14ac:dyDescent="0.25">
      <c r="A133" t="s">
        <v>342</v>
      </c>
      <c r="B133" t="s">
        <v>343</v>
      </c>
      <c r="C133">
        <v>196</v>
      </c>
      <c r="D133" t="s">
        <v>339</v>
      </c>
      <c r="E133" t="s">
        <v>3185</v>
      </c>
      <c r="F133" t="s">
        <v>344</v>
      </c>
      <c r="G133" t="s">
        <v>4</v>
      </c>
      <c r="H133">
        <v>0</v>
      </c>
      <c r="I133">
        <v>0</v>
      </c>
      <c r="J133">
        <v>2024</v>
      </c>
      <c r="K133" t="str">
        <f>IF(Books[[#This Row],[AVERAGE RATING]]&gt;=4,"High",IF(Books[[#This Row],[AVERAGE RATING]]&gt;=3,"Medium","Low"))</f>
        <v>Low</v>
      </c>
      <c r="L133" t="str">
        <f>IF(Books[[#This Row],[AVERAGE RATING]]&gt;10000,"Popular","Average")</f>
        <v>Average</v>
      </c>
      <c r="M133">
        <f>Books[[#This Row],[AVERAGE RATING]]*Books[[#This Row],[RATINGS COUNT]]</f>
        <v>0</v>
      </c>
    </row>
    <row r="134" spans="1:13" x14ac:dyDescent="0.25">
      <c r="A134" t="s">
        <v>346</v>
      </c>
      <c r="B134" t="s">
        <v>347</v>
      </c>
      <c r="C134">
        <v>166</v>
      </c>
      <c r="D134" t="s">
        <v>15</v>
      </c>
      <c r="E134" t="s">
        <v>3186</v>
      </c>
      <c r="F134" t="s">
        <v>348</v>
      </c>
      <c r="G134" t="s">
        <v>4</v>
      </c>
      <c r="H134">
        <v>0</v>
      </c>
      <c r="I134">
        <v>0</v>
      </c>
      <c r="J134">
        <v>2025</v>
      </c>
      <c r="K134" t="str">
        <f>IF(Books[[#This Row],[AVERAGE RATING]]&gt;=4,"High",IF(Books[[#This Row],[AVERAGE RATING]]&gt;=3,"Medium","Low"))</f>
        <v>Low</v>
      </c>
      <c r="L134" t="str">
        <f>IF(Books[[#This Row],[AVERAGE RATING]]&gt;10000,"Popular","Average")</f>
        <v>Average</v>
      </c>
      <c r="M134">
        <f>Books[[#This Row],[AVERAGE RATING]]*Books[[#This Row],[RATINGS COUNT]]</f>
        <v>0</v>
      </c>
    </row>
    <row r="135" spans="1:13" x14ac:dyDescent="0.25">
      <c r="A135" t="s">
        <v>349</v>
      </c>
      <c r="B135" t="s">
        <v>350</v>
      </c>
      <c r="C135">
        <v>164</v>
      </c>
      <c r="D135" t="s">
        <v>314</v>
      </c>
      <c r="E135" t="s">
        <v>3149</v>
      </c>
      <c r="F135" t="s">
        <v>350</v>
      </c>
      <c r="G135" t="s">
        <v>4</v>
      </c>
      <c r="H135">
        <v>0</v>
      </c>
      <c r="I135">
        <v>0</v>
      </c>
      <c r="J135">
        <v>2009</v>
      </c>
      <c r="K135" t="str">
        <f>IF(Books[[#This Row],[AVERAGE RATING]]&gt;=4,"High",IF(Books[[#This Row],[AVERAGE RATING]]&gt;=3,"Medium","Low"))</f>
        <v>Low</v>
      </c>
      <c r="L135" t="str">
        <f>IF(Books[[#This Row],[AVERAGE RATING]]&gt;10000,"Popular","Average")</f>
        <v>Average</v>
      </c>
      <c r="M135">
        <f>Books[[#This Row],[AVERAGE RATING]]*Books[[#This Row],[RATINGS COUNT]]</f>
        <v>0</v>
      </c>
    </row>
    <row r="136" spans="1:13" x14ac:dyDescent="0.25">
      <c r="A136" t="s">
        <v>351</v>
      </c>
      <c r="B136" t="s">
        <v>352</v>
      </c>
      <c r="C136">
        <v>107</v>
      </c>
      <c r="D136" t="s">
        <v>307</v>
      </c>
      <c r="E136" t="s">
        <v>3187</v>
      </c>
      <c r="F136" t="s">
        <v>353</v>
      </c>
      <c r="G136" t="s">
        <v>4</v>
      </c>
      <c r="H136">
        <v>0</v>
      </c>
      <c r="I136">
        <v>0</v>
      </c>
      <c r="J136">
        <v>2025</v>
      </c>
      <c r="K136" t="str">
        <f>IF(Books[[#This Row],[AVERAGE RATING]]&gt;=4,"High",IF(Books[[#This Row],[AVERAGE RATING]]&gt;=3,"Medium","Low"))</f>
        <v>Low</v>
      </c>
      <c r="L136" t="str">
        <f>IF(Books[[#This Row],[AVERAGE RATING]]&gt;10000,"Popular","Average")</f>
        <v>Average</v>
      </c>
      <c r="M136">
        <f>Books[[#This Row],[AVERAGE RATING]]*Books[[#This Row],[RATINGS COUNT]]</f>
        <v>0</v>
      </c>
    </row>
    <row r="137" spans="1:13" x14ac:dyDescent="0.25">
      <c r="A137" t="s">
        <v>354</v>
      </c>
      <c r="B137" t="s">
        <v>355</v>
      </c>
      <c r="C137">
        <v>242</v>
      </c>
      <c r="D137" t="s">
        <v>356</v>
      </c>
      <c r="E137" t="s">
        <v>3188</v>
      </c>
      <c r="F137" t="s">
        <v>357</v>
      </c>
      <c r="G137" t="s">
        <v>4</v>
      </c>
      <c r="H137">
        <v>0</v>
      </c>
      <c r="I137">
        <v>0</v>
      </c>
      <c r="J137">
        <v>2023</v>
      </c>
      <c r="K137" t="str">
        <f>IF(Books[[#This Row],[AVERAGE RATING]]&gt;=4,"High",IF(Books[[#This Row],[AVERAGE RATING]]&gt;=3,"Medium","Low"))</f>
        <v>Low</v>
      </c>
      <c r="L137" t="str">
        <f>IF(Books[[#This Row],[AVERAGE RATING]]&gt;10000,"Popular","Average")</f>
        <v>Average</v>
      </c>
      <c r="M137">
        <f>Books[[#This Row],[AVERAGE RATING]]*Books[[#This Row],[RATINGS COUNT]]</f>
        <v>0</v>
      </c>
    </row>
    <row r="138" spans="1:13" x14ac:dyDescent="0.25">
      <c r="A138" t="s">
        <v>358</v>
      </c>
      <c r="B138" t="s">
        <v>359</v>
      </c>
      <c r="C138">
        <v>156</v>
      </c>
      <c r="D138" t="s">
        <v>356</v>
      </c>
      <c r="E138" t="s">
        <v>3189</v>
      </c>
      <c r="F138" t="s">
        <v>348</v>
      </c>
      <c r="G138" t="s">
        <v>4</v>
      </c>
      <c r="H138">
        <v>0</v>
      </c>
      <c r="I138">
        <v>0</v>
      </c>
      <c r="J138">
        <v>2025</v>
      </c>
      <c r="K138" t="str">
        <f>IF(Books[[#This Row],[AVERAGE RATING]]&gt;=4,"High",IF(Books[[#This Row],[AVERAGE RATING]]&gt;=3,"Medium","Low"))</f>
        <v>Low</v>
      </c>
      <c r="L138" t="str">
        <f>IF(Books[[#This Row],[AVERAGE RATING]]&gt;10000,"Popular","Average")</f>
        <v>Average</v>
      </c>
      <c r="M138">
        <f>Books[[#This Row],[AVERAGE RATING]]*Books[[#This Row],[RATINGS COUNT]]</f>
        <v>0</v>
      </c>
    </row>
    <row r="139" spans="1:13" x14ac:dyDescent="0.25">
      <c r="A139" t="s">
        <v>360</v>
      </c>
      <c r="B139" t="s">
        <v>361</v>
      </c>
      <c r="C139">
        <v>337</v>
      </c>
      <c r="D139" t="s">
        <v>32</v>
      </c>
      <c r="E139" t="s">
        <v>3190</v>
      </c>
      <c r="F139" t="s">
        <v>362</v>
      </c>
      <c r="G139" t="s">
        <v>4</v>
      </c>
      <c r="H139">
        <v>0</v>
      </c>
      <c r="I139">
        <v>0</v>
      </c>
      <c r="J139">
        <v>2008</v>
      </c>
      <c r="K139" t="str">
        <f>IF(Books[[#This Row],[AVERAGE RATING]]&gt;=4,"High",IF(Books[[#This Row],[AVERAGE RATING]]&gt;=3,"Medium","Low"))</f>
        <v>Low</v>
      </c>
      <c r="L139" t="str">
        <f>IF(Books[[#This Row],[AVERAGE RATING]]&gt;10000,"Popular","Average")</f>
        <v>Average</v>
      </c>
      <c r="M139">
        <f>Books[[#This Row],[AVERAGE RATING]]*Books[[#This Row],[RATINGS COUNT]]</f>
        <v>0</v>
      </c>
    </row>
    <row r="140" spans="1:13" x14ac:dyDescent="0.25">
      <c r="A140" t="s">
        <v>363</v>
      </c>
      <c r="B140" t="s">
        <v>364</v>
      </c>
      <c r="C140">
        <v>332</v>
      </c>
      <c r="D140" t="s">
        <v>328</v>
      </c>
      <c r="E140" t="s">
        <v>3191</v>
      </c>
      <c r="F140" t="s">
        <v>365</v>
      </c>
      <c r="G140" t="s">
        <v>4</v>
      </c>
      <c r="H140">
        <v>0</v>
      </c>
      <c r="I140">
        <v>0</v>
      </c>
      <c r="J140">
        <v>1972</v>
      </c>
      <c r="K140" t="str">
        <f>IF(Books[[#This Row],[AVERAGE RATING]]&gt;=4,"High",IF(Books[[#This Row],[AVERAGE RATING]]&gt;=3,"Medium","Low"))</f>
        <v>Low</v>
      </c>
      <c r="L140" t="str">
        <f>IF(Books[[#This Row],[AVERAGE RATING]]&gt;10000,"Popular","Average")</f>
        <v>Average</v>
      </c>
      <c r="M140">
        <f>Books[[#This Row],[AVERAGE RATING]]*Books[[#This Row],[RATINGS COUNT]]</f>
        <v>0</v>
      </c>
    </row>
    <row r="141" spans="1:13" x14ac:dyDescent="0.25">
      <c r="A141" t="s">
        <v>366</v>
      </c>
      <c r="B141" t="s">
        <v>367</v>
      </c>
      <c r="C141">
        <v>195</v>
      </c>
      <c r="D141" t="s">
        <v>356</v>
      </c>
      <c r="E141" t="s">
        <v>3192</v>
      </c>
      <c r="F141" t="s">
        <v>368</v>
      </c>
      <c r="G141" t="s">
        <v>4</v>
      </c>
      <c r="H141">
        <v>0</v>
      </c>
      <c r="I141">
        <v>0</v>
      </c>
      <c r="J141">
        <v>2009</v>
      </c>
      <c r="K141" t="str">
        <f>IF(Books[[#This Row],[AVERAGE RATING]]&gt;=4,"High",IF(Books[[#This Row],[AVERAGE RATING]]&gt;=3,"Medium","Low"))</f>
        <v>Low</v>
      </c>
      <c r="L141" t="str">
        <f>IF(Books[[#This Row],[AVERAGE RATING]]&gt;10000,"Popular","Average")</f>
        <v>Average</v>
      </c>
      <c r="M141">
        <f>Books[[#This Row],[AVERAGE RATING]]*Books[[#This Row],[RATINGS COUNT]]</f>
        <v>0</v>
      </c>
    </row>
    <row r="142" spans="1:13" x14ac:dyDescent="0.25">
      <c r="A142" t="s">
        <v>369</v>
      </c>
      <c r="B142" t="s">
        <v>370</v>
      </c>
      <c r="C142">
        <v>710</v>
      </c>
      <c r="D142" t="s">
        <v>2</v>
      </c>
      <c r="E142" t="s">
        <v>3075</v>
      </c>
      <c r="F142" t="s">
        <v>371</v>
      </c>
      <c r="G142" t="s">
        <v>4</v>
      </c>
      <c r="H142">
        <v>0</v>
      </c>
      <c r="I142">
        <v>0</v>
      </c>
      <c r="J142">
        <v>1993</v>
      </c>
      <c r="K142" t="str">
        <f>IF(Books[[#This Row],[AVERAGE RATING]]&gt;=4,"High",IF(Books[[#This Row],[AVERAGE RATING]]&gt;=3,"Medium","Low"))</f>
        <v>Low</v>
      </c>
      <c r="L142" t="str">
        <f>IF(Books[[#This Row],[AVERAGE RATING]]&gt;10000,"Popular","Average")</f>
        <v>Average</v>
      </c>
      <c r="M142">
        <f>Books[[#This Row],[AVERAGE RATING]]*Books[[#This Row],[RATINGS COUNT]]</f>
        <v>0</v>
      </c>
    </row>
    <row r="143" spans="1:13" x14ac:dyDescent="0.25">
      <c r="A143" t="s">
        <v>372</v>
      </c>
      <c r="B143" t="s">
        <v>373</v>
      </c>
      <c r="C143">
        <v>274</v>
      </c>
      <c r="D143" t="s">
        <v>314</v>
      </c>
      <c r="E143" t="s">
        <v>3078</v>
      </c>
      <c r="F143" t="s">
        <v>374</v>
      </c>
      <c r="G143" t="s">
        <v>4</v>
      </c>
      <c r="H143">
        <v>4.5</v>
      </c>
      <c r="I143">
        <v>2</v>
      </c>
      <c r="J143">
        <v>1999</v>
      </c>
      <c r="K143" t="str">
        <f>IF(Books[[#This Row],[AVERAGE RATING]]&gt;=4,"High",IF(Books[[#This Row],[AVERAGE RATING]]&gt;=3,"Medium","Low"))</f>
        <v>High</v>
      </c>
      <c r="L143" t="str">
        <f>IF(Books[[#This Row],[AVERAGE RATING]]&gt;10000,"Popular","Average")</f>
        <v>Average</v>
      </c>
      <c r="M143">
        <f>Books[[#This Row],[AVERAGE RATING]]*Books[[#This Row],[RATINGS COUNT]]</f>
        <v>9</v>
      </c>
    </row>
    <row r="144" spans="1:13" x14ac:dyDescent="0.25">
      <c r="A144" t="s">
        <v>376</v>
      </c>
      <c r="B144" t="s">
        <v>377</v>
      </c>
      <c r="C144">
        <v>126</v>
      </c>
      <c r="D144" t="s">
        <v>298</v>
      </c>
      <c r="E144" t="s">
        <v>3186</v>
      </c>
      <c r="F144" t="s">
        <v>348</v>
      </c>
      <c r="G144" t="s">
        <v>4</v>
      </c>
      <c r="H144">
        <v>0</v>
      </c>
      <c r="I144">
        <v>0</v>
      </c>
      <c r="J144">
        <v>2025</v>
      </c>
      <c r="K144" t="str">
        <f>IF(Books[[#This Row],[AVERAGE RATING]]&gt;=4,"High",IF(Books[[#This Row],[AVERAGE RATING]]&gt;=3,"Medium","Low"))</f>
        <v>Low</v>
      </c>
      <c r="L144" t="str">
        <f>IF(Books[[#This Row],[AVERAGE RATING]]&gt;10000,"Popular","Average")</f>
        <v>Average</v>
      </c>
      <c r="M144">
        <f>Books[[#This Row],[AVERAGE RATING]]*Books[[#This Row],[RATINGS COUNT]]</f>
        <v>0</v>
      </c>
    </row>
    <row r="145" spans="1:13" x14ac:dyDescent="0.25">
      <c r="A145" t="s">
        <v>378</v>
      </c>
      <c r="B145" t="s">
        <v>379</v>
      </c>
      <c r="C145">
        <v>297</v>
      </c>
      <c r="D145" t="s">
        <v>2</v>
      </c>
      <c r="E145" t="s">
        <v>3193</v>
      </c>
      <c r="F145" t="s">
        <v>380</v>
      </c>
      <c r="G145" t="s">
        <v>4</v>
      </c>
      <c r="H145">
        <v>0</v>
      </c>
      <c r="I145">
        <v>0</v>
      </c>
      <c r="J145">
        <v>2015</v>
      </c>
      <c r="K145" t="str">
        <f>IF(Books[[#This Row],[AVERAGE RATING]]&gt;=4,"High",IF(Books[[#This Row],[AVERAGE RATING]]&gt;=3,"Medium","Low"))</f>
        <v>Low</v>
      </c>
      <c r="L145" t="str">
        <f>IF(Books[[#This Row],[AVERAGE RATING]]&gt;10000,"Popular","Average")</f>
        <v>Average</v>
      </c>
      <c r="M145">
        <f>Books[[#This Row],[AVERAGE RATING]]*Books[[#This Row],[RATINGS COUNT]]</f>
        <v>0</v>
      </c>
    </row>
    <row r="146" spans="1:13" x14ac:dyDescent="0.25">
      <c r="A146" t="s">
        <v>381</v>
      </c>
      <c r="B146" t="s">
        <v>382</v>
      </c>
      <c r="C146">
        <v>480</v>
      </c>
      <c r="D146" t="s">
        <v>383</v>
      </c>
      <c r="E146" t="s">
        <v>3194</v>
      </c>
      <c r="F146" t="s">
        <v>107</v>
      </c>
      <c r="G146" t="s">
        <v>4</v>
      </c>
      <c r="H146">
        <v>0</v>
      </c>
      <c r="I146">
        <v>0</v>
      </c>
      <c r="J146">
        <v>2006</v>
      </c>
      <c r="K146" t="str">
        <f>IF(Books[[#This Row],[AVERAGE RATING]]&gt;=4,"High",IF(Books[[#This Row],[AVERAGE RATING]]&gt;=3,"Medium","Low"))</f>
        <v>Low</v>
      </c>
      <c r="L146" t="str">
        <f>IF(Books[[#This Row],[AVERAGE RATING]]&gt;10000,"Popular","Average")</f>
        <v>Average</v>
      </c>
      <c r="M146">
        <f>Books[[#This Row],[AVERAGE RATING]]*Books[[#This Row],[RATINGS COUNT]]</f>
        <v>0</v>
      </c>
    </row>
    <row r="147" spans="1:13" x14ac:dyDescent="0.25">
      <c r="A147" t="s">
        <v>385</v>
      </c>
      <c r="B147" t="s">
        <v>386</v>
      </c>
      <c r="C147">
        <v>293</v>
      </c>
      <c r="D147" t="s">
        <v>383</v>
      </c>
      <c r="E147" t="s">
        <v>3195</v>
      </c>
      <c r="F147" t="s">
        <v>334</v>
      </c>
      <c r="G147" t="s">
        <v>4</v>
      </c>
      <c r="H147">
        <v>0</v>
      </c>
      <c r="I147">
        <v>0</v>
      </c>
      <c r="J147">
        <v>2023</v>
      </c>
      <c r="K147" t="str">
        <f>IF(Books[[#This Row],[AVERAGE RATING]]&gt;=4,"High",IF(Books[[#This Row],[AVERAGE RATING]]&gt;=3,"Medium","Low"))</f>
        <v>Low</v>
      </c>
      <c r="L147" t="str">
        <f>IF(Books[[#This Row],[AVERAGE RATING]]&gt;10000,"Popular","Average")</f>
        <v>Average</v>
      </c>
      <c r="M147">
        <f>Books[[#This Row],[AVERAGE RATING]]*Books[[#This Row],[RATINGS COUNT]]</f>
        <v>0</v>
      </c>
    </row>
    <row r="148" spans="1:13" x14ac:dyDescent="0.25">
      <c r="A148" t="s">
        <v>389</v>
      </c>
      <c r="B148" t="s">
        <v>390</v>
      </c>
      <c r="C148">
        <v>74</v>
      </c>
      <c r="D148" t="s">
        <v>158</v>
      </c>
      <c r="E148" t="s">
        <v>3196</v>
      </c>
      <c r="F148" t="s">
        <v>391</v>
      </c>
      <c r="G148" t="s">
        <v>4</v>
      </c>
      <c r="H148">
        <v>0</v>
      </c>
      <c r="I148">
        <v>0</v>
      </c>
      <c r="J148">
        <v>2019</v>
      </c>
      <c r="K148" t="str">
        <f>IF(Books[[#This Row],[AVERAGE RATING]]&gt;=4,"High",IF(Books[[#This Row],[AVERAGE RATING]]&gt;=3,"Medium","Low"))</f>
        <v>Low</v>
      </c>
      <c r="L148" t="str">
        <f>IF(Books[[#This Row],[AVERAGE RATING]]&gt;10000,"Popular","Average")</f>
        <v>Average</v>
      </c>
      <c r="M148">
        <f>Books[[#This Row],[AVERAGE RATING]]*Books[[#This Row],[RATINGS COUNT]]</f>
        <v>0</v>
      </c>
    </row>
    <row r="149" spans="1:13" x14ac:dyDescent="0.25">
      <c r="A149" t="s">
        <v>392</v>
      </c>
      <c r="B149" t="s">
        <v>393</v>
      </c>
      <c r="C149">
        <v>222</v>
      </c>
      <c r="D149" t="s">
        <v>11</v>
      </c>
      <c r="E149" t="s">
        <v>3197</v>
      </c>
      <c r="F149" t="s">
        <v>393</v>
      </c>
      <c r="G149" t="s">
        <v>4</v>
      </c>
      <c r="H149">
        <v>0</v>
      </c>
      <c r="I149">
        <v>0</v>
      </c>
      <c r="J149">
        <v>2025</v>
      </c>
      <c r="K149" t="str">
        <f>IF(Books[[#This Row],[AVERAGE RATING]]&gt;=4,"High",IF(Books[[#This Row],[AVERAGE RATING]]&gt;=3,"Medium","Low"))</f>
        <v>Low</v>
      </c>
      <c r="L149" t="str">
        <f>IF(Books[[#This Row],[AVERAGE RATING]]&gt;10000,"Popular","Average")</f>
        <v>Average</v>
      </c>
      <c r="M149">
        <f>Books[[#This Row],[AVERAGE RATING]]*Books[[#This Row],[RATINGS COUNT]]</f>
        <v>0</v>
      </c>
    </row>
    <row r="150" spans="1:13" x14ac:dyDescent="0.25">
      <c r="A150" t="s">
        <v>394</v>
      </c>
      <c r="B150" t="s">
        <v>395</v>
      </c>
      <c r="C150">
        <v>198</v>
      </c>
      <c r="D150" t="s">
        <v>298</v>
      </c>
      <c r="E150" t="s">
        <v>3198</v>
      </c>
      <c r="F150" t="s">
        <v>396</v>
      </c>
      <c r="G150" t="s">
        <v>4</v>
      </c>
      <c r="H150">
        <v>0</v>
      </c>
      <c r="I150">
        <v>0</v>
      </c>
      <c r="J150">
        <v>2015</v>
      </c>
      <c r="K150" t="str">
        <f>IF(Books[[#This Row],[AVERAGE RATING]]&gt;=4,"High",IF(Books[[#This Row],[AVERAGE RATING]]&gt;=3,"Medium","Low"))</f>
        <v>Low</v>
      </c>
      <c r="L150" t="str">
        <f>IF(Books[[#This Row],[AVERAGE RATING]]&gt;10000,"Popular","Average")</f>
        <v>Average</v>
      </c>
      <c r="M150">
        <f>Books[[#This Row],[AVERAGE RATING]]*Books[[#This Row],[RATINGS COUNT]]</f>
        <v>0</v>
      </c>
    </row>
    <row r="151" spans="1:13" x14ac:dyDescent="0.25">
      <c r="A151" t="s">
        <v>397</v>
      </c>
      <c r="B151" t="s">
        <v>398</v>
      </c>
      <c r="C151">
        <v>220</v>
      </c>
      <c r="D151" t="s">
        <v>11</v>
      </c>
      <c r="E151" t="s">
        <v>3137</v>
      </c>
      <c r="F151" t="s">
        <v>398</v>
      </c>
      <c r="G151" t="s">
        <v>4</v>
      </c>
      <c r="H151">
        <v>0</v>
      </c>
      <c r="I151">
        <v>0</v>
      </c>
      <c r="J151">
        <v>2023</v>
      </c>
      <c r="K151" t="str">
        <f>IF(Books[[#This Row],[AVERAGE RATING]]&gt;=4,"High",IF(Books[[#This Row],[AVERAGE RATING]]&gt;=3,"Medium","Low"))</f>
        <v>Low</v>
      </c>
      <c r="L151" t="str">
        <f>IF(Books[[#This Row],[AVERAGE RATING]]&gt;10000,"Popular","Average")</f>
        <v>Average</v>
      </c>
      <c r="M151">
        <f>Books[[#This Row],[AVERAGE RATING]]*Books[[#This Row],[RATINGS COUNT]]</f>
        <v>0</v>
      </c>
    </row>
    <row r="152" spans="1:13" x14ac:dyDescent="0.25">
      <c r="A152" t="s">
        <v>399</v>
      </c>
      <c r="B152" t="s">
        <v>400</v>
      </c>
      <c r="C152">
        <v>192</v>
      </c>
      <c r="D152" t="s">
        <v>11</v>
      </c>
      <c r="E152" t="s">
        <v>3099</v>
      </c>
      <c r="F152" t="s">
        <v>46</v>
      </c>
      <c r="G152" t="s">
        <v>4</v>
      </c>
      <c r="H152">
        <v>0</v>
      </c>
      <c r="I152">
        <v>0</v>
      </c>
      <c r="J152">
        <v>2005</v>
      </c>
      <c r="K152" t="str">
        <f>IF(Books[[#This Row],[AVERAGE RATING]]&gt;=4,"High",IF(Books[[#This Row],[AVERAGE RATING]]&gt;=3,"Medium","Low"))</f>
        <v>Low</v>
      </c>
      <c r="L152" t="str">
        <f>IF(Books[[#This Row],[AVERAGE RATING]]&gt;10000,"Popular","Average")</f>
        <v>Average</v>
      </c>
      <c r="M152">
        <f>Books[[#This Row],[AVERAGE RATING]]*Books[[#This Row],[RATINGS COUNT]]</f>
        <v>0</v>
      </c>
    </row>
    <row r="153" spans="1:13" x14ac:dyDescent="0.25">
      <c r="A153" t="s">
        <v>401</v>
      </c>
      <c r="B153" t="s">
        <v>402</v>
      </c>
      <c r="C153">
        <v>335</v>
      </c>
      <c r="D153" t="s">
        <v>383</v>
      </c>
      <c r="E153" t="s">
        <v>3199</v>
      </c>
      <c r="F153" t="s">
        <v>403</v>
      </c>
      <c r="G153" t="s">
        <v>4</v>
      </c>
      <c r="H153">
        <v>0</v>
      </c>
      <c r="I153">
        <v>0</v>
      </c>
      <c r="J153">
        <v>2025</v>
      </c>
      <c r="K153" t="str">
        <f>IF(Books[[#This Row],[AVERAGE RATING]]&gt;=4,"High",IF(Books[[#This Row],[AVERAGE RATING]]&gt;=3,"Medium","Low"))</f>
        <v>Low</v>
      </c>
      <c r="L153" t="str">
        <f>IF(Books[[#This Row],[AVERAGE RATING]]&gt;10000,"Popular","Average")</f>
        <v>Average</v>
      </c>
      <c r="M153">
        <f>Books[[#This Row],[AVERAGE RATING]]*Books[[#This Row],[RATINGS COUNT]]</f>
        <v>0</v>
      </c>
    </row>
    <row r="154" spans="1:13" x14ac:dyDescent="0.25">
      <c r="A154" t="s">
        <v>404</v>
      </c>
      <c r="B154" t="s">
        <v>405</v>
      </c>
      <c r="C154">
        <v>321</v>
      </c>
      <c r="D154" t="s">
        <v>406</v>
      </c>
      <c r="E154" t="s">
        <v>3200</v>
      </c>
      <c r="F154" t="s">
        <v>93</v>
      </c>
      <c r="G154" t="s">
        <v>4</v>
      </c>
      <c r="H154">
        <v>0</v>
      </c>
      <c r="I154">
        <v>0</v>
      </c>
      <c r="J154">
        <v>2018</v>
      </c>
      <c r="K154" t="str">
        <f>IF(Books[[#This Row],[AVERAGE RATING]]&gt;=4,"High",IF(Books[[#This Row],[AVERAGE RATING]]&gt;=3,"Medium","Low"))</f>
        <v>Low</v>
      </c>
      <c r="L154" t="str">
        <f>IF(Books[[#This Row],[AVERAGE RATING]]&gt;10000,"Popular","Average")</f>
        <v>Average</v>
      </c>
      <c r="M154">
        <f>Books[[#This Row],[AVERAGE RATING]]*Books[[#This Row],[RATINGS COUNT]]</f>
        <v>0</v>
      </c>
    </row>
    <row r="155" spans="1:13" x14ac:dyDescent="0.25">
      <c r="A155" t="s">
        <v>407</v>
      </c>
      <c r="B155" t="s">
        <v>398</v>
      </c>
      <c r="C155">
        <v>232</v>
      </c>
      <c r="D155" t="s">
        <v>11</v>
      </c>
      <c r="E155" t="s">
        <v>3201</v>
      </c>
      <c r="F155" t="s">
        <v>398</v>
      </c>
      <c r="G155" t="s">
        <v>4</v>
      </c>
      <c r="H155">
        <v>0</v>
      </c>
      <c r="I155">
        <v>0</v>
      </c>
      <c r="J155">
        <v>2024</v>
      </c>
      <c r="K155" t="str">
        <f>IF(Books[[#This Row],[AVERAGE RATING]]&gt;=4,"High",IF(Books[[#This Row],[AVERAGE RATING]]&gt;=3,"Medium","Low"))</f>
        <v>Low</v>
      </c>
      <c r="L155" t="str">
        <f>IF(Books[[#This Row],[AVERAGE RATING]]&gt;10000,"Popular","Average")</f>
        <v>Average</v>
      </c>
      <c r="M155">
        <f>Books[[#This Row],[AVERAGE RATING]]*Books[[#This Row],[RATINGS COUNT]]</f>
        <v>0</v>
      </c>
    </row>
    <row r="156" spans="1:13" x14ac:dyDescent="0.25">
      <c r="A156" t="s">
        <v>408</v>
      </c>
      <c r="B156" t="s">
        <v>409</v>
      </c>
      <c r="C156">
        <v>232</v>
      </c>
      <c r="D156" t="s">
        <v>11</v>
      </c>
      <c r="E156" t="s">
        <v>3202</v>
      </c>
      <c r="F156" t="s">
        <v>409</v>
      </c>
      <c r="G156" t="s">
        <v>4</v>
      </c>
      <c r="H156">
        <v>0</v>
      </c>
      <c r="I156">
        <v>0</v>
      </c>
      <c r="J156">
        <v>2023</v>
      </c>
      <c r="K156" t="str">
        <f>IF(Books[[#This Row],[AVERAGE RATING]]&gt;=4,"High",IF(Books[[#This Row],[AVERAGE RATING]]&gt;=3,"Medium","Low"))</f>
        <v>Low</v>
      </c>
      <c r="L156" t="str">
        <f>IF(Books[[#This Row],[AVERAGE RATING]]&gt;10000,"Popular","Average")</f>
        <v>Average</v>
      </c>
      <c r="M156">
        <f>Books[[#This Row],[AVERAGE RATING]]*Books[[#This Row],[RATINGS COUNT]]</f>
        <v>0</v>
      </c>
    </row>
    <row r="157" spans="1:13" x14ac:dyDescent="0.25">
      <c r="A157" t="s">
        <v>410</v>
      </c>
      <c r="B157" t="s">
        <v>411</v>
      </c>
      <c r="C157">
        <v>480</v>
      </c>
      <c r="D157" t="s">
        <v>383</v>
      </c>
      <c r="E157" t="s">
        <v>3203</v>
      </c>
      <c r="F157" t="s">
        <v>60</v>
      </c>
      <c r="G157" t="s">
        <v>4</v>
      </c>
      <c r="H157">
        <v>0</v>
      </c>
      <c r="I157">
        <v>0</v>
      </c>
      <c r="J157">
        <v>2013</v>
      </c>
      <c r="K157" t="str">
        <f>IF(Books[[#This Row],[AVERAGE RATING]]&gt;=4,"High",IF(Books[[#This Row],[AVERAGE RATING]]&gt;=3,"Medium","Low"))</f>
        <v>Low</v>
      </c>
      <c r="L157" t="str">
        <f>IF(Books[[#This Row],[AVERAGE RATING]]&gt;10000,"Popular","Average")</f>
        <v>Average</v>
      </c>
      <c r="M157">
        <f>Books[[#This Row],[AVERAGE RATING]]*Books[[#This Row],[RATINGS COUNT]]</f>
        <v>0</v>
      </c>
    </row>
    <row r="158" spans="1:13" x14ac:dyDescent="0.25">
      <c r="A158" t="s">
        <v>412</v>
      </c>
      <c r="B158" t="s">
        <v>413</v>
      </c>
      <c r="C158">
        <v>225</v>
      </c>
      <c r="D158" t="s">
        <v>11</v>
      </c>
      <c r="E158" t="s">
        <v>3204</v>
      </c>
      <c r="F158" t="s">
        <v>413</v>
      </c>
      <c r="G158" t="s">
        <v>4</v>
      </c>
      <c r="H158">
        <v>0</v>
      </c>
      <c r="I158">
        <v>0</v>
      </c>
      <c r="J158">
        <v>2025</v>
      </c>
      <c r="K158" t="str">
        <f>IF(Books[[#This Row],[AVERAGE RATING]]&gt;=4,"High",IF(Books[[#This Row],[AVERAGE RATING]]&gt;=3,"Medium","Low"))</f>
        <v>Low</v>
      </c>
      <c r="L158" t="str">
        <f>IF(Books[[#This Row],[AVERAGE RATING]]&gt;10000,"Popular","Average")</f>
        <v>Average</v>
      </c>
      <c r="M158">
        <f>Books[[#This Row],[AVERAGE RATING]]*Books[[#This Row],[RATINGS COUNT]]</f>
        <v>0</v>
      </c>
    </row>
    <row r="159" spans="1:13" x14ac:dyDescent="0.25">
      <c r="A159" t="s">
        <v>414</v>
      </c>
      <c r="B159" t="s">
        <v>398</v>
      </c>
      <c r="C159">
        <v>233</v>
      </c>
      <c r="D159" t="s">
        <v>11</v>
      </c>
      <c r="E159" t="s">
        <v>3205</v>
      </c>
      <c r="F159" t="s">
        <v>398</v>
      </c>
      <c r="G159" t="s">
        <v>4</v>
      </c>
      <c r="H159">
        <v>0</v>
      </c>
      <c r="I159">
        <v>0</v>
      </c>
      <c r="J159">
        <v>2024</v>
      </c>
      <c r="K159" t="str">
        <f>IF(Books[[#This Row],[AVERAGE RATING]]&gt;=4,"High",IF(Books[[#This Row],[AVERAGE RATING]]&gt;=3,"Medium","Low"))</f>
        <v>Low</v>
      </c>
      <c r="L159" t="str">
        <f>IF(Books[[#This Row],[AVERAGE RATING]]&gt;10000,"Popular","Average")</f>
        <v>Average</v>
      </c>
      <c r="M159">
        <f>Books[[#This Row],[AVERAGE RATING]]*Books[[#This Row],[RATINGS COUNT]]</f>
        <v>0</v>
      </c>
    </row>
    <row r="160" spans="1:13" x14ac:dyDescent="0.25">
      <c r="A160" t="s">
        <v>415</v>
      </c>
      <c r="B160" t="s">
        <v>416</v>
      </c>
      <c r="C160">
        <v>142</v>
      </c>
      <c r="D160" t="s">
        <v>94</v>
      </c>
      <c r="E160" t="s">
        <v>3099</v>
      </c>
      <c r="F160" t="s">
        <v>417</v>
      </c>
      <c r="G160" t="s">
        <v>4</v>
      </c>
      <c r="H160">
        <v>0</v>
      </c>
      <c r="I160">
        <v>0</v>
      </c>
      <c r="J160">
        <v>2005</v>
      </c>
      <c r="K160" t="str">
        <f>IF(Books[[#This Row],[AVERAGE RATING]]&gt;=4,"High",IF(Books[[#This Row],[AVERAGE RATING]]&gt;=3,"Medium","Low"))</f>
        <v>Low</v>
      </c>
      <c r="L160" t="str">
        <f>IF(Books[[#This Row],[AVERAGE RATING]]&gt;10000,"Popular","Average")</f>
        <v>Average</v>
      </c>
      <c r="M160">
        <f>Books[[#This Row],[AVERAGE RATING]]*Books[[#This Row],[RATINGS COUNT]]</f>
        <v>0</v>
      </c>
    </row>
    <row r="161" spans="1:13" x14ac:dyDescent="0.25">
      <c r="A161" t="s">
        <v>418</v>
      </c>
      <c r="B161" t="s">
        <v>419</v>
      </c>
      <c r="C161">
        <v>403</v>
      </c>
      <c r="D161" t="s">
        <v>420</v>
      </c>
      <c r="E161" t="s">
        <v>3206</v>
      </c>
      <c r="F161" t="s">
        <v>421</v>
      </c>
      <c r="G161" t="s">
        <v>4</v>
      </c>
      <c r="H161">
        <v>0</v>
      </c>
      <c r="I161">
        <v>0</v>
      </c>
      <c r="J161">
        <v>2015</v>
      </c>
      <c r="K161" t="str">
        <f>IF(Books[[#This Row],[AVERAGE RATING]]&gt;=4,"High",IF(Books[[#This Row],[AVERAGE RATING]]&gt;=3,"Medium","Low"))</f>
        <v>Low</v>
      </c>
      <c r="L161" t="str">
        <f>IF(Books[[#This Row],[AVERAGE RATING]]&gt;10000,"Popular","Average")</f>
        <v>Average</v>
      </c>
      <c r="M161">
        <f>Books[[#This Row],[AVERAGE RATING]]*Books[[#This Row],[RATINGS COUNT]]</f>
        <v>0</v>
      </c>
    </row>
    <row r="162" spans="1:13" x14ac:dyDescent="0.25">
      <c r="A162" t="s">
        <v>422</v>
      </c>
      <c r="B162" t="s">
        <v>3207</v>
      </c>
      <c r="C162">
        <v>80</v>
      </c>
      <c r="D162" t="s">
        <v>384</v>
      </c>
      <c r="E162" t="s">
        <v>3208</v>
      </c>
      <c r="F162" t="s">
        <v>423</v>
      </c>
      <c r="G162" t="s">
        <v>4</v>
      </c>
      <c r="H162">
        <v>0</v>
      </c>
      <c r="I162">
        <v>0</v>
      </c>
      <c r="J162">
        <v>1967</v>
      </c>
      <c r="K162" t="str">
        <f>IF(Books[[#This Row],[AVERAGE RATING]]&gt;=4,"High",IF(Books[[#This Row],[AVERAGE RATING]]&gt;=3,"Medium","Low"))</f>
        <v>Low</v>
      </c>
      <c r="L162" t="str">
        <f>IF(Books[[#This Row],[AVERAGE RATING]]&gt;10000,"Popular","Average")</f>
        <v>Average</v>
      </c>
      <c r="M162">
        <f>Books[[#This Row],[AVERAGE RATING]]*Books[[#This Row],[RATINGS COUNT]]</f>
        <v>0</v>
      </c>
    </row>
    <row r="163" spans="1:13" x14ac:dyDescent="0.25">
      <c r="A163" t="s">
        <v>424</v>
      </c>
      <c r="B163" t="s">
        <v>425</v>
      </c>
      <c r="C163">
        <v>332</v>
      </c>
      <c r="D163" t="s">
        <v>15</v>
      </c>
      <c r="E163" t="s">
        <v>3209</v>
      </c>
      <c r="F163" t="s">
        <v>426</v>
      </c>
      <c r="G163" t="s">
        <v>4</v>
      </c>
      <c r="H163">
        <v>0</v>
      </c>
      <c r="I163">
        <v>0</v>
      </c>
      <c r="J163">
        <v>1983</v>
      </c>
      <c r="K163" t="str">
        <f>IF(Books[[#This Row],[AVERAGE RATING]]&gt;=4,"High",IF(Books[[#This Row],[AVERAGE RATING]]&gt;=3,"Medium","Low"))</f>
        <v>Low</v>
      </c>
      <c r="L163" t="str">
        <f>IF(Books[[#This Row],[AVERAGE RATING]]&gt;10000,"Popular","Average")</f>
        <v>Average</v>
      </c>
      <c r="M163">
        <f>Books[[#This Row],[AVERAGE RATING]]*Books[[#This Row],[RATINGS COUNT]]</f>
        <v>0</v>
      </c>
    </row>
    <row r="164" spans="1:13" x14ac:dyDescent="0.25">
      <c r="A164" t="s">
        <v>427</v>
      </c>
      <c r="B164" t="s">
        <v>428</v>
      </c>
      <c r="C164">
        <v>387</v>
      </c>
      <c r="D164" t="s">
        <v>15</v>
      </c>
      <c r="E164" t="s">
        <v>3210</v>
      </c>
      <c r="F164" t="s">
        <v>429</v>
      </c>
      <c r="G164" t="s">
        <v>4</v>
      </c>
      <c r="H164">
        <v>0</v>
      </c>
      <c r="I164">
        <v>0</v>
      </c>
      <c r="J164">
        <v>2008</v>
      </c>
      <c r="K164" t="str">
        <f>IF(Books[[#This Row],[AVERAGE RATING]]&gt;=4,"High",IF(Books[[#This Row],[AVERAGE RATING]]&gt;=3,"Medium","Low"))</f>
        <v>Low</v>
      </c>
      <c r="L164" t="str">
        <f>IF(Books[[#This Row],[AVERAGE RATING]]&gt;10000,"Popular","Average")</f>
        <v>Average</v>
      </c>
      <c r="M164">
        <f>Books[[#This Row],[AVERAGE RATING]]*Books[[#This Row],[RATINGS COUNT]]</f>
        <v>0</v>
      </c>
    </row>
    <row r="165" spans="1:13" x14ac:dyDescent="0.25">
      <c r="A165" t="s">
        <v>431</v>
      </c>
      <c r="B165" t="s">
        <v>432</v>
      </c>
      <c r="C165">
        <v>576</v>
      </c>
      <c r="D165" t="s">
        <v>2</v>
      </c>
      <c r="E165" t="s">
        <v>3211</v>
      </c>
      <c r="F165" t="s">
        <v>433</v>
      </c>
      <c r="G165" t="s">
        <v>4</v>
      </c>
      <c r="H165">
        <v>0</v>
      </c>
      <c r="I165">
        <v>0</v>
      </c>
      <c r="J165">
        <v>2012</v>
      </c>
      <c r="K165" t="str">
        <f>IF(Books[[#This Row],[AVERAGE RATING]]&gt;=4,"High",IF(Books[[#This Row],[AVERAGE RATING]]&gt;=3,"Medium","Low"))</f>
        <v>Low</v>
      </c>
      <c r="L165" t="str">
        <f>IF(Books[[#This Row],[AVERAGE RATING]]&gt;10000,"Popular","Average")</f>
        <v>Average</v>
      </c>
      <c r="M165">
        <f>Books[[#This Row],[AVERAGE RATING]]*Books[[#This Row],[RATINGS COUNT]]</f>
        <v>0</v>
      </c>
    </row>
    <row r="166" spans="1:13" x14ac:dyDescent="0.25">
      <c r="A166" t="s">
        <v>434</v>
      </c>
      <c r="B166" t="s">
        <v>435</v>
      </c>
      <c r="C166">
        <v>192</v>
      </c>
      <c r="D166" t="s">
        <v>125</v>
      </c>
      <c r="E166" t="s">
        <v>3212</v>
      </c>
      <c r="F166" t="s">
        <v>435</v>
      </c>
      <c r="G166" t="s">
        <v>4</v>
      </c>
      <c r="H166">
        <v>0</v>
      </c>
      <c r="I166">
        <v>0</v>
      </c>
      <c r="J166">
        <v>2012</v>
      </c>
      <c r="K166" t="str">
        <f>IF(Books[[#This Row],[AVERAGE RATING]]&gt;=4,"High",IF(Books[[#This Row],[AVERAGE RATING]]&gt;=3,"Medium","Low"))</f>
        <v>Low</v>
      </c>
      <c r="L166" t="str">
        <f>IF(Books[[#This Row],[AVERAGE RATING]]&gt;10000,"Popular","Average")</f>
        <v>Average</v>
      </c>
      <c r="M166">
        <f>Books[[#This Row],[AVERAGE RATING]]*Books[[#This Row],[RATINGS COUNT]]</f>
        <v>0</v>
      </c>
    </row>
    <row r="167" spans="1:13" x14ac:dyDescent="0.25">
      <c r="A167" t="s">
        <v>436</v>
      </c>
      <c r="B167" t="s">
        <v>409</v>
      </c>
      <c r="C167">
        <v>279</v>
      </c>
      <c r="D167" t="s">
        <v>11</v>
      </c>
      <c r="E167" t="s">
        <v>3213</v>
      </c>
      <c r="F167" t="s">
        <v>409</v>
      </c>
      <c r="G167" t="s">
        <v>4</v>
      </c>
      <c r="H167">
        <v>0</v>
      </c>
      <c r="I167">
        <v>0</v>
      </c>
      <c r="J167">
        <v>2024</v>
      </c>
      <c r="K167" t="str">
        <f>IF(Books[[#This Row],[AVERAGE RATING]]&gt;=4,"High",IF(Books[[#This Row],[AVERAGE RATING]]&gt;=3,"Medium","Low"))</f>
        <v>Low</v>
      </c>
      <c r="L167" t="str">
        <f>IF(Books[[#This Row],[AVERAGE RATING]]&gt;10000,"Popular","Average")</f>
        <v>Average</v>
      </c>
      <c r="M167">
        <f>Books[[#This Row],[AVERAGE RATING]]*Books[[#This Row],[RATINGS COUNT]]</f>
        <v>0</v>
      </c>
    </row>
    <row r="168" spans="1:13" x14ac:dyDescent="0.25">
      <c r="A168" t="s">
        <v>437</v>
      </c>
      <c r="B168" t="s">
        <v>438</v>
      </c>
      <c r="C168">
        <v>208</v>
      </c>
      <c r="D168" t="s">
        <v>11</v>
      </c>
      <c r="E168" t="s">
        <v>3214</v>
      </c>
      <c r="F168" t="s">
        <v>439</v>
      </c>
      <c r="G168" t="s">
        <v>4</v>
      </c>
      <c r="H168">
        <v>0</v>
      </c>
      <c r="I168">
        <v>0</v>
      </c>
      <c r="J168">
        <v>2017</v>
      </c>
      <c r="K168" t="str">
        <f>IF(Books[[#This Row],[AVERAGE RATING]]&gt;=4,"High",IF(Books[[#This Row],[AVERAGE RATING]]&gt;=3,"Medium","Low"))</f>
        <v>Low</v>
      </c>
      <c r="L168" t="str">
        <f>IF(Books[[#This Row],[AVERAGE RATING]]&gt;10000,"Popular","Average")</f>
        <v>Average</v>
      </c>
      <c r="M168">
        <f>Books[[#This Row],[AVERAGE RATING]]*Books[[#This Row],[RATINGS COUNT]]</f>
        <v>0</v>
      </c>
    </row>
    <row r="169" spans="1:13" x14ac:dyDescent="0.25">
      <c r="A169" t="s">
        <v>440</v>
      </c>
      <c r="B169" t="s">
        <v>441</v>
      </c>
      <c r="C169">
        <v>307</v>
      </c>
      <c r="D169" t="s">
        <v>28</v>
      </c>
      <c r="E169" t="s">
        <v>3215</v>
      </c>
      <c r="F169" t="s">
        <v>119</v>
      </c>
      <c r="G169" t="s">
        <v>4</v>
      </c>
      <c r="H169">
        <v>0</v>
      </c>
      <c r="I169">
        <v>0</v>
      </c>
      <c r="J169">
        <v>2023</v>
      </c>
      <c r="K169" t="str">
        <f>IF(Books[[#This Row],[AVERAGE RATING]]&gt;=4,"High",IF(Books[[#This Row],[AVERAGE RATING]]&gt;=3,"Medium","Low"))</f>
        <v>Low</v>
      </c>
      <c r="L169" t="str">
        <f>IF(Books[[#This Row],[AVERAGE RATING]]&gt;10000,"Popular","Average")</f>
        <v>Average</v>
      </c>
      <c r="M169">
        <f>Books[[#This Row],[AVERAGE RATING]]*Books[[#This Row],[RATINGS COUNT]]</f>
        <v>0</v>
      </c>
    </row>
    <row r="170" spans="1:13" x14ac:dyDescent="0.25">
      <c r="A170" t="s">
        <v>442</v>
      </c>
      <c r="B170" t="s">
        <v>438</v>
      </c>
      <c r="C170">
        <v>290</v>
      </c>
      <c r="D170" t="s">
        <v>11</v>
      </c>
      <c r="E170" t="s">
        <v>3216</v>
      </c>
      <c r="F170" t="s">
        <v>439</v>
      </c>
      <c r="G170" t="s">
        <v>4</v>
      </c>
      <c r="H170">
        <v>0</v>
      </c>
      <c r="I170">
        <v>0</v>
      </c>
      <c r="J170">
        <v>2016</v>
      </c>
      <c r="K170" t="str">
        <f>IF(Books[[#This Row],[AVERAGE RATING]]&gt;=4,"High",IF(Books[[#This Row],[AVERAGE RATING]]&gt;=3,"Medium","Low"))</f>
        <v>Low</v>
      </c>
      <c r="L170" t="str">
        <f>IF(Books[[#This Row],[AVERAGE RATING]]&gt;10000,"Popular","Average")</f>
        <v>Average</v>
      </c>
      <c r="M170">
        <f>Books[[#This Row],[AVERAGE RATING]]*Books[[#This Row],[RATINGS COUNT]]</f>
        <v>0</v>
      </c>
    </row>
    <row r="171" spans="1:13" x14ac:dyDescent="0.25">
      <c r="A171" t="s">
        <v>443</v>
      </c>
      <c r="B171" t="s">
        <v>438</v>
      </c>
      <c r="C171">
        <v>347</v>
      </c>
      <c r="D171" t="s">
        <v>11</v>
      </c>
      <c r="E171" t="s">
        <v>3217</v>
      </c>
      <c r="F171" t="s">
        <v>444</v>
      </c>
      <c r="G171" t="s">
        <v>4</v>
      </c>
      <c r="H171">
        <v>0</v>
      </c>
      <c r="I171">
        <v>0</v>
      </c>
      <c r="J171">
        <v>2016</v>
      </c>
      <c r="K171" t="str">
        <f>IF(Books[[#This Row],[AVERAGE RATING]]&gt;=4,"High",IF(Books[[#This Row],[AVERAGE RATING]]&gt;=3,"Medium","Low"))</f>
        <v>Low</v>
      </c>
      <c r="L171" t="str">
        <f>IF(Books[[#This Row],[AVERAGE RATING]]&gt;10000,"Popular","Average")</f>
        <v>Average</v>
      </c>
      <c r="M171">
        <f>Books[[#This Row],[AVERAGE RATING]]*Books[[#This Row],[RATINGS COUNT]]</f>
        <v>0</v>
      </c>
    </row>
    <row r="172" spans="1:13" x14ac:dyDescent="0.25">
      <c r="A172" t="s">
        <v>445</v>
      </c>
      <c r="B172" t="s">
        <v>446</v>
      </c>
      <c r="C172">
        <v>372</v>
      </c>
      <c r="D172" t="s">
        <v>32</v>
      </c>
      <c r="E172" t="s">
        <v>3101</v>
      </c>
      <c r="F172" t="s">
        <v>46</v>
      </c>
      <c r="G172" t="s">
        <v>4</v>
      </c>
      <c r="H172">
        <v>0</v>
      </c>
      <c r="I172">
        <v>0</v>
      </c>
      <c r="J172">
        <v>2000</v>
      </c>
      <c r="K172" t="str">
        <f>IF(Books[[#This Row],[AVERAGE RATING]]&gt;=4,"High",IF(Books[[#This Row],[AVERAGE RATING]]&gt;=3,"Medium","Low"))</f>
        <v>Low</v>
      </c>
      <c r="L172" t="str">
        <f>IF(Books[[#This Row],[AVERAGE RATING]]&gt;10000,"Popular","Average")</f>
        <v>Average</v>
      </c>
      <c r="M172">
        <f>Books[[#This Row],[AVERAGE RATING]]*Books[[#This Row],[RATINGS COUNT]]</f>
        <v>0</v>
      </c>
    </row>
    <row r="173" spans="1:13" x14ac:dyDescent="0.25">
      <c r="A173" t="s">
        <v>447</v>
      </c>
      <c r="B173" t="s">
        <v>413</v>
      </c>
      <c r="C173">
        <v>245</v>
      </c>
      <c r="D173" t="s">
        <v>11</v>
      </c>
      <c r="E173" t="s">
        <v>3218</v>
      </c>
      <c r="F173" t="s">
        <v>413</v>
      </c>
      <c r="G173" t="s">
        <v>4</v>
      </c>
      <c r="H173">
        <v>0</v>
      </c>
      <c r="I173">
        <v>0</v>
      </c>
      <c r="J173">
        <v>2024</v>
      </c>
      <c r="K173" t="str">
        <f>IF(Books[[#This Row],[AVERAGE RATING]]&gt;=4,"High",IF(Books[[#This Row],[AVERAGE RATING]]&gt;=3,"Medium","Low"))</f>
        <v>Low</v>
      </c>
      <c r="L173" t="str">
        <f>IF(Books[[#This Row],[AVERAGE RATING]]&gt;10000,"Popular","Average")</f>
        <v>Average</v>
      </c>
      <c r="M173">
        <f>Books[[#This Row],[AVERAGE RATING]]*Books[[#This Row],[RATINGS COUNT]]</f>
        <v>0</v>
      </c>
    </row>
    <row r="174" spans="1:13" x14ac:dyDescent="0.25">
      <c r="A174" t="s">
        <v>448</v>
      </c>
      <c r="B174" t="s">
        <v>449</v>
      </c>
      <c r="C174">
        <v>41</v>
      </c>
      <c r="D174" t="s">
        <v>79</v>
      </c>
      <c r="E174" t="s">
        <v>3219</v>
      </c>
      <c r="F174" t="s">
        <v>450</v>
      </c>
      <c r="G174" t="s">
        <v>4</v>
      </c>
      <c r="H174">
        <v>0</v>
      </c>
      <c r="I174">
        <v>0</v>
      </c>
      <c r="J174">
        <v>2017</v>
      </c>
      <c r="K174" t="str">
        <f>IF(Books[[#This Row],[AVERAGE RATING]]&gt;=4,"High",IF(Books[[#This Row],[AVERAGE RATING]]&gt;=3,"Medium","Low"))</f>
        <v>Low</v>
      </c>
      <c r="L174" t="str">
        <f>IF(Books[[#This Row],[AVERAGE RATING]]&gt;10000,"Popular","Average")</f>
        <v>Average</v>
      </c>
      <c r="M174">
        <f>Books[[#This Row],[AVERAGE RATING]]*Books[[#This Row],[RATINGS COUNT]]</f>
        <v>0</v>
      </c>
    </row>
    <row r="175" spans="1:13" x14ac:dyDescent="0.25">
      <c r="A175" t="s">
        <v>451</v>
      </c>
      <c r="B175" t="s">
        <v>452</v>
      </c>
      <c r="C175">
        <v>49</v>
      </c>
      <c r="D175" t="s">
        <v>453</v>
      </c>
      <c r="E175" t="s">
        <v>3220</v>
      </c>
      <c r="F175" t="s">
        <v>454</v>
      </c>
      <c r="G175" t="s">
        <v>4</v>
      </c>
      <c r="H175">
        <v>0</v>
      </c>
      <c r="I175">
        <v>0</v>
      </c>
      <c r="J175">
        <v>2017</v>
      </c>
      <c r="K175" t="str">
        <f>IF(Books[[#This Row],[AVERAGE RATING]]&gt;=4,"High",IF(Books[[#This Row],[AVERAGE RATING]]&gt;=3,"Medium","Low"))</f>
        <v>Low</v>
      </c>
      <c r="L175" t="str">
        <f>IF(Books[[#This Row],[AVERAGE RATING]]&gt;10000,"Popular","Average")</f>
        <v>Average</v>
      </c>
      <c r="M175">
        <f>Books[[#This Row],[AVERAGE RATING]]*Books[[#This Row],[RATINGS COUNT]]</f>
        <v>0</v>
      </c>
    </row>
    <row r="176" spans="1:13" x14ac:dyDescent="0.25">
      <c r="A176" t="s">
        <v>455</v>
      </c>
      <c r="B176" t="s">
        <v>456</v>
      </c>
      <c r="C176">
        <v>424</v>
      </c>
      <c r="D176" t="s">
        <v>63</v>
      </c>
      <c r="E176" t="s">
        <v>3116</v>
      </c>
      <c r="F176" t="s">
        <v>457</v>
      </c>
      <c r="G176" t="s">
        <v>4</v>
      </c>
      <c r="H176">
        <v>4</v>
      </c>
      <c r="I176">
        <v>6</v>
      </c>
      <c r="J176">
        <v>2002</v>
      </c>
      <c r="K176" t="str">
        <f>IF(Books[[#This Row],[AVERAGE RATING]]&gt;=4,"High",IF(Books[[#This Row],[AVERAGE RATING]]&gt;=3,"Medium","Low"))</f>
        <v>High</v>
      </c>
      <c r="L176" t="str">
        <f>IF(Books[[#This Row],[AVERAGE RATING]]&gt;10000,"Popular","Average")</f>
        <v>Average</v>
      </c>
      <c r="M176">
        <f>Books[[#This Row],[AVERAGE RATING]]*Books[[#This Row],[RATINGS COUNT]]</f>
        <v>24</v>
      </c>
    </row>
    <row r="177" spans="1:13" x14ac:dyDescent="0.25">
      <c r="A177" t="s">
        <v>458</v>
      </c>
      <c r="B177" t="s">
        <v>459</v>
      </c>
      <c r="C177">
        <v>371</v>
      </c>
      <c r="D177" t="s">
        <v>144</v>
      </c>
      <c r="E177" t="s">
        <v>3221</v>
      </c>
      <c r="F177" t="s">
        <v>460</v>
      </c>
      <c r="G177" t="s">
        <v>4</v>
      </c>
      <c r="H177">
        <v>0</v>
      </c>
      <c r="I177">
        <v>0</v>
      </c>
      <c r="J177">
        <v>2008</v>
      </c>
      <c r="K177" t="str">
        <f>IF(Books[[#This Row],[AVERAGE RATING]]&gt;=4,"High",IF(Books[[#This Row],[AVERAGE RATING]]&gt;=3,"Medium","Low"))</f>
        <v>Low</v>
      </c>
      <c r="L177" t="str">
        <f>IF(Books[[#This Row],[AVERAGE RATING]]&gt;10000,"Popular","Average")</f>
        <v>Average</v>
      </c>
      <c r="M177">
        <f>Books[[#This Row],[AVERAGE RATING]]*Books[[#This Row],[RATINGS COUNT]]</f>
        <v>0</v>
      </c>
    </row>
    <row r="178" spans="1:13" x14ac:dyDescent="0.25">
      <c r="A178" t="s">
        <v>461</v>
      </c>
      <c r="B178" t="s">
        <v>462</v>
      </c>
      <c r="C178">
        <v>161</v>
      </c>
      <c r="D178" t="s">
        <v>45</v>
      </c>
      <c r="E178" t="s">
        <v>3222</v>
      </c>
      <c r="F178" t="s">
        <v>35</v>
      </c>
      <c r="G178" t="s">
        <v>4</v>
      </c>
      <c r="H178">
        <v>0</v>
      </c>
      <c r="I178">
        <v>0</v>
      </c>
      <c r="J178">
        <v>2002</v>
      </c>
      <c r="K178" t="str">
        <f>IF(Books[[#This Row],[AVERAGE RATING]]&gt;=4,"High",IF(Books[[#This Row],[AVERAGE RATING]]&gt;=3,"Medium","Low"))</f>
        <v>Low</v>
      </c>
      <c r="L178" t="str">
        <f>IF(Books[[#This Row],[AVERAGE RATING]]&gt;10000,"Popular","Average")</f>
        <v>Average</v>
      </c>
      <c r="M178">
        <f>Books[[#This Row],[AVERAGE RATING]]*Books[[#This Row],[RATINGS COUNT]]</f>
        <v>0</v>
      </c>
    </row>
    <row r="179" spans="1:13" x14ac:dyDescent="0.25">
      <c r="A179" t="s">
        <v>463</v>
      </c>
      <c r="B179" t="s">
        <v>464</v>
      </c>
      <c r="C179">
        <v>657</v>
      </c>
      <c r="D179" t="s">
        <v>38</v>
      </c>
      <c r="E179" t="s">
        <v>3065</v>
      </c>
      <c r="F179" t="s">
        <v>39</v>
      </c>
      <c r="G179" t="s">
        <v>4</v>
      </c>
      <c r="H179">
        <v>0</v>
      </c>
      <c r="I179">
        <v>0</v>
      </c>
      <c r="J179">
        <v>2017</v>
      </c>
      <c r="K179" t="str">
        <f>IF(Books[[#This Row],[AVERAGE RATING]]&gt;=4,"High",IF(Books[[#This Row],[AVERAGE RATING]]&gt;=3,"Medium","Low"))</f>
        <v>Low</v>
      </c>
      <c r="L179" t="str">
        <f>IF(Books[[#This Row],[AVERAGE RATING]]&gt;10000,"Popular","Average")</f>
        <v>Average</v>
      </c>
      <c r="M179">
        <f>Books[[#This Row],[AVERAGE RATING]]*Books[[#This Row],[RATINGS COUNT]]</f>
        <v>0</v>
      </c>
    </row>
    <row r="180" spans="1:13" x14ac:dyDescent="0.25">
      <c r="A180" t="s">
        <v>465</v>
      </c>
      <c r="B180" t="s">
        <v>466</v>
      </c>
      <c r="C180">
        <v>496</v>
      </c>
      <c r="D180" t="s">
        <v>467</v>
      </c>
      <c r="E180" t="s">
        <v>3144</v>
      </c>
      <c r="F180" t="s">
        <v>468</v>
      </c>
      <c r="G180" t="s">
        <v>4</v>
      </c>
      <c r="H180">
        <v>0</v>
      </c>
      <c r="I180">
        <v>0</v>
      </c>
      <c r="J180">
        <v>2008</v>
      </c>
      <c r="K180" t="str">
        <f>IF(Books[[#This Row],[AVERAGE RATING]]&gt;=4,"High",IF(Books[[#This Row],[AVERAGE RATING]]&gt;=3,"Medium","Low"))</f>
        <v>Low</v>
      </c>
      <c r="L180" t="str">
        <f>IF(Books[[#This Row],[AVERAGE RATING]]&gt;10000,"Popular","Average")</f>
        <v>Average</v>
      </c>
      <c r="M180">
        <f>Books[[#This Row],[AVERAGE RATING]]*Books[[#This Row],[RATINGS COUNT]]</f>
        <v>0</v>
      </c>
    </row>
    <row r="181" spans="1:13" x14ac:dyDescent="0.25">
      <c r="A181" t="s">
        <v>469</v>
      </c>
      <c r="B181" t="s">
        <v>470</v>
      </c>
      <c r="C181">
        <v>281</v>
      </c>
      <c r="D181" t="s">
        <v>85</v>
      </c>
      <c r="E181" t="s">
        <v>3223</v>
      </c>
      <c r="F181" t="s">
        <v>433</v>
      </c>
      <c r="G181" t="s">
        <v>4</v>
      </c>
      <c r="H181">
        <v>0</v>
      </c>
      <c r="I181">
        <v>0</v>
      </c>
      <c r="J181">
        <v>2018</v>
      </c>
      <c r="K181" t="str">
        <f>IF(Books[[#This Row],[AVERAGE RATING]]&gt;=4,"High",IF(Books[[#This Row],[AVERAGE RATING]]&gt;=3,"Medium","Low"))</f>
        <v>Low</v>
      </c>
      <c r="L181" t="str">
        <f>IF(Books[[#This Row],[AVERAGE RATING]]&gt;10000,"Popular","Average")</f>
        <v>Average</v>
      </c>
      <c r="M181">
        <f>Books[[#This Row],[AVERAGE RATING]]*Books[[#This Row],[RATINGS COUNT]]</f>
        <v>0</v>
      </c>
    </row>
    <row r="182" spans="1:13" x14ac:dyDescent="0.25">
      <c r="A182" t="s">
        <v>471</v>
      </c>
      <c r="B182" t="s">
        <v>472</v>
      </c>
      <c r="C182">
        <v>298</v>
      </c>
      <c r="D182" t="s">
        <v>38</v>
      </c>
      <c r="E182" t="s">
        <v>3224</v>
      </c>
      <c r="F182" t="s">
        <v>473</v>
      </c>
      <c r="G182" t="s">
        <v>4</v>
      </c>
      <c r="H182">
        <v>5</v>
      </c>
      <c r="I182">
        <v>1</v>
      </c>
      <c r="J182">
        <v>2010</v>
      </c>
      <c r="K182" t="str">
        <f>IF(Books[[#This Row],[AVERAGE RATING]]&gt;=4,"High",IF(Books[[#This Row],[AVERAGE RATING]]&gt;=3,"Medium","Low"))</f>
        <v>High</v>
      </c>
      <c r="L182" t="str">
        <f>IF(Books[[#This Row],[AVERAGE RATING]]&gt;10000,"Popular","Average")</f>
        <v>Average</v>
      </c>
      <c r="M182">
        <f>Books[[#This Row],[AVERAGE RATING]]*Books[[#This Row],[RATINGS COUNT]]</f>
        <v>5</v>
      </c>
    </row>
    <row r="183" spans="1:13" x14ac:dyDescent="0.25">
      <c r="A183" t="s">
        <v>474</v>
      </c>
      <c r="B183" t="s">
        <v>475</v>
      </c>
      <c r="C183">
        <v>271</v>
      </c>
      <c r="D183" t="s">
        <v>476</v>
      </c>
      <c r="E183" t="s">
        <v>3225</v>
      </c>
      <c r="F183" t="s">
        <v>35</v>
      </c>
      <c r="G183" t="s">
        <v>4</v>
      </c>
      <c r="H183">
        <v>0</v>
      </c>
      <c r="I183">
        <v>0</v>
      </c>
      <c r="J183">
        <v>2016</v>
      </c>
      <c r="K183" t="str">
        <f>IF(Books[[#This Row],[AVERAGE RATING]]&gt;=4,"High",IF(Books[[#This Row],[AVERAGE RATING]]&gt;=3,"Medium","Low"))</f>
        <v>Low</v>
      </c>
      <c r="L183" t="str">
        <f>IF(Books[[#This Row],[AVERAGE RATING]]&gt;10000,"Popular","Average")</f>
        <v>Average</v>
      </c>
      <c r="M183">
        <f>Books[[#This Row],[AVERAGE RATING]]*Books[[#This Row],[RATINGS COUNT]]</f>
        <v>0</v>
      </c>
    </row>
    <row r="184" spans="1:13" x14ac:dyDescent="0.25">
      <c r="A184" t="s">
        <v>477</v>
      </c>
      <c r="B184" t="s">
        <v>478</v>
      </c>
      <c r="C184">
        <v>290</v>
      </c>
      <c r="D184" t="s">
        <v>38</v>
      </c>
      <c r="E184" t="s">
        <v>3226</v>
      </c>
      <c r="F184" t="s">
        <v>479</v>
      </c>
      <c r="G184" t="s">
        <v>4</v>
      </c>
      <c r="H184">
        <v>5</v>
      </c>
      <c r="I184">
        <v>1</v>
      </c>
      <c r="J184">
        <v>2010</v>
      </c>
      <c r="K184" t="str">
        <f>IF(Books[[#This Row],[AVERAGE RATING]]&gt;=4,"High",IF(Books[[#This Row],[AVERAGE RATING]]&gt;=3,"Medium","Low"))</f>
        <v>High</v>
      </c>
      <c r="L184" t="str">
        <f>IF(Books[[#This Row],[AVERAGE RATING]]&gt;10000,"Popular","Average")</f>
        <v>Average</v>
      </c>
      <c r="M184">
        <f>Books[[#This Row],[AVERAGE RATING]]*Books[[#This Row],[RATINGS COUNT]]</f>
        <v>5</v>
      </c>
    </row>
    <row r="185" spans="1:13" x14ac:dyDescent="0.25">
      <c r="A185" t="s">
        <v>480</v>
      </c>
      <c r="B185" t="s">
        <v>481</v>
      </c>
      <c r="C185">
        <v>286</v>
      </c>
      <c r="D185" t="s">
        <v>38</v>
      </c>
      <c r="E185" t="s">
        <v>3227</v>
      </c>
      <c r="F185" t="s">
        <v>168</v>
      </c>
      <c r="G185" t="s">
        <v>4</v>
      </c>
      <c r="H185">
        <v>0</v>
      </c>
      <c r="I185">
        <v>0</v>
      </c>
      <c r="J185">
        <v>2017</v>
      </c>
      <c r="K185" t="str">
        <f>IF(Books[[#This Row],[AVERAGE RATING]]&gt;=4,"High",IF(Books[[#This Row],[AVERAGE RATING]]&gt;=3,"Medium","Low"))</f>
        <v>Low</v>
      </c>
      <c r="L185" t="str">
        <f>IF(Books[[#This Row],[AVERAGE RATING]]&gt;10000,"Popular","Average")</f>
        <v>Average</v>
      </c>
      <c r="M185">
        <f>Books[[#This Row],[AVERAGE RATING]]*Books[[#This Row],[RATINGS COUNT]]</f>
        <v>0</v>
      </c>
    </row>
    <row r="186" spans="1:13" x14ac:dyDescent="0.25">
      <c r="A186" t="s">
        <v>482</v>
      </c>
      <c r="B186" t="s">
        <v>483</v>
      </c>
      <c r="C186">
        <v>293</v>
      </c>
      <c r="D186" t="s">
        <v>15</v>
      </c>
      <c r="E186" t="s">
        <v>3080</v>
      </c>
      <c r="F186" t="s">
        <v>64</v>
      </c>
      <c r="G186" t="s">
        <v>4</v>
      </c>
      <c r="H186">
        <v>0</v>
      </c>
      <c r="I186">
        <v>0</v>
      </c>
      <c r="J186">
        <v>2012</v>
      </c>
      <c r="K186" t="str">
        <f>IF(Books[[#This Row],[AVERAGE RATING]]&gt;=4,"High",IF(Books[[#This Row],[AVERAGE RATING]]&gt;=3,"Medium","Low"))</f>
        <v>Low</v>
      </c>
      <c r="L186" t="str">
        <f>IF(Books[[#This Row],[AVERAGE RATING]]&gt;10000,"Popular","Average")</f>
        <v>Average</v>
      </c>
      <c r="M186">
        <f>Books[[#This Row],[AVERAGE RATING]]*Books[[#This Row],[RATINGS COUNT]]</f>
        <v>0</v>
      </c>
    </row>
    <row r="187" spans="1:13" x14ac:dyDescent="0.25">
      <c r="A187" t="s">
        <v>484</v>
      </c>
      <c r="B187" t="s">
        <v>485</v>
      </c>
      <c r="C187">
        <v>259</v>
      </c>
      <c r="D187" t="s">
        <v>207</v>
      </c>
      <c r="E187" t="s">
        <v>3228</v>
      </c>
      <c r="F187" t="s">
        <v>485</v>
      </c>
      <c r="G187" t="s">
        <v>4</v>
      </c>
      <c r="H187">
        <v>0</v>
      </c>
      <c r="I187">
        <v>0</v>
      </c>
      <c r="J187">
        <v>2014</v>
      </c>
      <c r="K187" t="str">
        <f>IF(Books[[#This Row],[AVERAGE RATING]]&gt;=4,"High",IF(Books[[#This Row],[AVERAGE RATING]]&gt;=3,"Medium","Low"))</f>
        <v>Low</v>
      </c>
      <c r="L187" t="str">
        <f>IF(Books[[#This Row],[AVERAGE RATING]]&gt;10000,"Popular","Average")</f>
        <v>Average</v>
      </c>
      <c r="M187">
        <f>Books[[#This Row],[AVERAGE RATING]]*Books[[#This Row],[RATINGS COUNT]]</f>
        <v>0</v>
      </c>
    </row>
    <row r="188" spans="1:13" x14ac:dyDescent="0.25">
      <c r="A188" t="s">
        <v>486</v>
      </c>
      <c r="B188" t="s">
        <v>487</v>
      </c>
      <c r="C188">
        <v>402</v>
      </c>
      <c r="D188" t="s">
        <v>45</v>
      </c>
      <c r="E188" t="s">
        <v>3144</v>
      </c>
      <c r="F188" t="s">
        <v>276</v>
      </c>
      <c r="G188" t="s">
        <v>4</v>
      </c>
      <c r="H188">
        <v>0</v>
      </c>
      <c r="I188">
        <v>0</v>
      </c>
      <c r="J188">
        <v>2008</v>
      </c>
      <c r="K188" t="str">
        <f>IF(Books[[#This Row],[AVERAGE RATING]]&gt;=4,"High",IF(Books[[#This Row],[AVERAGE RATING]]&gt;=3,"Medium","Low"))</f>
        <v>Low</v>
      </c>
      <c r="L188" t="str">
        <f>IF(Books[[#This Row],[AVERAGE RATING]]&gt;10000,"Popular","Average")</f>
        <v>Average</v>
      </c>
      <c r="M188">
        <f>Books[[#This Row],[AVERAGE RATING]]*Books[[#This Row],[RATINGS COUNT]]</f>
        <v>0</v>
      </c>
    </row>
    <row r="189" spans="1:13" x14ac:dyDescent="0.25">
      <c r="A189" t="s">
        <v>488</v>
      </c>
      <c r="B189" t="s">
        <v>489</v>
      </c>
      <c r="C189">
        <v>334</v>
      </c>
      <c r="D189" t="s">
        <v>38</v>
      </c>
      <c r="E189" t="s">
        <v>3229</v>
      </c>
      <c r="F189" t="s">
        <v>122</v>
      </c>
      <c r="G189" t="s">
        <v>4</v>
      </c>
      <c r="H189">
        <v>0</v>
      </c>
      <c r="I189">
        <v>0</v>
      </c>
      <c r="J189">
        <v>1983</v>
      </c>
      <c r="K189" t="str">
        <f>IF(Books[[#This Row],[AVERAGE RATING]]&gt;=4,"High",IF(Books[[#This Row],[AVERAGE RATING]]&gt;=3,"Medium","Low"))</f>
        <v>Low</v>
      </c>
      <c r="L189" t="str">
        <f>IF(Books[[#This Row],[AVERAGE RATING]]&gt;10000,"Popular","Average")</f>
        <v>Average</v>
      </c>
      <c r="M189">
        <f>Books[[#This Row],[AVERAGE RATING]]*Books[[#This Row],[RATINGS COUNT]]</f>
        <v>0</v>
      </c>
    </row>
    <row r="190" spans="1:13" x14ac:dyDescent="0.25">
      <c r="A190" t="s">
        <v>490</v>
      </c>
      <c r="B190" t="s">
        <v>491</v>
      </c>
      <c r="C190">
        <v>131</v>
      </c>
      <c r="D190" t="s">
        <v>207</v>
      </c>
      <c r="E190" t="s">
        <v>3230</v>
      </c>
      <c r="F190" t="s">
        <v>492</v>
      </c>
      <c r="G190" t="s">
        <v>4</v>
      </c>
      <c r="H190">
        <v>0</v>
      </c>
      <c r="I190">
        <v>0</v>
      </c>
      <c r="J190">
        <v>2012</v>
      </c>
      <c r="K190" t="str">
        <f>IF(Books[[#This Row],[AVERAGE RATING]]&gt;=4,"High",IF(Books[[#This Row],[AVERAGE RATING]]&gt;=3,"Medium","Low"))</f>
        <v>Low</v>
      </c>
      <c r="L190" t="str">
        <f>IF(Books[[#This Row],[AVERAGE RATING]]&gt;10000,"Popular","Average")</f>
        <v>Average</v>
      </c>
      <c r="M190">
        <f>Books[[#This Row],[AVERAGE RATING]]*Books[[#This Row],[RATINGS COUNT]]</f>
        <v>0</v>
      </c>
    </row>
    <row r="191" spans="1:13" x14ac:dyDescent="0.25">
      <c r="A191" t="s">
        <v>493</v>
      </c>
      <c r="B191" t="s">
        <v>494</v>
      </c>
      <c r="C191">
        <v>214</v>
      </c>
      <c r="D191" t="s">
        <v>38</v>
      </c>
      <c r="E191" t="s">
        <v>3231</v>
      </c>
      <c r="F191" t="s">
        <v>119</v>
      </c>
      <c r="G191" t="s">
        <v>4</v>
      </c>
      <c r="H191">
        <v>0</v>
      </c>
      <c r="I191">
        <v>0</v>
      </c>
      <c r="J191">
        <v>2023</v>
      </c>
      <c r="K191" t="str">
        <f>IF(Books[[#This Row],[AVERAGE RATING]]&gt;=4,"High",IF(Books[[#This Row],[AVERAGE RATING]]&gt;=3,"Medium","Low"))</f>
        <v>Low</v>
      </c>
      <c r="L191" t="str">
        <f>IF(Books[[#This Row],[AVERAGE RATING]]&gt;10000,"Popular","Average")</f>
        <v>Average</v>
      </c>
      <c r="M191">
        <f>Books[[#This Row],[AVERAGE RATING]]*Books[[#This Row],[RATINGS COUNT]]</f>
        <v>0</v>
      </c>
    </row>
    <row r="192" spans="1:13" x14ac:dyDescent="0.25">
      <c r="A192" t="s">
        <v>495</v>
      </c>
      <c r="B192" t="s">
        <v>496</v>
      </c>
      <c r="C192">
        <v>295</v>
      </c>
      <c r="D192" t="s">
        <v>38</v>
      </c>
      <c r="E192" t="s">
        <v>3232</v>
      </c>
      <c r="F192" t="s">
        <v>132</v>
      </c>
      <c r="G192" t="s">
        <v>4</v>
      </c>
      <c r="H192">
        <v>0</v>
      </c>
      <c r="I192">
        <v>0</v>
      </c>
      <c r="J192">
        <v>2024</v>
      </c>
      <c r="K192" t="str">
        <f>IF(Books[[#This Row],[AVERAGE RATING]]&gt;=4,"High",IF(Books[[#This Row],[AVERAGE RATING]]&gt;=3,"Medium","Low"))</f>
        <v>Low</v>
      </c>
      <c r="L192" t="str">
        <f>IF(Books[[#This Row],[AVERAGE RATING]]&gt;10000,"Popular","Average")</f>
        <v>Average</v>
      </c>
      <c r="M192">
        <f>Books[[#This Row],[AVERAGE RATING]]*Books[[#This Row],[RATINGS COUNT]]</f>
        <v>0</v>
      </c>
    </row>
    <row r="193" spans="1:13" x14ac:dyDescent="0.25">
      <c r="A193" t="s">
        <v>497</v>
      </c>
      <c r="B193" t="s">
        <v>498</v>
      </c>
      <c r="C193">
        <v>264</v>
      </c>
      <c r="D193" t="s">
        <v>32</v>
      </c>
      <c r="E193" t="s">
        <v>3101</v>
      </c>
      <c r="F193" t="s">
        <v>46</v>
      </c>
      <c r="G193" t="s">
        <v>4</v>
      </c>
      <c r="H193">
        <v>0</v>
      </c>
      <c r="I193">
        <v>0</v>
      </c>
      <c r="J193">
        <v>2000</v>
      </c>
      <c r="K193" t="str">
        <f>IF(Books[[#This Row],[AVERAGE RATING]]&gt;=4,"High",IF(Books[[#This Row],[AVERAGE RATING]]&gt;=3,"Medium","Low"))</f>
        <v>Low</v>
      </c>
      <c r="L193" t="str">
        <f>IF(Books[[#This Row],[AVERAGE RATING]]&gt;10000,"Popular","Average")</f>
        <v>Average</v>
      </c>
      <c r="M193">
        <f>Books[[#This Row],[AVERAGE RATING]]*Books[[#This Row],[RATINGS COUNT]]</f>
        <v>0</v>
      </c>
    </row>
    <row r="194" spans="1:13" x14ac:dyDescent="0.25">
      <c r="A194" t="s">
        <v>499</v>
      </c>
      <c r="B194" t="s">
        <v>500</v>
      </c>
      <c r="C194">
        <v>340</v>
      </c>
      <c r="D194" t="s">
        <v>38</v>
      </c>
      <c r="E194" t="s">
        <v>3233</v>
      </c>
      <c r="F194" t="s">
        <v>132</v>
      </c>
      <c r="G194" t="s">
        <v>4</v>
      </c>
      <c r="H194">
        <v>0</v>
      </c>
      <c r="I194">
        <v>0</v>
      </c>
      <c r="J194">
        <v>2002</v>
      </c>
      <c r="K194" t="str">
        <f>IF(Books[[#This Row],[AVERAGE RATING]]&gt;=4,"High",IF(Books[[#This Row],[AVERAGE RATING]]&gt;=3,"Medium","Low"))</f>
        <v>Low</v>
      </c>
      <c r="L194" t="str">
        <f>IF(Books[[#This Row],[AVERAGE RATING]]&gt;10000,"Popular","Average")</f>
        <v>Average</v>
      </c>
      <c r="M194">
        <f>Books[[#This Row],[AVERAGE RATING]]*Books[[#This Row],[RATINGS COUNT]]</f>
        <v>0</v>
      </c>
    </row>
    <row r="195" spans="1:13" x14ac:dyDescent="0.25">
      <c r="A195" t="s">
        <v>501</v>
      </c>
      <c r="B195" t="s">
        <v>502</v>
      </c>
      <c r="C195">
        <v>268</v>
      </c>
      <c r="D195" t="s">
        <v>79</v>
      </c>
      <c r="E195" t="s">
        <v>3234</v>
      </c>
      <c r="F195" t="s">
        <v>80</v>
      </c>
      <c r="G195" t="s">
        <v>4</v>
      </c>
      <c r="H195">
        <v>0</v>
      </c>
      <c r="I195">
        <v>0</v>
      </c>
      <c r="J195">
        <v>2011</v>
      </c>
      <c r="K195" t="str">
        <f>IF(Books[[#This Row],[AVERAGE RATING]]&gt;=4,"High",IF(Books[[#This Row],[AVERAGE RATING]]&gt;=3,"Medium","Low"))</f>
        <v>Low</v>
      </c>
      <c r="L195" t="str">
        <f>IF(Books[[#This Row],[AVERAGE RATING]]&gt;10000,"Popular","Average")</f>
        <v>Average</v>
      </c>
      <c r="M195">
        <f>Books[[#This Row],[AVERAGE RATING]]*Books[[#This Row],[RATINGS COUNT]]</f>
        <v>0</v>
      </c>
    </row>
    <row r="196" spans="1:13" x14ac:dyDescent="0.25">
      <c r="A196" t="s">
        <v>503</v>
      </c>
      <c r="B196" t="s">
        <v>504</v>
      </c>
      <c r="C196">
        <v>338</v>
      </c>
      <c r="D196" t="s">
        <v>38</v>
      </c>
      <c r="E196" t="s">
        <v>3235</v>
      </c>
      <c r="F196" t="s">
        <v>505</v>
      </c>
      <c r="G196" t="s">
        <v>4</v>
      </c>
      <c r="H196">
        <v>0</v>
      </c>
      <c r="I196">
        <v>0</v>
      </c>
      <c r="J196">
        <v>2008</v>
      </c>
      <c r="K196" t="str">
        <f>IF(Books[[#This Row],[AVERAGE RATING]]&gt;=4,"High",IF(Books[[#This Row],[AVERAGE RATING]]&gt;=3,"Medium","Low"))</f>
        <v>Low</v>
      </c>
      <c r="L196" t="str">
        <f>IF(Books[[#This Row],[AVERAGE RATING]]&gt;10000,"Popular","Average")</f>
        <v>Average</v>
      </c>
      <c r="M196">
        <f>Books[[#This Row],[AVERAGE RATING]]*Books[[#This Row],[RATINGS COUNT]]</f>
        <v>0</v>
      </c>
    </row>
    <row r="197" spans="1:13" x14ac:dyDescent="0.25">
      <c r="A197" t="s">
        <v>506</v>
      </c>
      <c r="B197" t="s">
        <v>507</v>
      </c>
      <c r="C197">
        <v>130</v>
      </c>
      <c r="D197" t="s">
        <v>38</v>
      </c>
      <c r="E197" t="s">
        <v>3237</v>
      </c>
      <c r="F197" t="s">
        <v>508</v>
      </c>
      <c r="G197" t="s">
        <v>4</v>
      </c>
      <c r="H197">
        <v>0</v>
      </c>
      <c r="I197">
        <v>0</v>
      </c>
      <c r="J197">
        <v>2022</v>
      </c>
      <c r="K197" t="str">
        <f>IF(Books[[#This Row],[AVERAGE RATING]]&gt;=4,"High",IF(Books[[#This Row],[AVERAGE RATING]]&gt;=3,"Medium","Low"))</f>
        <v>Low</v>
      </c>
      <c r="L197" t="str">
        <f>IF(Books[[#This Row],[AVERAGE RATING]]&gt;10000,"Popular","Average")</f>
        <v>Average</v>
      </c>
      <c r="M197">
        <f>Books[[#This Row],[AVERAGE RATING]]*Books[[#This Row],[RATINGS COUNT]]</f>
        <v>0</v>
      </c>
    </row>
    <row r="198" spans="1:13" x14ac:dyDescent="0.25">
      <c r="A198" t="s">
        <v>509</v>
      </c>
      <c r="B198" t="s">
        <v>510</v>
      </c>
      <c r="C198">
        <v>629</v>
      </c>
      <c r="D198" t="s">
        <v>125</v>
      </c>
      <c r="E198" t="s">
        <v>3238</v>
      </c>
      <c r="F198" t="s">
        <v>39</v>
      </c>
      <c r="G198" t="s">
        <v>4</v>
      </c>
      <c r="H198">
        <v>0</v>
      </c>
      <c r="I198">
        <v>0</v>
      </c>
      <c r="J198">
        <v>2008</v>
      </c>
      <c r="K198" t="str">
        <f>IF(Books[[#This Row],[AVERAGE RATING]]&gt;=4,"High",IF(Books[[#This Row],[AVERAGE RATING]]&gt;=3,"Medium","Low"))</f>
        <v>Low</v>
      </c>
      <c r="L198" t="str">
        <f>IF(Books[[#This Row],[AVERAGE RATING]]&gt;10000,"Popular","Average")</f>
        <v>Average</v>
      </c>
      <c r="M198">
        <f>Books[[#This Row],[AVERAGE RATING]]*Books[[#This Row],[RATINGS COUNT]]</f>
        <v>0</v>
      </c>
    </row>
    <row r="199" spans="1:13" x14ac:dyDescent="0.25">
      <c r="A199" t="s">
        <v>511</v>
      </c>
      <c r="B199" t="s">
        <v>512</v>
      </c>
      <c r="C199">
        <v>292</v>
      </c>
      <c r="D199" t="s">
        <v>38</v>
      </c>
      <c r="E199" t="s">
        <v>3239</v>
      </c>
      <c r="F199" t="s">
        <v>513</v>
      </c>
      <c r="G199" t="s">
        <v>4</v>
      </c>
      <c r="H199">
        <v>0</v>
      </c>
      <c r="I199">
        <v>0</v>
      </c>
      <c r="J199">
        <v>1978</v>
      </c>
      <c r="K199" t="str">
        <f>IF(Books[[#This Row],[AVERAGE RATING]]&gt;=4,"High",IF(Books[[#This Row],[AVERAGE RATING]]&gt;=3,"Medium","Low"))</f>
        <v>Low</v>
      </c>
      <c r="L199" t="str">
        <f>IF(Books[[#This Row],[AVERAGE RATING]]&gt;10000,"Popular","Average")</f>
        <v>Average</v>
      </c>
      <c r="M199">
        <f>Books[[#This Row],[AVERAGE RATING]]*Books[[#This Row],[RATINGS COUNT]]</f>
        <v>0</v>
      </c>
    </row>
    <row r="200" spans="1:13" x14ac:dyDescent="0.25">
      <c r="A200" t="s">
        <v>514</v>
      </c>
      <c r="B200" t="s">
        <v>515</v>
      </c>
      <c r="C200">
        <v>367</v>
      </c>
      <c r="D200" t="s">
        <v>144</v>
      </c>
      <c r="E200" t="s">
        <v>3078</v>
      </c>
      <c r="F200" t="s">
        <v>516</v>
      </c>
      <c r="G200" t="s">
        <v>4</v>
      </c>
      <c r="H200">
        <v>0</v>
      </c>
      <c r="I200">
        <v>0</v>
      </c>
      <c r="J200">
        <v>1999</v>
      </c>
      <c r="K200" t="str">
        <f>IF(Books[[#This Row],[AVERAGE RATING]]&gt;=4,"High",IF(Books[[#This Row],[AVERAGE RATING]]&gt;=3,"Medium","Low"))</f>
        <v>Low</v>
      </c>
      <c r="L200" t="str">
        <f>IF(Books[[#This Row],[AVERAGE RATING]]&gt;10000,"Popular","Average")</f>
        <v>Average</v>
      </c>
      <c r="M200">
        <f>Books[[#This Row],[AVERAGE RATING]]*Books[[#This Row],[RATINGS COUNT]]</f>
        <v>0</v>
      </c>
    </row>
    <row r="201" spans="1:13" x14ac:dyDescent="0.25">
      <c r="A201" t="s">
        <v>517</v>
      </c>
      <c r="B201" t="s">
        <v>518</v>
      </c>
      <c r="C201">
        <v>977</v>
      </c>
      <c r="D201" t="s">
        <v>328</v>
      </c>
      <c r="E201" t="s">
        <v>3228</v>
      </c>
      <c r="F201" t="s">
        <v>270</v>
      </c>
      <c r="G201" t="s">
        <v>4</v>
      </c>
      <c r="H201">
        <v>0</v>
      </c>
      <c r="I201">
        <v>0</v>
      </c>
      <c r="J201">
        <v>2014</v>
      </c>
      <c r="K201" t="str">
        <f>IF(Books[[#This Row],[AVERAGE RATING]]&gt;=4,"High",IF(Books[[#This Row],[AVERAGE RATING]]&gt;=3,"Medium","Low"))</f>
        <v>Low</v>
      </c>
      <c r="L201" t="str">
        <f>IF(Books[[#This Row],[AVERAGE RATING]]&gt;10000,"Popular","Average")</f>
        <v>Average</v>
      </c>
      <c r="M201">
        <f>Books[[#This Row],[AVERAGE RATING]]*Books[[#This Row],[RATINGS COUNT]]</f>
        <v>0</v>
      </c>
    </row>
    <row r="202" spans="1:13" x14ac:dyDescent="0.25">
      <c r="A202" t="s">
        <v>328</v>
      </c>
      <c r="B202" t="s">
        <v>519</v>
      </c>
      <c r="C202">
        <v>410</v>
      </c>
      <c r="D202" t="s">
        <v>328</v>
      </c>
      <c r="E202" t="s">
        <v>3070</v>
      </c>
      <c r="F202" t="s">
        <v>520</v>
      </c>
      <c r="G202" t="s">
        <v>4</v>
      </c>
      <c r="H202">
        <v>0</v>
      </c>
      <c r="I202">
        <v>0</v>
      </c>
      <c r="J202">
        <v>1907</v>
      </c>
      <c r="K202" t="str">
        <f>IF(Books[[#This Row],[AVERAGE RATING]]&gt;=4,"High",IF(Books[[#This Row],[AVERAGE RATING]]&gt;=3,"Medium","Low"))</f>
        <v>Low</v>
      </c>
      <c r="L202" t="str">
        <f>IF(Books[[#This Row],[AVERAGE RATING]]&gt;10000,"Popular","Average")</f>
        <v>Average</v>
      </c>
      <c r="M202">
        <f>Books[[#This Row],[AVERAGE RATING]]*Books[[#This Row],[RATINGS COUNT]]</f>
        <v>0</v>
      </c>
    </row>
    <row r="203" spans="1:13" x14ac:dyDescent="0.25">
      <c r="A203" t="s">
        <v>521</v>
      </c>
      <c r="B203" t="s">
        <v>522</v>
      </c>
      <c r="C203">
        <v>793</v>
      </c>
      <c r="D203" t="s">
        <v>328</v>
      </c>
      <c r="E203" t="s">
        <v>3240</v>
      </c>
      <c r="F203" t="s">
        <v>523</v>
      </c>
      <c r="G203" t="s">
        <v>4</v>
      </c>
      <c r="H203">
        <v>0</v>
      </c>
      <c r="I203">
        <v>0</v>
      </c>
      <c r="J203">
        <v>2024</v>
      </c>
      <c r="K203" t="str">
        <f>IF(Books[[#This Row],[AVERAGE RATING]]&gt;=4,"High",IF(Books[[#This Row],[AVERAGE RATING]]&gt;=3,"Medium","Low"))</f>
        <v>Low</v>
      </c>
      <c r="L203" t="str">
        <f>IF(Books[[#This Row],[AVERAGE RATING]]&gt;10000,"Popular","Average")</f>
        <v>Average</v>
      </c>
      <c r="M203">
        <f>Books[[#This Row],[AVERAGE RATING]]*Books[[#This Row],[RATINGS COUNT]]</f>
        <v>0</v>
      </c>
    </row>
    <row r="204" spans="1:13" x14ac:dyDescent="0.25">
      <c r="A204" t="s">
        <v>524</v>
      </c>
      <c r="B204" t="s">
        <v>525</v>
      </c>
      <c r="C204">
        <v>640</v>
      </c>
      <c r="D204" t="s">
        <v>328</v>
      </c>
      <c r="E204" t="s">
        <v>3241</v>
      </c>
      <c r="F204" t="s">
        <v>460</v>
      </c>
      <c r="G204" t="s">
        <v>4</v>
      </c>
      <c r="H204">
        <v>0</v>
      </c>
      <c r="I204">
        <v>0</v>
      </c>
      <c r="J204">
        <v>2013</v>
      </c>
      <c r="K204" t="str">
        <f>IF(Books[[#This Row],[AVERAGE RATING]]&gt;=4,"High",IF(Books[[#This Row],[AVERAGE RATING]]&gt;=3,"Medium","Low"))</f>
        <v>Low</v>
      </c>
      <c r="L204" t="str">
        <f>IF(Books[[#This Row],[AVERAGE RATING]]&gt;10000,"Popular","Average")</f>
        <v>Average</v>
      </c>
      <c r="M204">
        <f>Books[[#This Row],[AVERAGE RATING]]*Books[[#This Row],[RATINGS COUNT]]</f>
        <v>0</v>
      </c>
    </row>
    <row r="205" spans="1:13" x14ac:dyDescent="0.25">
      <c r="A205" t="s">
        <v>526</v>
      </c>
      <c r="B205" t="s">
        <v>527</v>
      </c>
      <c r="C205">
        <v>278</v>
      </c>
      <c r="D205" t="s">
        <v>63</v>
      </c>
      <c r="E205" t="s">
        <v>3242</v>
      </c>
      <c r="F205" t="s">
        <v>460</v>
      </c>
      <c r="G205" t="s">
        <v>4</v>
      </c>
      <c r="H205">
        <v>0</v>
      </c>
      <c r="I205">
        <v>0</v>
      </c>
      <c r="J205">
        <v>2010</v>
      </c>
      <c r="K205" t="str">
        <f>IF(Books[[#This Row],[AVERAGE RATING]]&gt;=4,"High",IF(Books[[#This Row],[AVERAGE RATING]]&gt;=3,"Medium","Low"))</f>
        <v>Low</v>
      </c>
      <c r="L205" t="str">
        <f>IF(Books[[#This Row],[AVERAGE RATING]]&gt;10000,"Popular","Average")</f>
        <v>Average</v>
      </c>
      <c r="M205">
        <f>Books[[#This Row],[AVERAGE RATING]]*Books[[#This Row],[RATINGS COUNT]]</f>
        <v>0</v>
      </c>
    </row>
    <row r="206" spans="1:13" x14ac:dyDescent="0.25">
      <c r="A206" t="s">
        <v>528</v>
      </c>
      <c r="B206" t="s">
        <v>529</v>
      </c>
      <c r="C206">
        <v>287</v>
      </c>
      <c r="D206" t="s">
        <v>328</v>
      </c>
      <c r="E206" t="s">
        <v>3243</v>
      </c>
      <c r="F206" t="s">
        <v>299</v>
      </c>
      <c r="G206" t="s">
        <v>4</v>
      </c>
      <c r="H206">
        <v>0</v>
      </c>
      <c r="I206">
        <v>0</v>
      </c>
      <c r="J206">
        <v>2003</v>
      </c>
      <c r="K206" t="str">
        <f>IF(Books[[#This Row],[AVERAGE RATING]]&gt;=4,"High",IF(Books[[#This Row],[AVERAGE RATING]]&gt;=3,"Medium","Low"))</f>
        <v>Low</v>
      </c>
      <c r="L206" t="str">
        <f>IF(Books[[#This Row],[AVERAGE RATING]]&gt;10000,"Popular","Average")</f>
        <v>Average</v>
      </c>
      <c r="M206">
        <f>Books[[#This Row],[AVERAGE RATING]]*Books[[#This Row],[RATINGS COUNT]]</f>
        <v>0</v>
      </c>
    </row>
    <row r="207" spans="1:13" x14ac:dyDescent="0.25">
      <c r="A207" t="s">
        <v>530</v>
      </c>
      <c r="B207" t="s">
        <v>531</v>
      </c>
      <c r="C207">
        <v>532</v>
      </c>
      <c r="D207" t="s">
        <v>328</v>
      </c>
      <c r="E207" t="s">
        <v>3244</v>
      </c>
      <c r="F207" t="s">
        <v>132</v>
      </c>
      <c r="G207" t="s">
        <v>4</v>
      </c>
      <c r="H207">
        <v>0</v>
      </c>
      <c r="I207">
        <v>0</v>
      </c>
      <c r="J207">
        <v>2012</v>
      </c>
      <c r="K207" t="str">
        <f>IF(Books[[#This Row],[AVERAGE RATING]]&gt;=4,"High",IF(Books[[#This Row],[AVERAGE RATING]]&gt;=3,"Medium","Low"))</f>
        <v>Low</v>
      </c>
      <c r="L207" t="str">
        <f>IF(Books[[#This Row],[AVERAGE RATING]]&gt;10000,"Popular","Average")</f>
        <v>Average</v>
      </c>
      <c r="M207">
        <f>Books[[#This Row],[AVERAGE RATING]]*Books[[#This Row],[RATINGS COUNT]]</f>
        <v>0</v>
      </c>
    </row>
    <row r="208" spans="1:13" x14ac:dyDescent="0.25">
      <c r="A208" t="s">
        <v>532</v>
      </c>
      <c r="B208" t="s">
        <v>533</v>
      </c>
      <c r="D208" t="s">
        <v>328</v>
      </c>
      <c r="E208" t="s">
        <v>3245</v>
      </c>
      <c r="F208" t="s">
        <v>534</v>
      </c>
      <c r="G208" t="s">
        <v>4</v>
      </c>
      <c r="H208">
        <v>0</v>
      </c>
      <c r="I208">
        <v>0</v>
      </c>
      <c r="J208">
        <v>2020</v>
      </c>
      <c r="K208" t="str">
        <f>IF(Books[[#This Row],[AVERAGE RATING]]&gt;=4,"High",IF(Books[[#This Row],[AVERAGE RATING]]&gt;=3,"Medium","Low"))</f>
        <v>Low</v>
      </c>
      <c r="L208" t="str">
        <f>IF(Books[[#This Row],[AVERAGE RATING]]&gt;10000,"Popular","Average")</f>
        <v>Average</v>
      </c>
      <c r="M208">
        <f>Books[[#This Row],[AVERAGE RATING]]*Books[[#This Row],[RATINGS COUNT]]</f>
        <v>0</v>
      </c>
    </row>
    <row r="209" spans="1:13" x14ac:dyDescent="0.25">
      <c r="A209" t="s">
        <v>535</v>
      </c>
      <c r="B209" t="s">
        <v>536</v>
      </c>
      <c r="C209">
        <v>260</v>
      </c>
      <c r="D209" t="s">
        <v>328</v>
      </c>
      <c r="E209" t="s">
        <v>3187</v>
      </c>
      <c r="F209" t="s">
        <v>119</v>
      </c>
      <c r="G209" t="s">
        <v>4</v>
      </c>
      <c r="H209">
        <v>0</v>
      </c>
      <c r="I209">
        <v>0</v>
      </c>
      <c r="J209">
        <v>2025</v>
      </c>
      <c r="K209" t="str">
        <f>IF(Books[[#This Row],[AVERAGE RATING]]&gt;=4,"High",IF(Books[[#This Row],[AVERAGE RATING]]&gt;=3,"Medium","Low"))</f>
        <v>Low</v>
      </c>
      <c r="L209" t="str">
        <f>IF(Books[[#This Row],[AVERAGE RATING]]&gt;10000,"Popular","Average")</f>
        <v>Average</v>
      </c>
      <c r="M209">
        <f>Books[[#This Row],[AVERAGE RATING]]*Books[[#This Row],[RATINGS COUNT]]</f>
        <v>0</v>
      </c>
    </row>
    <row r="210" spans="1:13" x14ac:dyDescent="0.25">
      <c r="A210" t="s">
        <v>537</v>
      </c>
      <c r="B210" t="s">
        <v>538</v>
      </c>
      <c r="C210">
        <v>267</v>
      </c>
      <c r="D210" t="s">
        <v>328</v>
      </c>
      <c r="E210" t="s">
        <v>3246</v>
      </c>
      <c r="F210" t="s">
        <v>93</v>
      </c>
      <c r="G210" t="s">
        <v>4</v>
      </c>
      <c r="H210">
        <v>0</v>
      </c>
      <c r="I210">
        <v>0</v>
      </c>
      <c r="J210">
        <v>2014</v>
      </c>
      <c r="K210" t="str">
        <f>IF(Books[[#This Row],[AVERAGE RATING]]&gt;=4,"High",IF(Books[[#This Row],[AVERAGE RATING]]&gt;=3,"Medium","Low"))</f>
        <v>Low</v>
      </c>
      <c r="L210" t="str">
        <f>IF(Books[[#This Row],[AVERAGE RATING]]&gt;10000,"Popular","Average")</f>
        <v>Average</v>
      </c>
      <c r="M210">
        <f>Books[[#This Row],[AVERAGE RATING]]*Books[[#This Row],[RATINGS COUNT]]</f>
        <v>0</v>
      </c>
    </row>
    <row r="211" spans="1:13" x14ac:dyDescent="0.25">
      <c r="A211" t="s">
        <v>539</v>
      </c>
      <c r="B211" t="s">
        <v>540</v>
      </c>
      <c r="C211">
        <v>194</v>
      </c>
      <c r="D211" t="s">
        <v>328</v>
      </c>
      <c r="E211" t="s">
        <v>3248</v>
      </c>
      <c r="F211" t="s">
        <v>119</v>
      </c>
      <c r="G211" t="s">
        <v>4</v>
      </c>
      <c r="H211">
        <v>0</v>
      </c>
      <c r="I211">
        <v>0</v>
      </c>
      <c r="J211">
        <v>2024</v>
      </c>
      <c r="K211" t="str">
        <f>IF(Books[[#This Row],[AVERAGE RATING]]&gt;=4,"High",IF(Books[[#This Row],[AVERAGE RATING]]&gt;=3,"Medium","Low"))</f>
        <v>Low</v>
      </c>
      <c r="L211" t="str">
        <f>IF(Books[[#This Row],[AVERAGE RATING]]&gt;10000,"Popular","Average")</f>
        <v>Average</v>
      </c>
      <c r="M211">
        <f>Books[[#This Row],[AVERAGE RATING]]*Books[[#This Row],[RATINGS COUNT]]</f>
        <v>0</v>
      </c>
    </row>
    <row r="212" spans="1:13" x14ac:dyDescent="0.25">
      <c r="A212" t="s">
        <v>541</v>
      </c>
      <c r="B212" t="s">
        <v>542</v>
      </c>
      <c r="C212">
        <v>235</v>
      </c>
      <c r="D212" t="s">
        <v>328</v>
      </c>
      <c r="E212" t="s">
        <v>3249</v>
      </c>
      <c r="F212" t="s">
        <v>60</v>
      </c>
      <c r="G212" t="s">
        <v>4</v>
      </c>
      <c r="H212">
        <v>0</v>
      </c>
      <c r="I212">
        <v>0</v>
      </c>
      <c r="J212">
        <v>2024</v>
      </c>
      <c r="K212" t="str">
        <f>IF(Books[[#This Row],[AVERAGE RATING]]&gt;=4,"High",IF(Books[[#This Row],[AVERAGE RATING]]&gt;=3,"Medium","Low"))</f>
        <v>Low</v>
      </c>
      <c r="L212" t="str">
        <f>IF(Books[[#This Row],[AVERAGE RATING]]&gt;10000,"Popular","Average")</f>
        <v>Average</v>
      </c>
      <c r="M212">
        <f>Books[[#This Row],[AVERAGE RATING]]*Books[[#This Row],[RATINGS COUNT]]</f>
        <v>0</v>
      </c>
    </row>
    <row r="213" spans="1:13" x14ac:dyDescent="0.25">
      <c r="A213" t="s">
        <v>543</v>
      </c>
      <c r="B213" t="s">
        <v>544</v>
      </c>
      <c r="C213">
        <v>566</v>
      </c>
      <c r="D213" t="s">
        <v>328</v>
      </c>
      <c r="E213" t="s">
        <v>3250</v>
      </c>
      <c r="F213" t="s">
        <v>132</v>
      </c>
      <c r="G213" t="s">
        <v>4</v>
      </c>
      <c r="H213">
        <v>0</v>
      </c>
      <c r="I213">
        <v>0</v>
      </c>
      <c r="J213">
        <v>2024</v>
      </c>
      <c r="K213" t="str">
        <f>IF(Books[[#This Row],[AVERAGE RATING]]&gt;=4,"High",IF(Books[[#This Row],[AVERAGE RATING]]&gt;=3,"Medium","Low"))</f>
        <v>Low</v>
      </c>
      <c r="L213" t="str">
        <f>IF(Books[[#This Row],[AVERAGE RATING]]&gt;10000,"Popular","Average")</f>
        <v>Average</v>
      </c>
      <c r="M213">
        <f>Books[[#This Row],[AVERAGE RATING]]*Books[[#This Row],[RATINGS COUNT]]</f>
        <v>0</v>
      </c>
    </row>
    <row r="214" spans="1:13" x14ac:dyDescent="0.25">
      <c r="A214" t="s">
        <v>545</v>
      </c>
      <c r="B214" t="s">
        <v>546</v>
      </c>
      <c r="C214">
        <v>572</v>
      </c>
      <c r="D214" t="s">
        <v>38</v>
      </c>
      <c r="E214" t="s">
        <v>3069</v>
      </c>
      <c r="F214" t="s">
        <v>547</v>
      </c>
      <c r="G214" t="s">
        <v>4</v>
      </c>
      <c r="H214">
        <v>0</v>
      </c>
      <c r="I214">
        <v>0</v>
      </c>
      <c r="J214">
        <v>1971</v>
      </c>
      <c r="K214" t="str">
        <f>IF(Books[[#This Row],[AVERAGE RATING]]&gt;=4,"High",IF(Books[[#This Row],[AVERAGE RATING]]&gt;=3,"Medium","Low"))</f>
        <v>Low</v>
      </c>
      <c r="L214" t="str">
        <f>IF(Books[[#This Row],[AVERAGE RATING]]&gt;10000,"Popular","Average")</f>
        <v>Average</v>
      </c>
      <c r="M214">
        <f>Books[[#This Row],[AVERAGE RATING]]*Books[[#This Row],[RATINGS COUNT]]</f>
        <v>0</v>
      </c>
    </row>
    <row r="215" spans="1:13" x14ac:dyDescent="0.25">
      <c r="A215" t="s">
        <v>548</v>
      </c>
      <c r="B215" t="s">
        <v>549</v>
      </c>
      <c r="C215">
        <v>286</v>
      </c>
      <c r="D215" t="s">
        <v>328</v>
      </c>
      <c r="E215" t="s">
        <v>3251</v>
      </c>
      <c r="F215" t="s">
        <v>235</v>
      </c>
      <c r="G215" t="s">
        <v>4</v>
      </c>
      <c r="H215">
        <v>0</v>
      </c>
      <c r="I215">
        <v>0</v>
      </c>
      <c r="J215">
        <v>2023</v>
      </c>
      <c r="K215" t="str">
        <f>IF(Books[[#This Row],[AVERAGE RATING]]&gt;=4,"High",IF(Books[[#This Row],[AVERAGE RATING]]&gt;=3,"Medium","Low"))</f>
        <v>Low</v>
      </c>
      <c r="L215" t="str">
        <f>IF(Books[[#This Row],[AVERAGE RATING]]&gt;10000,"Popular","Average")</f>
        <v>Average</v>
      </c>
      <c r="M215">
        <f>Books[[#This Row],[AVERAGE RATING]]*Books[[#This Row],[RATINGS COUNT]]</f>
        <v>0</v>
      </c>
    </row>
    <row r="216" spans="1:13" x14ac:dyDescent="0.25">
      <c r="A216" t="s">
        <v>550</v>
      </c>
      <c r="B216" t="s">
        <v>551</v>
      </c>
      <c r="C216">
        <v>289</v>
      </c>
      <c r="D216" t="s">
        <v>328</v>
      </c>
      <c r="E216" t="s">
        <v>3252</v>
      </c>
      <c r="F216" t="s">
        <v>39</v>
      </c>
      <c r="G216" t="s">
        <v>4</v>
      </c>
      <c r="H216">
        <v>0</v>
      </c>
      <c r="I216">
        <v>0</v>
      </c>
      <c r="J216">
        <v>2012</v>
      </c>
      <c r="K216" t="str">
        <f>IF(Books[[#This Row],[AVERAGE RATING]]&gt;=4,"High",IF(Books[[#This Row],[AVERAGE RATING]]&gt;=3,"Medium","Low"))</f>
        <v>Low</v>
      </c>
      <c r="L216" t="str">
        <f>IF(Books[[#This Row],[AVERAGE RATING]]&gt;10000,"Popular","Average")</f>
        <v>Average</v>
      </c>
      <c r="M216">
        <f>Books[[#This Row],[AVERAGE RATING]]*Books[[#This Row],[RATINGS COUNT]]</f>
        <v>0</v>
      </c>
    </row>
    <row r="217" spans="1:13" x14ac:dyDescent="0.25">
      <c r="A217" t="s">
        <v>552</v>
      </c>
      <c r="B217" t="s">
        <v>553</v>
      </c>
      <c r="C217">
        <v>57</v>
      </c>
      <c r="D217" t="s">
        <v>328</v>
      </c>
      <c r="E217" t="s">
        <v>3253</v>
      </c>
      <c r="F217" t="s">
        <v>554</v>
      </c>
      <c r="G217" t="s">
        <v>4</v>
      </c>
      <c r="H217">
        <v>0</v>
      </c>
      <c r="I217">
        <v>0</v>
      </c>
      <c r="J217">
        <v>2020</v>
      </c>
      <c r="K217" t="str">
        <f>IF(Books[[#This Row],[AVERAGE RATING]]&gt;=4,"High",IF(Books[[#This Row],[AVERAGE RATING]]&gt;=3,"Medium","Low"))</f>
        <v>Low</v>
      </c>
      <c r="L217" t="str">
        <f>IF(Books[[#This Row],[AVERAGE RATING]]&gt;10000,"Popular","Average")</f>
        <v>Average</v>
      </c>
      <c r="M217">
        <f>Books[[#This Row],[AVERAGE RATING]]*Books[[#This Row],[RATINGS COUNT]]</f>
        <v>0</v>
      </c>
    </row>
    <row r="218" spans="1:13" x14ac:dyDescent="0.25">
      <c r="A218" t="s">
        <v>555</v>
      </c>
      <c r="B218" t="s">
        <v>556</v>
      </c>
      <c r="C218">
        <v>357</v>
      </c>
      <c r="D218" t="s">
        <v>328</v>
      </c>
      <c r="E218" t="s">
        <v>3254</v>
      </c>
      <c r="F218" t="s">
        <v>132</v>
      </c>
      <c r="G218" t="s">
        <v>4</v>
      </c>
      <c r="H218">
        <v>0</v>
      </c>
      <c r="I218">
        <v>0</v>
      </c>
      <c r="J218">
        <v>2010</v>
      </c>
      <c r="K218" t="str">
        <f>IF(Books[[#This Row],[AVERAGE RATING]]&gt;=4,"High",IF(Books[[#This Row],[AVERAGE RATING]]&gt;=3,"Medium","Low"))</f>
        <v>Low</v>
      </c>
      <c r="L218" t="str">
        <f>IF(Books[[#This Row],[AVERAGE RATING]]&gt;10000,"Popular","Average")</f>
        <v>Average</v>
      </c>
      <c r="M218">
        <f>Books[[#This Row],[AVERAGE RATING]]*Books[[#This Row],[RATINGS COUNT]]</f>
        <v>0</v>
      </c>
    </row>
    <row r="219" spans="1:13" x14ac:dyDescent="0.25">
      <c r="A219" t="s">
        <v>557</v>
      </c>
      <c r="B219" t="s">
        <v>558</v>
      </c>
      <c r="C219">
        <v>402</v>
      </c>
      <c r="D219" t="s">
        <v>328</v>
      </c>
      <c r="E219" t="s">
        <v>3153</v>
      </c>
      <c r="F219" t="s">
        <v>46</v>
      </c>
      <c r="G219" t="s">
        <v>4</v>
      </c>
      <c r="H219">
        <v>5</v>
      </c>
      <c r="I219">
        <v>1</v>
      </c>
      <c r="J219">
        <v>2001</v>
      </c>
      <c r="K219" t="str">
        <f>IF(Books[[#This Row],[AVERAGE RATING]]&gt;=4,"High",IF(Books[[#This Row],[AVERAGE RATING]]&gt;=3,"Medium","Low"))</f>
        <v>High</v>
      </c>
      <c r="L219" t="str">
        <f>IF(Books[[#This Row],[AVERAGE RATING]]&gt;10000,"Popular","Average")</f>
        <v>Average</v>
      </c>
      <c r="M219">
        <f>Books[[#This Row],[AVERAGE RATING]]*Books[[#This Row],[RATINGS COUNT]]</f>
        <v>5</v>
      </c>
    </row>
    <row r="220" spans="1:13" x14ac:dyDescent="0.25">
      <c r="A220" t="s">
        <v>560</v>
      </c>
      <c r="B220" t="s">
        <v>561</v>
      </c>
      <c r="C220">
        <v>57</v>
      </c>
      <c r="D220" t="s">
        <v>328</v>
      </c>
      <c r="E220" t="s">
        <v>3138</v>
      </c>
      <c r="F220" t="s">
        <v>554</v>
      </c>
      <c r="G220" t="s">
        <v>4</v>
      </c>
      <c r="H220">
        <v>0</v>
      </c>
      <c r="I220">
        <v>0</v>
      </c>
      <c r="J220">
        <v>2023</v>
      </c>
      <c r="K220" t="str">
        <f>IF(Books[[#This Row],[AVERAGE RATING]]&gt;=4,"High",IF(Books[[#This Row],[AVERAGE RATING]]&gt;=3,"Medium","Low"))</f>
        <v>Low</v>
      </c>
      <c r="L220" t="str">
        <f>IF(Books[[#This Row],[AVERAGE RATING]]&gt;10000,"Popular","Average")</f>
        <v>Average</v>
      </c>
      <c r="M220">
        <f>Books[[#This Row],[AVERAGE RATING]]*Books[[#This Row],[RATINGS COUNT]]</f>
        <v>0</v>
      </c>
    </row>
    <row r="221" spans="1:13" x14ac:dyDescent="0.25">
      <c r="A221" t="s">
        <v>562</v>
      </c>
      <c r="B221" t="s">
        <v>563</v>
      </c>
      <c r="C221">
        <v>674</v>
      </c>
      <c r="D221" t="s">
        <v>328</v>
      </c>
      <c r="E221" t="s">
        <v>3255</v>
      </c>
      <c r="F221" t="s">
        <v>132</v>
      </c>
      <c r="G221" t="s">
        <v>4</v>
      </c>
      <c r="H221">
        <v>0</v>
      </c>
      <c r="I221">
        <v>0</v>
      </c>
      <c r="J221">
        <v>2008</v>
      </c>
      <c r="K221" t="str">
        <f>IF(Books[[#This Row],[AVERAGE RATING]]&gt;=4,"High",IF(Books[[#This Row],[AVERAGE RATING]]&gt;=3,"Medium","Low"))</f>
        <v>Low</v>
      </c>
      <c r="L221" t="str">
        <f>IF(Books[[#This Row],[AVERAGE RATING]]&gt;10000,"Popular","Average")</f>
        <v>Average</v>
      </c>
      <c r="M221">
        <f>Books[[#This Row],[AVERAGE RATING]]*Books[[#This Row],[RATINGS COUNT]]</f>
        <v>0</v>
      </c>
    </row>
    <row r="222" spans="1:13" x14ac:dyDescent="0.25">
      <c r="A222" t="s">
        <v>564</v>
      </c>
      <c r="B222" t="s">
        <v>565</v>
      </c>
      <c r="C222">
        <v>222</v>
      </c>
      <c r="D222" t="s">
        <v>328</v>
      </c>
      <c r="E222" t="s">
        <v>3256</v>
      </c>
      <c r="F222" t="s">
        <v>566</v>
      </c>
      <c r="G222" t="s">
        <v>4</v>
      </c>
      <c r="H222">
        <v>0</v>
      </c>
      <c r="I222">
        <v>0</v>
      </c>
      <c r="J222">
        <v>2024</v>
      </c>
      <c r="K222" t="str">
        <f>IF(Books[[#This Row],[AVERAGE RATING]]&gt;=4,"High",IF(Books[[#This Row],[AVERAGE RATING]]&gt;=3,"Medium","Low"))</f>
        <v>Low</v>
      </c>
      <c r="L222" t="str">
        <f>IF(Books[[#This Row],[AVERAGE RATING]]&gt;10000,"Popular","Average")</f>
        <v>Average</v>
      </c>
      <c r="M222">
        <f>Books[[#This Row],[AVERAGE RATING]]*Books[[#This Row],[RATINGS COUNT]]</f>
        <v>0</v>
      </c>
    </row>
    <row r="223" spans="1:13" x14ac:dyDescent="0.25">
      <c r="A223" t="s">
        <v>567</v>
      </c>
      <c r="B223" t="s">
        <v>568</v>
      </c>
      <c r="C223">
        <v>542</v>
      </c>
      <c r="D223" t="s">
        <v>38</v>
      </c>
      <c r="E223" t="s">
        <v>3257</v>
      </c>
      <c r="F223" t="s">
        <v>460</v>
      </c>
      <c r="G223" t="s">
        <v>4</v>
      </c>
      <c r="H223">
        <v>0</v>
      </c>
      <c r="I223">
        <v>0</v>
      </c>
      <c r="J223">
        <v>1997</v>
      </c>
      <c r="K223" t="str">
        <f>IF(Books[[#This Row],[AVERAGE RATING]]&gt;=4,"High",IF(Books[[#This Row],[AVERAGE RATING]]&gt;=3,"Medium","Low"))</f>
        <v>Low</v>
      </c>
      <c r="L223" t="str">
        <f>IF(Books[[#This Row],[AVERAGE RATING]]&gt;10000,"Popular","Average")</f>
        <v>Average</v>
      </c>
      <c r="M223">
        <f>Books[[#This Row],[AVERAGE RATING]]*Books[[#This Row],[RATINGS COUNT]]</f>
        <v>0</v>
      </c>
    </row>
    <row r="224" spans="1:13" x14ac:dyDescent="0.25">
      <c r="A224" t="s">
        <v>569</v>
      </c>
      <c r="B224" t="s">
        <v>570</v>
      </c>
      <c r="C224">
        <v>773</v>
      </c>
      <c r="D224" t="s">
        <v>328</v>
      </c>
      <c r="E224" t="s">
        <v>3258</v>
      </c>
      <c r="F224" t="s">
        <v>132</v>
      </c>
      <c r="G224" t="s">
        <v>4</v>
      </c>
      <c r="H224">
        <v>0</v>
      </c>
      <c r="I224">
        <v>0</v>
      </c>
      <c r="J224">
        <v>2017</v>
      </c>
      <c r="K224" t="str">
        <f>IF(Books[[#This Row],[AVERAGE RATING]]&gt;=4,"High",IF(Books[[#This Row],[AVERAGE RATING]]&gt;=3,"Medium","Low"))</f>
        <v>Low</v>
      </c>
      <c r="L224" t="str">
        <f>IF(Books[[#This Row],[AVERAGE RATING]]&gt;10000,"Popular","Average")</f>
        <v>Average</v>
      </c>
      <c r="M224">
        <f>Books[[#This Row],[AVERAGE RATING]]*Books[[#This Row],[RATINGS COUNT]]</f>
        <v>0</v>
      </c>
    </row>
    <row r="225" spans="1:13" x14ac:dyDescent="0.25">
      <c r="A225" t="s">
        <v>571</v>
      </c>
      <c r="B225" t="s">
        <v>572</v>
      </c>
      <c r="C225">
        <v>104</v>
      </c>
      <c r="D225" t="s">
        <v>328</v>
      </c>
      <c r="E225" t="s">
        <v>3259</v>
      </c>
      <c r="F225" t="s">
        <v>573</v>
      </c>
      <c r="G225" t="s">
        <v>4</v>
      </c>
      <c r="H225">
        <v>0</v>
      </c>
      <c r="I225">
        <v>0</v>
      </c>
      <c r="J225">
        <v>2016</v>
      </c>
      <c r="K225" t="str">
        <f>IF(Books[[#This Row],[AVERAGE RATING]]&gt;=4,"High",IF(Books[[#This Row],[AVERAGE RATING]]&gt;=3,"Medium","Low"))</f>
        <v>Low</v>
      </c>
      <c r="L225" t="str">
        <f>IF(Books[[#This Row],[AVERAGE RATING]]&gt;10000,"Popular","Average")</f>
        <v>Average</v>
      </c>
      <c r="M225">
        <f>Books[[#This Row],[AVERAGE RATING]]*Books[[#This Row],[RATINGS COUNT]]</f>
        <v>0</v>
      </c>
    </row>
    <row r="226" spans="1:13" x14ac:dyDescent="0.25">
      <c r="A226" t="s">
        <v>574</v>
      </c>
      <c r="B226" t="s">
        <v>575</v>
      </c>
      <c r="C226">
        <v>348</v>
      </c>
      <c r="D226" t="s">
        <v>298</v>
      </c>
      <c r="E226" t="s">
        <v>3122</v>
      </c>
      <c r="F226" t="s">
        <v>576</v>
      </c>
      <c r="G226" t="s">
        <v>577</v>
      </c>
      <c r="H226">
        <v>0</v>
      </c>
      <c r="I226">
        <v>0</v>
      </c>
      <c r="J226">
        <v>2018</v>
      </c>
      <c r="K226" t="str">
        <f>IF(Books[[#This Row],[AVERAGE RATING]]&gt;=4,"High",IF(Books[[#This Row],[AVERAGE RATING]]&gt;=3,"Medium","Low"))</f>
        <v>Low</v>
      </c>
      <c r="L226" t="str">
        <f>IF(Books[[#This Row],[AVERAGE RATING]]&gt;10000,"Popular","Average")</f>
        <v>Average</v>
      </c>
      <c r="M226">
        <f>Books[[#This Row],[AVERAGE RATING]]*Books[[#This Row],[RATINGS COUNT]]</f>
        <v>0</v>
      </c>
    </row>
    <row r="227" spans="1:13" x14ac:dyDescent="0.25">
      <c r="A227" t="s">
        <v>578</v>
      </c>
      <c r="B227" t="s">
        <v>579</v>
      </c>
      <c r="C227">
        <v>294</v>
      </c>
      <c r="D227" t="s">
        <v>298</v>
      </c>
      <c r="E227" t="s">
        <v>3261</v>
      </c>
      <c r="F227" t="s">
        <v>580</v>
      </c>
      <c r="G227" t="s">
        <v>4</v>
      </c>
      <c r="H227">
        <v>0</v>
      </c>
      <c r="I227">
        <v>0</v>
      </c>
      <c r="J227">
        <v>2020</v>
      </c>
      <c r="K227" t="str">
        <f>IF(Books[[#This Row],[AVERAGE RATING]]&gt;=4,"High",IF(Books[[#This Row],[AVERAGE RATING]]&gt;=3,"Medium","Low"))</f>
        <v>Low</v>
      </c>
      <c r="L227" t="str">
        <f>IF(Books[[#This Row],[AVERAGE RATING]]&gt;10000,"Popular","Average")</f>
        <v>Average</v>
      </c>
      <c r="M227">
        <f>Books[[#This Row],[AVERAGE RATING]]*Books[[#This Row],[RATINGS COUNT]]</f>
        <v>0</v>
      </c>
    </row>
    <row r="228" spans="1:13" x14ac:dyDescent="0.25">
      <c r="A228" t="s">
        <v>581</v>
      </c>
      <c r="B228" t="s">
        <v>582</v>
      </c>
      <c r="C228">
        <v>900</v>
      </c>
      <c r="D228" t="s">
        <v>298</v>
      </c>
      <c r="E228" t="s">
        <v>3262</v>
      </c>
      <c r="F228" t="s">
        <v>60</v>
      </c>
      <c r="G228" t="s">
        <v>4</v>
      </c>
      <c r="H228">
        <v>0</v>
      </c>
      <c r="I228">
        <v>0</v>
      </c>
      <c r="J228">
        <v>2023</v>
      </c>
      <c r="K228" t="str">
        <f>IF(Books[[#This Row],[AVERAGE RATING]]&gt;=4,"High",IF(Books[[#This Row],[AVERAGE RATING]]&gt;=3,"Medium","Low"))</f>
        <v>Low</v>
      </c>
      <c r="L228" t="str">
        <f>IF(Books[[#This Row],[AVERAGE RATING]]&gt;10000,"Popular","Average")</f>
        <v>Average</v>
      </c>
      <c r="M228">
        <f>Books[[#This Row],[AVERAGE RATING]]*Books[[#This Row],[RATINGS COUNT]]</f>
        <v>0</v>
      </c>
    </row>
    <row r="229" spans="1:13" x14ac:dyDescent="0.25">
      <c r="A229" t="s">
        <v>583</v>
      </c>
      <c r="B229" t="s">
        <v>584</v>
      </c>
      <c r="C229">
        <v>183</v>
      </c>
      <c r="D229" t="s">
        <v>180</v>
      </c>
      <c r="E229" t="s">
        <v>3264</v>
      </c>
      <c r="F229" t="s">
        <v>585</v>
      </c>
      <c r="G229" t="s">
        <v>4</v>
      </c>
      <c r="H229">
        <v>0</v>
      </c>
      <c r="I229">
        <v>0</v>
      </c>
      <c r="J229">
        <v>2013</v>
      </c>
      <c r="K229" t="str">
        <f>IF(Books[[#This Row],[AVERAGE RATING]]&gt;=4,"High",IF(Books[[#This Row],[AVERAGE RATING]]&gt;=3,"Medium","Low"))</f>
        <v>Low</v>
      </c>
      <c r="L229" t="str">
        <f>IF(Books[[#This Row],[AVERAGE RATING]]&gt;10000,"Popular","Average")</f>
        <v>Average</v>
      </c>
      <c r="M229">
        <f>Books[[#This Row],[AVERAGE RATING]]*Books[[#This Row],[RATINGS COUNT]]</f>
        <v>0</v>
      </c>
    </row>
    <row r="230" spans="1:13" x14ac:dyDescent="0.25">
      <c r="A230" t="s">
        <v>586</v>
      </c>
      <c r="B230" t="s">
        <v>587</v>
      </c>
      <c r="C230">
        <v>376</v>
      </c>
      <c r="D230" t="s">
        <v>298</v>
      </c>
      <c r="E230" t="s">
        <v>3265</v>
      </c>
      <c r="F230" t="s">
        <v>122</v>
      </c>
      <c r="G230" t="s">
        <v>4</v>
      </c>
      <c r="H230">
        <v>4</v>
      </c>
      <c r="I230">
        <v>3</v>
      </c>
      <c r="J230">
        <v>2014</v>
      </c>
      <c r="K230" t="str">
        <f>IF(Books[[#This Row],[AVERAGE RATING]]&gt;=4,"High",IF(Books[[#This Row],[AVERAGE RATING]]&gt;=3,"Medium","Low"))</f>
        <v>High</v>
      </c>
      <c r="L230" t="str">
        <f>IF(Books[[#This Row],[AVERAGE RATING]]&gt;10000,"Popular","Average")</f>
        <v>Average</v>
      </c>
      <c r="M230">
        <f>Books[[#This Row],[AVERAGE RATING]]*Books[[#This Row],[RATINGS COUNT]]</f>
        <v>12</v>
      </c>
    </row>
    <row r="231" spans="1:13" x14ac:dyDescent="0.25">
      <c r="A231" t="s">
        <v>588</v>
      </c>
      <c r="B231" t="s">
        <v>589</v>
      </c>
      <c r="C231">
        <v>372</v>
      </c>
      <c r="D231" t="s">
        <v>298</v>
      </c>
      <c r="E231" t="s">
        <v>3266</v>
      </c>
      <c r="F231" t="s">
        <v>132</v>
      </c>
      <c r="G231" t="s">
        <v>4</v>
      </c>
      <c r="H231">
        <v>5</v>
      </c>
      <c r="I231">
        <v>2</v>
      </c>
      <c r="J231">
        <v>2016</v>
      </c>
      <c r="K231" t="str">
        <f>IF(Books[[#This Row],[AVERAGE RATING]]&gt;=4,"High",IF(Books[[#This Row],[AVERAGE RATING]]&gt;=3,"Medium","Low"))</f>
        <v>High</v>
      </c>
      <c r="L231" t="str">
        <f>IF(Books[[#This Row],[AVERAGE RATING]]&gt;10000,"Popular","Average")</f>
        <v>Average</v>
      </c>
      <c r="M231">
        <f>Books[[#This Row],[AVERAGE RATING]]*Books[[#This Row],[RATINGS COUNT]]</f>
        <v>10</v>
      </c>
    </row>
    <row r="232" spans="1:13" x14ac:dyDescent="0.25">
      <c r="A232" t="s">
        <v>590</v>
      </c>
      <c r="B232" t="s">
        <v>591</v>
      </c>
      <c r="C232">
        <v>318</v>
      </c>
      <c r="D232" t="s">
        <v>328</v>
      </c>
      <c r="E232" t="s">
        <v>3271</v>
      </c>
      <c r="F232" t="s">
        <v>93</v>
      </c>
      <c r="G232" t="s">
        <v>4</v>
      </c>
      <c r="H232">
        <v>0</v>
      </c>
      <c r="I232">
        <v>0</v>
      </c>
      <c r="J232">
        <v>2018</v>
      </c>
      <c r="K232" t="str">
        <f>IF(Books[[#This Row],[AVERAGE RATING]]&gt;=4,"High",IF(Books[[#This Row],[AVERAGE RATING]]&gt;=3,"Medium","Low"))</f>
        <v>Low</v>
      </c>
      <c r="L232" t="str">
        <f>IF(Books[[#This Row],[AVERAGE RATING]]&gt;10000,"Popular","Average")</f>
        <v>Average</v>
      </c>
      <c r="M232">
        <f>Books[[#This Row],[AVERAGE RATING]]*Books[[#This Row],[RATINGS COUNT]]</f>
        <v>0</v>
      </c>
    </row>
    <row r="233" spans="1:13" x14ac:dyDescent="0.25">
      <c r="A233" t="s">
        <v>592</v>
      </c>
      <c r="B233" t="s">
        <v>593</v>
      </c>
      <c r="C233">
        <v>374</v>
      </c>
      <c r="D233" t="s">
        <v>144</v>
      </c>
      <c r="E233" t="s">
        <v>3272</v>
      </c>
      <c r="F233" t="s">
        <v>594</v>
      </c>
      <c r="G233" t="s">
        <v>4</v>
      </c>
      <c r="H233">
        <v>0</v>
      </c>
      <c r="I233">
        <v>0</v>
      </c>
      <c r="J233">
        <v>2007</v>
      </c>
      <c r="K233" t="str">
        <f>IF(Books[[#This Row],[AVERAGE RATING]]&gt;=4,"High",IF(Books[[#This Row],[AVERAGE RATING]]&gt;=3,"Medium","Low"))</f>
        <v>Low</v>
      </c>
      <c r="L233" t="str">
        <f>IF(Books[[#This Row],[AVERAGE RATING]]&gt;10000,"Popular","Average")</f>
        <v>Average</v>
      </c>
      <c r="M233">
        <f>Books[[#This Row],[AVERAGE RATING]]*Books[[#This Row],[RATINGS COUNT]]</f>
        <v>0</v>
      </c>
    </row>
    <row r="234" spans="1:13" x14ac:dyDescent="0.25">
      <c r="A234" t="s">
        <v>595</v>
      </c>
      <c r="B234" t="s">
        <v>596</v>
      </c>
      <c r="C234">
        <v>232</v>
      </c>
      <c r="D234" t="s">
        <v>597</v>
      </c>
      <c r="E234" t="s">
        <v>3273</v>
      </c>
      <c r="F234" t="s">
        <v>76</v>
      </c>
      <c r="G234" t="s">
        <v>4</v>
      </c>
      <c r="H234">
        <v>0</v>
      </c>
      <c r="I234">
        <v>0</v>
      </c>
      <c r="J234">
        <v>2023</v>
      </c>
      <c r="K234" t="str">
        <f>IF(Books[[#This Row],[AVERAGE RATING]]&gt;=4,"High",IF(Books[[#This Row],[AVERAGE RATING]]&gt;=3,"Medium","Low"))</f>
        <v>Low</v>
      </c>
      <c r="L234" t="str">
        <f>IF(Books[[#This Row],[AVERAGE RATING]]&gt;10000,"Popular","Average")</f>
        <v>Average</v>
      </c>
      <c r="M234">
        <f>Books[[#This Row],[AVERAGE RATING]]*Books[[#This Row],[RATINGS COUNT]]</f>
        <v>0</v>
      </c>
    </row>
    <row r="235" spans="1:13" x14ac:dyDescent="0.25">
      <c r="A235" t="s">
        <v>598</v>
      </c>
      <c r="B235" t="s">
        <v>599</v>
      </c>
      <c r="C235">
        <v>632</v>
      </c>
      <c r="D235" t="s">
        <v>144</v>
      </c>
      <c r="E235" t="s">
        <v>3274</v>
      </c>
      <c r="F235" t="s">
        <v>600</v>
      </c>
      <c r="G235" t="s">
        <v>4</v>
      </c>
      <c r="H235">
        <v>0</v>
      </c>
      <c r="I235">
        <v>0</v>
      </c>
      <c r="J235">
        <v>2024</v>
      </c>
      <c r="K235" t="str">
        <f>IF(Books[[#This Row],[AVERAGE RATING]]&gt;=4,"High",IF(Books[[#This Row],[AVERAGE RATING]]&gt;=3,"Medium","Low"))</f>
        <v>Low</v>
      </c>
      <c r="L235" t="str">
        <f>IF(Books[[#This Row],[AVERAGE RATING]]&gt;10000,"Popular","Average")</f>
        <v>Average</v>
      </c>
      <c r="M235">
        <f>Books[[#This Row],[AVERAGE RATING]]*Books[[#This Row],[RATINGS COUNT]]</f>
        <v>0</v>
      </c>
    </row>
    <row r="236" spans="1:13" x14ac:dyDescent="0.25">
      <c r="A236" t="s">
        <v>601</v>
      </c>
      <c r="B236" t="s">
        <v>602</v>
      </c>
      <c r="C236">
        <v>1131</v>
      </c>
      <c r="D236" t="s">
        <v>144</v>
      </c>
      <c r="E236" t="s">
        <v>3275</v>
      </c>
      <c r="F236" t="s">
        <v>603</v>
      </c>
      <c r="G236" t="s">
        <v>4</v>
      </c>
      <c r="H236">
        <v>0</v>
      </c>
      <c r="I236">
        <v>0</v>
      </c>
      <c r="J236">
        <v>2013</v>
      </c>
      <c r="K236" t="str">
        <f>IF(Books[[#This Row],[AVERAGE RATING]]&gt;=4,"High",IF(Books[[#This Row],[AVERAGE RATING]]&gt;=3,"Medium","Low"))</f>
        <v>Low</v>
      </c>
      <c r="L236" t="str">
        <f>IF(Books[[#This Row],[AVERAGE RATING]]&gt;10000,"Popular","Average")</f>
        <v>Average</v>
      </c>
      <c r="M236">
        <f>Books[[#This Row],[AVERAGE RATING]]*Books[[#This Row],[RATINGS COUNT]]</f>
        <v>0</v>
      </c>
    </row>
    <row r="237" spans="1:13" x14ac:dyDescent="0.25">
      <c r="A237" t="s">
        <v>604</v>
      </c>
      <c r="B237" t="s">
        <v>605</v>
      </c>
      <c r="C237">
        <v>368</v>
      </c>
      <c r="D237" t="s">
        <v>144</v>
      </c>
      <c r="E237" t="s">
        <v>3276</v>
      </c>
      <c r="F237" t="s">
        <v>403</v>
      </c>
      <c r="G237" t="s">
        <v>4</v>
      </c>
      <c r="H237">
        <v>5</v>
      </c>
      <c r="I237">
        <v>2</v>
      </c>
      <c r="J237">
        <v>2003</v>
      </c>
      <c r="K237" t="str">
        <f>IF(Books[[#This Row],[AVERAGE RATING]]&gt;=4,"High",IF(Books[[#This Row],[AVERAGE RATING]]&gt;=3,"Medium","Low"))</f>
        <v>High</v>
      </c>
      <c r="L237" t="str">
        <f>IF(Books[[#This Row],[AVERAGE RATING]]&gt;10000,"Popular","Average")</f>
        <v>Average</v>
      </c>
      <c r="M237">
        <f>Books[[#This Row],[AVERAGE RATING]]*Books[[#This Row],[RATINGS COUNT]]</f>
        <v>10</v>
      </c>
    </row>
    <row r="238" spans="1:13" x14ac:dyDescent="0.25">
      <c r="A238" t="s">
        <v>606</v>
      </c>
      <c r="B238" t="s">
        <v>607</v>
      </c>
      <c r="C238">
        <v>703</v>
      </c>
      <c r="D238" t="s">
        <v>144</v>
      </c>
      <c r="E238" t="s">
        <v>3277</v>
      </c>
      <c r="F238" t="s">
        <v>608</v>
      </c>
      <c r="G238" t="s">
        <v>4</v>
      </c>
      <c r="H238">
        <v>0</v>
      </c>
      <c r="I238">
        <v>0</v>
      </c>
      <c r="J238">
        <v>2013</v>
      </c>
      <c r="K238" t="str">
        <f>IF(Books[[#This Row],[AVERAGE RATING]]&gt;=4,"High",IF(Books[[#This Row],[AVERAGE RATING]]&gt;=3,"Medium","Low"))</f>
        <v>Low</v>
      </c>
      <c r="L238" t="str">
        <f>IF(Books[[#This Row],[AVERAGE RATING]]&gt;10000,"Popular","Average")</f>
        <v>Average</v>
      </c>
      <c r="M238">
        <f>Books[[#This Row],[AVERAGE RATING]]*Books[[#This Row],[RATINGS COUNT]]</f>
        <v>0</v>
      </c>
    </row>
    <row r="239" spans="1:13" x14ac:dyDescent="0.25">
      <c r="A239" t="s">
        <v>609</v>
      </c>
      <c r="B239" t="s">
        <v>610</v>
      </c>
      <c r="C239">
        <v>1745</v>
      </c>
      <c r="D239" t="s">
        <v>144</v>
      </c>
      <c r="E239" t="s">
        <v>3278</v>
      </c>
      <c r="F239" t="s">
        <v>611</v>
      </c>
      <c r="G239" t="s">
        <v>4</v>
      </c>
      <c r="H239">
        <v>1</v>
      </c>
      <c r="I239">
        <v>1</v>
      </c>
      <c r="J239">
        <v>2014</v>
      </c>
      <c r="K239" t="str">
        <f>IF(Books[[#This Row],[AVERAGE RATING]]&gt;=4,"High",IF(Books[[#This Row],[AVERAGE RATING]]&gt;=3,"Medium","Low"))</f>
        <v>Low</v>
      </c>
      <c r="L239" t="str">
        <f>IF(Books[[#This Row],[AVERAGE RATING]]&gt;10000,"Popular","Average")</f>
        <v>Average</v>
      </c>
      <c r="M239">
        <f>Books[[#This Row],[AVERAGE RATING]]*Books[[#This Row],[RATINGS COUNT]]</f>
        <v>1</v>
      </c>
    </row>
    <row r="240" spans="1:13" x14ac:dyDescent="0.25">
      <c r="A240" t="s">
        <v>612</v>
      </c>
      <c r="B240" t="s">
        <v>613</v>
      </c>
      <c r="C240">
        <v>601</v>
      </c>
      <c r="D240" t="s">
        <v>144</v>
      </c>
      <c r="E240" t="s">
        <v>3279</v>
      </c>
      <c r="F240" t="s">
        <v>614</v>
      </c>
      <c r="G240" t="s">
        <v>4</v>
      </c>
      <c r="H240">
        <v>0</v>
      </c>
      <c r="I240">
        <v>0</v>
      </c>
      <c r="J240">
        <v>2017</v>
      </c>
      <c r="K240" t="str">
        <f>IF(Books[[#This Row],[AVERAGE RATING]]&gt;=4,"High",IF(Books[[#This Row],[AVERAGE RATING]]&gt;=3,"Medium","Low"))</f>
        <v>Low</v>
      </c>
      <c r="L240" t="str">
        <f>IF(Books[[#This Row],[AVERAGE RATING]]&gt;10000,"Popular","Average")</f>
        <v>Average</v>
      </c>
      <c r="M240">
        <f>Books[[#This Row],[AVERAGE RATING]]*Books[[#This Row],[RATINGS COUNT]]</f>
        <v>0</v>
      </c>
    </row>
    <row r="241" spans="1:13" x14ac:dyDescent="0.25">
      <c r="A241" t="s">
        <v>615</v>
      </c>
      <c r="B241" t="s">
        <v>616</v>
      </c>
      <c r="C241">
        <v>505</v>
      </c>
      <c r="D241" t="s">
        <v>617</v>
      </c>
      <c r="E241" t="s">
        <v>3281</v>
      </c>
      <c r="F241" t="s">
        <v>618</v>
      </c>
      <c r="G241" t="s">
        <v>4</v>
      </c>
      <c r="H241">
        <v>0</v>
      </c>
      <c r="I241">
        <v>0</v>
      </c>
      <c r="J241">
        <v>2016</v>
      </c>
      <c r="K241" t="str">
        <f>IF(Books[[#This Row],[AVERAGE RATING]]&gt;=4,"High",IF(Books[[#This Row],[AVERAGE RATING]]&gt;=3,"Medium","Low"))</f>
        <v>Low</v>
      </c>
      <c r="L241" t="str">
        <f>IF(Books[[#This Row],[AVERAGE RATING]]&gt;10000,"Popular","Average")</f>
        <v>Average</v>
      </c>
      <c r="M241">
        <f>Books[[#This Row],[AVERAGE RATING]]*Books[[#This Row],[RATINGS COUNT]]</f>
        <v>0</v>
      </c>
    </row>
    <row r="242" spans="1:13" x14ac:dyDescent="0.25">
      <c r="A242" t="s">
        <v>619</v>
      </c>
      <c r="B242" t="s">
        <v>620</v>
      </c>
      <c r="C242">
        <v>161</v>
      </c>
      <c r="D242" t="s">
        <v>617</v>
      </c>
      <c r="E242" t="s">
        <v>3282</v>
      </c>
      <c r="F242" t="s">
        <v>621</v>
      </c>
      <c r="G242" t="s">
        <v>4</v>
      </c>
      <c r="H242">
        <v>0</v>
      </c>
      <c r="I242">
        <v>0</v>
      </c>
      <c r="J242">
        <v>2008</v>
      </c>
      <c r="K242" t="str">
        <f>IF(Books[[#This Row],[AVERAGE RATING]]&gt;=4,"High",IF(Books[[#This Row],[AVERAGE RATING]]&gt;=3,"Medium","Low"))</f>
        <v>Low</v>
      </c>
      <c r="L242" t="str">
        <f>IF(Books[[#This Row],[AVERAGE RATING]]&gt;10000,"Popular","Average")</f>
        <v>Average</v>
      </c>
      <c r="M242">
        <f>Books[[#This Row],[AVERAGE RATING]]*Books[[#This Row],[RATINGS COUNT]]</f>
        <v>0</v>
      </c>
    </row>
    <row r="243" spans="1:13" x14ac:dyDescent="0.25">
      <c r="A243" t="s">
        <v>622</v>
      </c>
      <c r="B243" t="s">
        <v>623</v>
      </c>
      <c r="C243">
        <v>232</v>
      </c>
      <c r="D243" t="s">
        <v>624</v>
      </c>
      <c r="E243" t="s">
        <v>3055</v>
      </c>
      <c r="F243" t="s">
        <v>625</v>
      </c>
      <c r="G243" t="s">
        <v>4</v>
      </c>
      <c r="H243">
        <v>5</v>
      </c>
      <c r="I243">
        <v>2</v>
      </c>
      <c r="J243">
        <v>2004</v>
      </c>
      <c r="K243" t="str">
        <f>IF(Books[[#This Row],[AVERAGE RATING]]&gt;=4,"High",IF(Books[[#This Row],[AVERAGE RATING]]&gt;=3,"Medium","Low"))</f>
        <v>High</v>
      </c>
      <c r="L243" t="str">
        <f>IF(Books[[#This Row],[AVERAGE RATING]]&gt;10000,"Popular","Average")</f>
        <v>Average</v>
      </c>
      <c r="M243">
        <f>Books[[#This Row],[AVERAGE RATING]]*Books[[#This Row],[RATINGS COUNT]]</f>
        <v>10</v>
      </c>
    </row>
    <row r="244" spans="1:13" x14ac:dyDescent="0.25">
      <c r="A244" t="s">
        <v>626</v>
      </c>
      <c r="B244" t="s">
        <v>627</v>
      </c>
      <c r="C244">
        <v>229</v>
      </c>
      <c r="D244" t="s">
        <v>628</v>
      </c>
      <c r="E244" t="s">
        <v>3283</v>
      </c>
      <c r="F244" t="s">
        <v>629</v>
      </c>
      <c r="G244" t="s">
        <v>4</v>
      </c>
      <c r="H244">
        <v>0</v>
      </c>
      <c r="I244">
        <v>0</v>
      </c>
      <c r="J244">
        <v>2025</v>
      </c>
      <c r="K244" t="str">
        <f>IF(Books[[#This Row],[AVERAGE RATING]]&gt;=4,"High",IF(Books[[#This Row],[AVERAGE RATING]]&gt;=3,"Medium","Low"))</f>
        <v>Low</v>
      </c>
      <c r="L244" t="str">
        <f>IF(Books[[#This Row],[AVERAGE RATING]]&gt;10000,"Popular","Average")</f>
        <v>Average</v>
      </c>
      <c r="M244">
        <f>Books[[#This Row],[AVERAGE RATING]]*Books[[#This Row],[RATINGS COUNT]]</f>
        <v>0</v>
      </c>
    </row>
    <row r="245" spans="1:13" x14ac:dyDescent="0.25">
      <c r="A245" t="s">
        <v>630</v>
      </c>
      <c r="B245" t="s">
        <v>631</v>
      </c>
      <c r="C245">
        <v>75</v>
      </c>
      <c r="D245" t="s">
        <v>632</v>
      </c>
      <c r="E245" t="s">
        <v>3284</v>
      </c>
      <c r="F245" t="s">
        <v>633</v>
      </c>
      <c r="G245" t="s">
        <v>4</v>
      </c>
      <c r="H245">
        <v>0</v>
      </c>
      <c r="I245">
        <v>0</v>
      </c>
      <c r="J245">
        <v>1997</v>
      </c>
      <c r="K245" t="str">
        <f>IF(Books[[#This Row],[AVERAGE RATING]]&gt;=4,"High",IF(Books[[#This Row],[AVERAGE RATING]]&gt;=3,"Medium","Low"))</f>
        <v>Low</v>
      </c>
      <c r="L245" t="str">
        <f>IF(Books[[#This Row],[AVERAGE RATING]]&gt;10000,"Popular","Average")</f>
        <v>Average</v>
      </c>
      <c r="M245">
        <f>Books[[#This Row],[AVERAGE RATING]]*Books[[#This Row],[RATINGS COUNT]]</f>
        <v>0</v>
      </c>
    </row>
    <row r="246" spans="1:13" x14ac:dyDescent="0.25">
      <c r="A246" t="s">
        <v>634</v>
      </c>
      <c r="B246" t="s">
        <v>635</v>
      </c>
      <c r="C246">
        <v>472</v>
      </c>
      <c r="D246" t="s">
        <v>420</v>
      </c>
      <c r="E246" t="s">
        <v>3285</v>
      </c>
      <c r="F246" t="s">
        <v>403</v>
      </c>
      <c r="G246" t="s">
        <v>4</v>
      </c>
      <c r="H246">
        <v>0</v>
      </c>
      <c r="I246">
        <v>0</v>
      </c>
      <c r="J246">
        <v>2024</v>
      </c>
      <c r="K246" t="str">
        <f>IF(Books[[#This Row],[AVERAGE RATING]]&gt;=4,"High",IF(Books[[#This Row],[AVERAGE RATING]]&gt;=3,"Medium","Low"))</f>
        <v>Low</v>
      </c>
      <c r="L246" t="str">
        <f>IF(Books[[#This Row],[AVERAGE RATING]]&gt;10000,"Popular","Average")</f>
        <v>Average</v>
      </c>
      <c r="M246">
        <f>Books[[#This Row],[AVERAGE RATING]]*Books[[#This Row],[RATINGS COUNT]]</f>
        <v>0</v>
      </c>
    </row>
    <row r="247" spans="1:13" x14ac:dyDescent="0.25">
      <c r="A247" t="s">
        <v>636</v>
      </c>
      <c r="B247" t="s">
        <v>637</v>
      </c>
      <c r="C247">
        <v>426</v>
      </c>
      <c r="D247" t="s">
        <v>28</v>
      </c>
      <c r="E247" t="s">
        <v>3286</v>
      </c>
      <c r="F247" t="s">
        <v>18</v>
      </c>
      <c r="G247" t="s">
        <v>4</v>
      </c>
      <c r="H247">
        <v>0</v>
      </c>
      <c r="I247">
        <v>0</v>
      </c>
      <c r="J247">
        <v>2021</v>
      </c>
      <c r="K247" t="str">
        <f>IF(Books[[#This Row],[AVERAGE RATING]]&gt;=4,"High",IF(Books[[#This Row],[AVERAGE RATING]]&gt;=3,"Medium","Low"))</f>
        <v>Low</v>
      </c>
      <c r="L247" t="str">
        <f>IF(Books[[#This Row],[AVERAGE RATING]]&gt;10000,"Popular","Average")</f>
        <v>Average</v>
      </c>
      <c r="M247">
        <f>Books[[#This Row],[AVERAGE RATING]]*Books[[#This Row],[RATINGS COUNT]]</f>
        <v>0</v>
      </c>
    </row>
    <row r="248" spans="1:13" x14ac:dyDescent="0.25">
      <c r="A248" t="s">
        <v>638</v>
      </c>
      <c r="B248" t="s">
        <v>639</v>
      </c>
      <c r="C248">
        <v>1108</v>
      </c>
      <c r="D248" t="s">
        <v>640</v>
      </c>
      <c r="E248" t="s">
        <v>3287</v>
      </c>
      <c r="F248" t="s">
        <v>641</v>
      </c>
      <c r="G248" t="s">
        <v>4</v>
      </c>
      <c r="H248">
        <v>0</v>
      </c>
      <c r="I248">
        <v>0</v>
      </c>
      <c r="J248">
        <v>2010</v>
      </c>
      <c r="K248" t="str">
        <f>IF(Books[[#This Row],[AVERAGE RATING]]&gt;=4,"High",IF(Books[[#This Row],[AVERAGE RATING]]&gt;=3,"Medium","Low"))</f>
        <v>Low</v>
      </c>
      <c r="L248" t="str">
        <f>IF(Books[[#This Row],[AVERAGE RATING]]&gt;10000,"Popular","Average")</f>
        <v>Average</v>
      </c>
      <c r="M248">
        <f>Books[[#This Row],[AVERAGE RATING]]*Books[[#This Row],[RATINGS COUNT]]</f>
        <v>0</v>
      </c>
    </row>
    <row r="249" spans="1:13" x14ac:dyDescent="0.25">
      <c r="A249" t="s">
        <v>642</v>
      </c>
      <c r="B249" t="s">
        <v>643</v>
      </c>
      <c r="C249">
        <v>421</v>
      </c>
      <c r="D249" t="s">
        <v>420</v>
      </c>
      <c r="E249" t="s">
        <v>3288</v>
      </c>
      <c r="F249" t="s">
        <v>644</v>
      </c>
      <c r="G249" t="s">
        <v>4</v>
      </c>
      <c r="H249">
        <v>0</v>
      </c>
      <c r="I249">
        <v>0</v>
      </c>
      <c r="J249">
        <v>2023</v>
      </c>
      <c r="K249" t="str">
        <f>IF(Books[[#This Row],[AVERAGE RATING]]&gt;=4,"High",IF(Books[[#This Row],[AVERAGE RATING]]&gt;=3,"Medium","Low"))</f>
        <v>Low</v>
      </c>
      <c r="L249" t="str">
        <f>IF(Books[[#This Row],[AVERAGE RATING]]&gt;10000,"Popular","Average")</f>
        <v>Average</v>
      </c>
      <c r="M249">
        <f>Books[[#This Row],[AVERAGE RATING]]*Books[[#This Row],[RATINGS COUNT]]</f>
        <v>0</v>
      </c>
    </row>
    <row r="250" spans="1:13" x14ac:dyDescent="0.25">
      <c r="A250" t="s">
        <v>645</v>
      </c>
      <c r="B250" t="s">
        <v>646</v>
      </c>
      <c r="C250">
        <v>282</v>
      </c>
      <c r="D250" t="s">
        <v>144</v>
      </c>
      <c r="E250" t="s">
        <v>3289</v>
      </c>
      <c r="F250" t="s">
        <v>403</v>
      </c>
      <c r="G250" t="s">
        <v>4</v>
      </c>
      <c r="H250">
        <v>0</v>
      </c>
      <c r="I250">
        <v>0</v>
      </c>
      <c r="J250">
        <v>2001</v>
      </c>
      <c r="K250" t="str">
        <f>IF(Books[[#This Row],[AVERAGE RATING]]&gt;=4,"High",IF(Books[[#This Row],[AVERAGE RATING]]&gt;=3,"Medium","Low"))</f>
        <v>Low</v>
      </c>
      <c r="L250" t="str">
        <f>IF(Books[[#This Row],[AVERAGE RATING]]&gt;10000,"Popular","Average")</f>
        <v>Average</v>
      </c>
      <c r="M250">
        <f>Books[[#This Row],[AVERAGE RATING]]*Books[[#This Row],[RATINGS COUNT]]</f>
        <v>0</v>
      </c>
    </row>
    <row r="251" spans="1:13" x14ac:dyDescent="0.25">
      <c r="A251" t="s">
        <v>647</v>
      </c>
      <c r="B251" t="s">
        <v>648</v>
      </c>
      <c r="C251">
        <v>177</v>
      </c>
      <c r="D251" t="s">
        <v>17</v>
      </c>
      <c r="E251" t="s">
        <v>3291</v>
      </c>
      <c r="F251" t="s">
        <v>649</v>
      </c>
      <c r="G251" t="s">
        <v>4</v>
      </c>
      <c r="H251">
        <v>0</v>
      </c>
      <c r="I251">
        <v>0</v>
      </c>
      <c r="J251">
        <v>2023</v>
      </c>
      <c r="K251" t="str">
        <f>IF(Books[[#This Row],[AVERAGE RATING]]&gt;=4,"High",IF(Books[[#This Row],[AVERAGE RATING]]&gt;=3,"Medium","Low"))</f>
        <v>Low</v>
      </c>
      <c r="L251" t="str">
        <f>IF(Books[[#This Row],[AVERAGE RATING]]&gt;10000,"Popular","Average")</f>
        <v>Average</v>
      </c>
      <c r="M251">
        <f>Books[[#This Row],[AVERAGE RATING]]*Books[[#This Row],[RATINGS COUNT]]</f>
        <v>0</v>
      </c>
    </row>
    <row r="252" spans="1:13" x14ac:dyDescent="0.25">
      <c r="A252" t="s">
        <v>650</v>
      </c>
      <c r="B252" t="s">
        <v>651</v>
      </c>
      <c r="C252">
        <v>781</v>
      </c>
      <c r="D252" t="s">
        <v>298</v>
      </c>
      <c r="E252" t="s">
        <v>3082</v>
      </c>
      <c r="F252" t="s">
        <v>652</v>
      </c>
      <c r="G252" t="s">
        <v>4</v>
      </c>
      <c r="H252">
        <v>0</v>
      </c>
      <c r="I252">
        <v>0</v>
      </c>
      <c r="J252">
        <v>2021</v>
      </c>
      <c r="K252" t="str">
        <f>IF(Books[[#This Row],[AVERAGE RATING]]&gt;=4,"High",IF(Books[[#This Row],[AVERAGE RATING]]&gt;=3,"Medium","Low"))</f>
        <v>Low</v>
      </c>
      <c r="L252" t="str">
        <f>IF(Books[[#This Row],[AVERAGE RATING]]&gt;10000,"Popular","Average")</f>
        <v>Average</v>
      </c>
      <c r="M252">
        <f>Books[[#This Row],[AVERAGE RATING]]*Books[[#This Row],[RATINGS COUNT]]</f>
        <v>0</v>
      </c>
    </row>
    <row r="253" spans="1:13" x14ac:dyDescent="0.25">
      <c r="A253" t="s">
        <v>653</v>
      </c>
      <c r="B253" t="s">
        <v>654</v>
      </c>
      <c r="C253">
        <v>445</v>
      </c>
      <c r="D253" t="s">
        <v>15</v>
      </c>
      <c r="E253" t="s">
        <v>3292</v>
      </c>
      <c r="F253" t="s">
        <v>655</v>
      </c>
      <c r="G253" t="s">
        <v>4</v>
      </c>
      <c r="H253">
        <v>0</v>
      </c>
      <c r="I253">
        <v>0</v>
      </c>
      <c r="J253">
        <v>2012</v>
      </c>
      <c r="K253" t="str">
        <f>IF(Books[[#This Row],[AVERAGE RATING]]&gt;=4,"High",IF(Books[[#This Row],[AVERAGE RATING]]&gt;=3,"Medium","Low"))</f>
        <v>Low</v>
      </c>
      <c r="L253" t="str">
        <f>IF(Books[[#This Row],[AVERAGE RATING]]&gt;10000,"Popular","Average")</f>
        <v>Average</v>
      </c>
      <c r="M253">
        <f>Books[[#This Row],[AVERAGE RATING]]*Books[[#This Row],[RATINGS COUNT]]</f>
        <v>0</v>
      </c>
    </row>
    <row r="254" spans="1:13" x14ac:dyDescent="0.25">
      <c r="A254" t="s">
        <v>656</v>
      </c>
      <c r="B254" t="s">
        <v>657</v>
      </c>
      <c r="C254">
        <v>198</v>
      </c>
      <c r="D254" t="s">
        <v>144</v>
      </c>
      <c r="E254" t="s">
        <v>3293</v>
      </c>
      <c r="F254" t="s">
        <v>573</v>
      </c>
      <c r="G254" t="s">
        <v>4</v>
      </c>
      <c r="H254">
        <v>0</v>
      </c>
      <c r="I254">
        <v>0</v>
      </c>
      <c r="J254">
        <v>2021</v>
      </c>
      <c r="K254" t="str">
        <f>IF(Books[[#This Row],[AVERAGE RATING]]&gt;=4,"High",IF(Books[[#This Row],[AVERAGE RATING]]&gt;=3,"Medium","Low"))</f>
        <v>Low</v>
      </c>
      <c r="L254" t="str">
        <f>IF(Books[[#This Row],[AVERAGE RATING]]&gt;10000,"Popular","Average")</f>
        <v>Average</v>
      </c>
      <c r="M254">
        <f>Books[[#This Row],[AVERAGE RATING]]*Books[[#This Row],[RATINGS COUNT]]</f>
        <v>0</v>
      </c>
    </row>
    <row r="255" spans="1:13" x14ac:dyDescent="0.25">
      <c r="A255" t="s">
        <v>658</v>
      </c>
      <c r="B255" t="s">
        <v>659</v>
      </c>
      <c r="C255">
        <v>625</v>
      </c>
      <c r="D255" t="s">
        <v>387</v>
      </c>
      <c r="E255" t="s">
        <v>3294</v>
      </c>
      <c r="F255" t="s">
        <v>660</v>
      </c>
      <c r="G255" t="s">
        <v>4</v>
      </c>
      <c r="H255">
        <v>0</v>
      </c>
      <c r="I255">
        <v>0</v>
      </c>
      <c r="J255">
        <v>2024</v>
      </c>
      <c r="K255" t="str">
        <f>IF(Books[[#This Row],[AVERAGE RATING]]&gt;=4,"High",IF(Books[[#This Row],[AVERAGE RATING]]&gt;=3,"Medium","Low"))</f>
        <v>Low</v>
      </c>
      <c r="L255" t="str">
        <f>IF(Books[[#This Row],[AVERAGE RATING]]&gt;10000,"Popular","Average")</f>
        <v>Average</v>
      </c>
      <c r="M255">
        <f>Books[[#This Row],[AVERAGE RATING]]*Books[[#This Row],[RATINGS COUNT]]</f>
        <v>0</v>
      </c>
    </row>
    <row r="256" spans="1:13" x14ac:dyDescent="0.25">
      <c r="A256" t="s">
        <v>661</v>
      </c>
      <c r="B256" t="s">
        <v>662</v>
      </c>
      <c r="C256">
        <v>594</v>
      </c>
      <c r="D256" t="s">
        <v>118</v>
      </c>
      <c r="E256" t="s">
        <v>3295</v>
      </c>
      <c r="F256" t="s">
        <v>663</v>
      </c>
      <c r="G256" t="s">
        <v>4</v>
      </c>
      <c r="H256">
        <v>5</v>
      </c>
      <c r="I256">
        <v>1</v>
      </c>
      <c r="J256">
        <v>1989</v>
      </c>
      <c r="K256" t="str">
        <f>IF(Books[[#This Row],[AVERAGE RATING]]&gt;=4,"High",IF(Books[[#This Row],[AVERAGE RATING]]&gt;=3,"Medium","Low"))</f>
        <v>High</v>
      </c>
      <c r="L256" t="str">
        <f>IF(Books[[#This Row],[AVERAGE RATING]]&gt;10000,"Popular","Average")</f>
        <v>Average</v>
      </c>
      <c r="M256">
        <f>Books[[#This Row],[AVERAGE RATING]]*Books[[#This Row],[RATINGS COUNT]]</f>
        <v>5</v>
      </c>
    </row>
    <row r="257" spans="1:13" x14ac:dyDescent="0.25">
      <c r="A257" t="s">
        <v>664</v>
      </c>
      <c r="B257" t="s">
        <v>665</v>
      </c>
      <c r="C257">
        <v>863</v>
      </c>
      <c r="D257" t="s">
        <v>15</v>
      </c>
      <c r="E257" t="s">
        <v>3296</v>
      </c>
      <c r="F257" t="s">
        <v>666</v>
      </c>
      <c r="G257" t="s">
        <v>4</v>
      </c>
      <c r="H257">
        <v>0</v>
      </c>
      <c r="I257">
        <v>0</v>
      </c>
      <c r="J257">
        <v>2018</v>
      </c>
      <c r="K257" t="str">
        <f>IF(Books[[#This Row],[AVERAGE RATING]]&gt;=4,"High",IF(Books[[#This Row],[AVERAGE RATING]]&gt;=3,"Medium","Low"))</f>
        <v>Low</v>
      </c>
      <c r="L257" t="str">
        <f>IF(Books[[#This Row],[AVERAGE RATING]]&gt;10000,"Popular","Average")</f>
        <v>Average</v>
      </c>
      <c r="M257">
        <f>Books[[#This Row],[AVERAGE RATING]]*Books[[#This Row],[RATINGS COUNT]]</f>
        <v>0</v>
      </c>
    </row>
    <row r="258" spans="1:13" x14ac:dyDescent="0.25">
      <c r="A258" t="s">
        <v>667</v>
      </c>
      <c r="B258" t="s">
        <v>668</v>
      </c>
      <c r="C258">
        <v>364</v>
      </c>
      <c r="D258" t="s">
        <v>15</v>
      </c>
      <c r="E258" t="s">
        <v>3297</v>
      </c>
      <c r="F258" t="s">
        <v>122</v>
      </c>
      <c r="G258" t="s">
        <v>4</v>
      </c>
      <c r="H258">
        <v>0</v>
      </c>
      <c r="I258">
        <v>0</v>
      </c>
      <c r="J258">
        <v>2007</v>
      </c>
      <c r="K258" t="str">
        <f>IF(Books[[#This Row],[AVERAGE RATING]]&gt;=4,"High",IF(Books[[#This Row],[AVERAGE RATING]]&gt;=3,"Medium","Low"))</f>
        <v>Low</v>
      </c>
      <c r="L258" t="str">
        <f>IF(Books[[#This Row],[AVERAGE RATING]]&gt;10000,"Popular","Average")</f>
        <v>Average</v>
      </c>
      <c r="M258">
        <f>Books[[#This Row],[AVERAGE RATING]]*Books[[#This Row],[RATINGS COUNT]]</f>
        <v>0</v>
      </c>
    </row>
    <row r="259" spans="1:13" x14ac:dyDescent="0.25">
      <c r="A259" t="s">
        <v>669</v>
      </c>
      <c r="B259" t="s">
        <v>670</v>
      </c>
      <c r="C259">
        <v>148</v>
      </c>
      <c r="D259" t="s">
        <v>298</v>
      </c>
      <c r="E259" t="s">
        <v>3298</v>
      </c>
      <c r="F259" t="s">
        <v>122</v>
      </c>
      <c r="G259" t="s">
        <v>4</v>
      </c>
      <c r="H259">
        <v>0</v>
      </c>
      <c r="I259">
        <v>0</v>
      </c>
      <c r="J259">
        <v>1996</v>
      </c>
      <c r="K259" t="str">
        <f>IF(Books[[#This Row],[AVERAGE RATING]]&gt;=4,"High",IF(Books[[#This Row],[AVERAGE RATING]]&gt;=3,"Medium","Low"))</f>
        <v>Low</v>
      </c>
      <c r="L259" t="str">
        <f>IF(Books[[#This Row],[AVERAGE RATING]]&gt;10000,"Popular","Average")</f>
        <v>Average</v>
      </c>
      <c r="M259">
        <f>Books[[#This Row],[AVERAGE RATING]]*Books[[#This Row],[RATINGS COUNT]]</f>
        <v>0</v>
      </c>
    </row>
    <row r="260" spans="1:13" x14ac:dyDescent="0.25">
      <c r="A260" t="s">
        <v>671</v>
      </c>
      <c r="B260" t="s">
        <v>672</v>
      </c>
      <c r="C260">
        <v>125</v>
      </c>
      <c r="D260" t="s">
        <v>673</v>
      </c>
      <c r="E260" t="s">
        <v>3155</v>
      </c>
      <c r="F260" t="s">
        <v>674</v>
      </c>
      <c r="G260" t="s">
        <v>4</v>
      </c>
      <c r="H260">
        <v>0</v>
      </c>
      <c r="I260">
        <v>0</v>
      </c>
      <c r="J260">
        <v>2006</v>
      </c>
      <c r="K260" t="str">
        <f>IF(Books[[#This Row],[AVERAGE RATING]]&gt;=4,"High",IF(Books[[#This Row],[AVERAGE RATING]]&gt;=3,"Medium","Low"))</f>
        <v>Low</v>
      </c>
      <c r="L260" t="str">
        <f>IF(Books[[#This Row],[AVERAGE RATING]]&gt;10000,"Popular","Average")</f>
        <v>Average</v>
      </c>
      <c r="M260">
        <f>Books[[#This Row],[AVERAGE RATING]]*Books[[#This Row],[RATINGS COUNT]]</f>
        <v>0</v>
      </c>
    </row>
    <row r="261" spans="1:13" x14ac:dyDescent="0.25">
      <c r="A261" t="s">
        <v>675</v>
      </c>
      <c r="B261" t="s">
        <v>676</v>
      </c>
      <c r="C261">
        <v>357</v>
      </c>
      <c r="D261" t="s">
        <v>677</v>
      </c>
      <c r="E261" t="s">
        <v>3299</v>
      </c>
      <c r="F261" t="s">
        <v>678</v>
      </c>
      <c r="G261" t="s">
        <v>4</v>
      </c>
      <c r="H261">
        <v>5</v>
      </c>
      <c r="I261">
        <v>2</v>
      </c>
      <c r="J261">
        <v>2006</v>
      </c>
      <c r="K261" t="str">
        <f>IF(Books[[#This Row],[AVERAGE RATING]]&gt;=4,"High",IF(Books[[#This Row],[AVERAGE RATING]]&gt;=3,"Medium","Low"))</f>
        <v>High</v>
      </c>
      <c r="L261" t="str">
        <f>IF(Books[[#This Row],[AVERAGE RATING]]&gt;10000,"Popular","Average")</f>
        <v>Average</v>
      </c>
      <c r="M261">
        <f>Books[[#This Row],[AVERAGE RATING]]*Books[[#This Row],[RATINGS COUNT]]</f>
        <v>10</v>
      </c>
    </row>
    <row r="262" spans="1:13" x14ac:dyDescent="0.25">
      <c r="A262" t="s">
        <v>679</v>
      </c>
      <c r="B262" t="s">
        <v>680</v>
      </c>
      <c r="C262">
        <v>153</v>
      </c>
      <c r="D262" t="s">
        <v>628</v>
      </c>
      <c r="E262" t="s">
        <v>3300</v>
      </c>
      <c r="F262" t="s">
        <v>681</v>
      </c>
      <c r="G262" t="s">
        <v>4</v>
      </c>
      <c r="H262">
        <v>0</v>
      </c>
      <c r="I262">
        <v>0</v>
      </c>
      <c r="J262">
        <v>2024</v>
      </c>
      <c r="K262" t="str">
        <f>IF(Books[[#This Row],[AVERAGE RATING]]&gt;=4,"High",IF(Books[[#This Row],[AVERAGE RATING]]&gt;=3,"Medium","Low"))</f>
        <v>Low</v>
      </c>
      <c r="L262" t="str">
        <f>IF(Books[[#This Row],[AVERAGE RATING]]&gt;10000,"Popular","Average")</f>
        <v>Average</v>
      </c>
      <c r="M262">
        <f>Books[[#This Row],[AVERAGE RATING]]*Books[[#This Row],[RATINGS COUNT]]</f>
        <v>0</v>
      </c>
    </row>
    <row r="263" spans="1:13" x14ac:dyDescent="0.25">
      <c r="A263" t="s">
        <v>682</v>
      </c>
      <c r="B263" t="s">
        <v>683</v>
      </c>
      <c r="C263">
        <v>3347</v>
      </c>
      <c r="D263" t="s">
        <v>85</v>
      </c>
      <c r="E263" t="s">
        <v>3056</v>
      </c>
      <c r="F263" t="s">
        <v>684</v>
      </c>
      <c r="G263" t="s">
        <v>4</v>
      </c>
      <c r="H263">
        <v>1</v>
      </c>
      <c r="I263">
        <v>1</v>
      </c>
      <c r="J263">
        <v>2007</v>
      </c>
      <c r="K263" t="str">
        <f>IF(Books[[#This Row],[AVERAGE RATING]]&gt;=4,"High",IF(Books[[#This Row],[AVERAGE RATING]]&gt;=3,"Medium","Low"))</f>
        <v>Low</v>
      </c>
      <c r="L263" t="str">
        <f>IF(Books[[#This Row],[AVERAGE RATING]]&gt;10000,"Popular","Average")</f>
        <v>Average</v>
      </c>
      <c r="M263">
        <f>Books[[#This Row],[AVERAGE RATING]]*Books[[#This Row],[RATINGS COUNT]]</f>
        <v>1</v>
      </c>
    </row>
    <row r="264" spans="1:13" x14ac:dyDescent="0.25">
      <c r="A264" t="s">
        <v>685</v>
      </c>
      <c r="B264" t="s">
        <v>686</v>
      </c>
      <c r="C264">
        <v>449</v>
      </c>
      <c r="D264" t="s">
        <v>7</v>
      </c>
      <c r="E264" t="s">
        <v>3301</v>
      </c>
      <c r="F264" t="s">
        <v>687</v>
      </c>
      <c r="G264" t="s">
        <v>4</v>
      </c>
      <c r="H264">
        <v>0</v>
      </c>
      <c r="I264">
        <v>0</v>
      </c>
      <c r="J264">
        <v>2023</v>
      </c>
      <c r="K264" t="str">
        <f>IF(Books[[#This Row],[AVERAGE RATING]]&gt;=4,"High",IF(Books[[#This Row],[AVERAGE RATING]]&gt;=3,"Medium","Low"))</f>
        <v>Low</v>
      </c>
      <c r="L264" t="str">
        <f>IF(Books[[#This Row],[AVERAGE RATING]]&gt;10000,"Popular","Average")</f>
        <v>Average</v>
      </c>
      <c r="M264">
        <f>Books[[#This Row],[AVERAGE RATING]]*Books[[#This Row],[RATINGS COUNT]]</f>
        <v>0</v>
      </c>
    </row>
    <row r="265" spans="1:13" x14ac:dyDescent="0.25">
      <c r="A265" t="s">
        <v>688</v>
      </c>
      <c r="B265" t="s">
        <v>689</v>
      </c>
      <c r="C265">
        <v>305</v>
      </c>
      <c r="D265" t="s">
        <v>298</v>
      </c>
      <c r="E265" t="s">
        <v>3302</v>
      </c>
      <c r="F265" t="s">
        <v>690</v>
      </c>
      <c r="G265" t="s">
        <v>4</v>
      </c>
      <c r="H265">
        <v>0</v>
      </c>
      <c r="I265">
        <v>0</v>
      </c>
      <c r="J265">
        <v>2013</v>
      </c>
      <c r="K265" t="str">
        <f>IF(Books[[#This Row],[AVERAGE RATING]]&gt;=4,"High",IF(Books[[#This Row],[AVERAGE RATING]]&gt;=3,"Medium","Low"))</f>
        <v>Low</v>
      </c>
      <c r="L265" t="str">
        <f>IF(Books[[#This Row],[AVERAGE RATING]]&gt;10000,"Popular","Average")</f>
        <v>Average</v>
      </c>
      <c r="M265">
        <f>Books[[#This Row],[AVERAGE RATING]]*Books[[#This Row],[RATINGS COUNT]]</f>
        <v>0</v>
      </c>
    </row>
    <row r="266" spans="1:13" x14ac:dyDescent="0.25">
      <c r="A266" t="s">
        <v>691</v>
      </c>
      <c r="B266" t="s">
        <v>692</v>
      </c>
      <c r="C266">
        <v>443</v>
      </c>
      <c r="D266" t="s">
        <v>420</v>
      </c>
      <c r="E266" t="s">
        <v>3292</v>
      </c>
      <c r="F266" t="s">
        <v>600</v>
      </c>
      <c r="G266" t="s">
        <v>4</v>
      </c>
      <c r="H266">
        <v>0</v>
      </c>
      <c r="I266">
        <v>0</v>
      </c>
      <c r="J266">
        <v>2012</v>
      </c>
      <c r="K266" t="str">
        <f>IF(Books[[#This Row],[AVERAGE RATING]]&gt;=4,"High",IF(Books[[#This Row],[AVERAGE RATING]]&gt;=3,"Medium","Low"))</f>
        <v>Low</v>
      </c>
      <c r="L266" t="str">
        <f>IF(Books[[#This Row],[AVERAGE RATING]]&gt;10000,"Popular","Average")</f>
        <v>Average</v>
      </c>
      <c r="M266">
        <f>Books[[#This Row],[AVERAGE RATING]]*Books[[#This Row],[RATINGS COUNT]]</f>
        <v>0</v>
      </c>
    </row>
    <row r="267" spans="1:13" x14ac:dyDescent="0.25">
      <c r="A267" t="s">
        <v>693</v>
      </c>
      <c r="B267" t="s">
        <v>694</v>
      </c>
      <c r="C267">
        <v>39</v>
      </c>
      <c r="D267" t="s">
        <v>59</v>
      </c>
      <c r="E267" t="s">
        <v>3305</v>
      </c>
      <c r="F267" t="s">
        <v>695</v>
      </c>
      <c r="G267" t="s">
        <v>4</v>
      </c>
      <c r="H267">
        <v>0</v>
      </c>
      <c r="I267">
        <v>0</v>
      </c>
      <c r="J267">
        <v>2019</v>
      </c>
      <c r="K267" t="str">
        <f>IF(Books[[#This Row],[AVERAGE RATING]]&gt;=4,"High",IF(Books[[#This Row],[AVERAGE RATING]]&gt;=3,"Medium","Low"))</f>
        <v>Low</v>
      </c>
      <c r="L267" t="str">
        <f>IF(Books[[#This Row],[AVERAGE RATING]]&gt;10000,"Popular","Average")</f>
        <v>Average</v>
      </c>
      <c r="M267">
        <f>Books[[#This Row],[AVERAGE RATING]]*Books[[#This Row],[RATINGS COUNT]]</f>
        <v>0</v>
      </c>
    </row>
    <row r="268" spans="1:13" x14ac:dyDescent="0.25">
      <c r="A268" t="s">
        <v>696</v>
      </c>
      <c r="B268" t="s">
        <v>697</v>
      </c>
      <c r="C268">
        <v>888</v>
      </c>
      <c r="D268" t="s">
        <v>356</v>
      </c>
      <c r="E268" t="s">
        <v>3306</v>
      </c>
      <c r="F268" t="s">
        <v>35</v>
      </c>
      <c r="G268" t="s">
        <v>4</v>
      </c>
      <c r="H268">
        <v>0</v>
      </c>
      <c r="I268">
        <v>0</v>
      </c>
      <c r="J268">
        <v>2004</v>
      </c>
      <c r="K268" t="str">
        <f>IF(Books[[#This Row],[AVERAGE RATING]]&gt;=4,"High",IF(Books[[#This Row],[AVERAGE RATING]]&gt;=3,"Medium","Low"))</f>
        <v>Low</v>
      </c>
      <c r="L268" t="str">
        <f>IF(Books[[#This Row],[AVERAGE RATING]]&gt;10000,"Popular","Average")</f>
        <v>Average</v>
      </c>
      <c r="M268">
        <f>Books[[#This Row],[AVERAGE RATING]]*Books[[#This Row],[RATINGS COUNT]]</f>
        <v>0</v>
      </c>
    </row>
    <row r="269" spans="1:13" x14ac:dyDescent="0.25">
      <c r="A269" t="s">
        <v>698</v>
      </c>
      <c r="B269" t="s">
        <v>699</v>
      </c>
      <c r="C269">
        <v>742</v>
      </c>
      <c r="D269" t="s">
        <v>356</v>
      </c>
      <c r="E269" t="s">
        <v>3115</v>
      </c>
      <c r="F269" t="s">
        <v>168</v>
      </c>
      <c r="G269" t="s">
        <v>4</v>
      </c>
      <c r="H269">
        <v>0</v>
      </c>
      <c r="I269">
        <v>0</v>
      </c>
      <c r="J269">
        <v>2014</v>
      </c>
      <c r="K269" t="str">
        <f>IF(Books[[#This Row],[AVERAGE RATING]]&gt;=4,"High",IF(Books[[#This Row],[AVERAGE RATING]]&gt;=3,"Medium","Low"))</f>
        <v>Low</v>
      </c>
      <c r="L269" t="str">
        <f>IF(Books[[#This Row],[AVERAGE RATING]]&gt;10000,"Popular","Average")</f>
        <v>Average</v>
      </c>
      <c r="M269">
        <f>Books[[#This Row],[AVERAGE RATING]]*Books[[#This Row],[RATINGS COUNT]]</f>
        <v>0</v>
      </c>
    </row>
    <row r="270" spans="1:13" x14ac:dyDescent="0.25">
      <c r="A270" t="s">
        <v>700</v>
      </c>
      <c r="B270" t="s">
        <v>701</v>
      </c>
      <c r="C270">
        <v>471</v>
      </c>
      <c r="D270" t="s">
        <v>85</v>
      </c>
      <c r="E270" t="s">
        <v>3307</v>
      </c>
      <c r="F270" t="s">
        <v>39</v>
      </c>
      <c r="G270" t="s">
        <v>4</v>
      </c>
      <c r="H270">
        <v>0</v>
      </c>
      <c r="I270">
        <v>0</v>
      </c>
      <c r="J270">
        <v>2012</v>
      </c>
      <c r="K270" t="str">
        <f>IF(Books[[#This Row],[AVERAGE RATING]]&gt;=4,"High",IF(Books[[#This Row],[AVERAGE RATING]]&gt;=3,"Medium","Low"))</f>
        <v>Low</v>
      </c>
      <c r="L270" t="str">
        <f>IF(Books[[#This Row],[AVERAGE RATING]]&gt;10000,"Popular","Average")</f>
        <v>Average</v>
      </c>
      <c r="M270">
        <f>Books[[#This Row],[AVERAGE RATING]]*Books[[#This Row],[RATINGS COUNT]]</f>
        <v>0</v>
      </c>
    </row>
    <row r="271" spans="1:13" x14ac:dyDescent="0.25">
      <c r="A271" t="s">
        <v>702</v>
      </c>
      <c r="B271" t="s">
        <v>703</v>
      </c>
      <c r="C271">
        <v>877</v>
      </c>
      <c r="D271" t="s">
        <v>85</v>
      </c>
      <c r="E271" t="s">
        <v>3308</v>
      </c>
      <c r="F271" t="s">
        <v>270</v>
      </c>
      <c r="G271" t="s">
        <v>4</v>
      </c>
      <c r="H271">
        <v>0</v>
      </c>
      <c r="I271">
        <v>0</v>
      </c>
      <c r="J271">
        <v>2013</v>
      </c>
      <c r="K271" t="str">
        <f>IF(Books[[#This Row],[AVERAGE RATING]]&gt;=4,"High",IF(Books[[#This Row],[AVERAGE RATING]]&gt;=3,"Medium","Low"))</f>
        <v>Low</v>
      </c>
      <c r="L271" t="str">
        <f>IF(Books[[#This Row],[AVERAGE RATING]]&gt;10000,"Popular","Average")</f>
        <v>Average</v>
      </c>
      <c r="M271">
        <f>Books[[#This Row],[AVERAGE RATING]]*Books[[#This Row],[RATINGS COUNT]]</f>
        <v>0</v>
      </c>
    </row>
    <row r="272" spans="1:13" x14ac:dyDescent="0.25">
      <c r="A272" t="s">
        <v>704</v>
      </c>
      <c r="B272" t="s">
        <v>705</v>
      </c>
      <c r="C272">
        <v>1209</v>
      </c>
      <c r="D272" t="s">
        <v>85</v>
      </c>
      <c r="E272" t="s">
        <v>3309</v>
      </c>
      <c r="F272" t="s">
        <v>122</v>
      </c>
      <c r="G272" t="s">
        <v>4</v>
      </c>
      <c r="H272">
        <v>0</v>
      </c>
      <c r="I272">
        <v>0</v>
      </c>
      <c r="J272">
        <v>2010</v>
      </c>
      <c r="K272" t="str">
        <f>IF(Books[[#This Row],[AVERAGE RATING]]&gt;=4,"High",IF(Books[[#This Row],[AVERAGE RATING]]&gt;=3,"Medium","Low"))</f>
        <v>Low</v>
      </c>
      <c r="L272" t="str">
        <f>IF(Books[[#This Row],[AVERAGE RATING]]&gt;10000,"Popular","Average")</f>
        <v>Average</v>
      </c>
      <c r="M272">
        <f>Books[[#This Row],[AVERAGE RATING]]*Books[[#This Row],[RATINGS COUNT]]</f>
        <v>0</v>
      </c>
    </row>
    <row r="273" spans="1:13" x14ac:dyDescent="0.25">
      <c r="A273" t="s">
        <v>706</v>
      </c>
      <c r="B273" t="s">
        <v>707</v>
      </c>
      <c r="C273">
        <v>442</v>
      </c>
      <c r="D273" t="s">
        <v>63</v>
      </c>
      <c r="E273" t="s">
        <v>3310</v>
      </c>
      <c r="F273" t="s">
        <v>554</v>
      </c>
      <c r="G273" t="s">
        <v>4</v>
      </c>
      <c r="H273">
        <v>0</v>
      </c>
      <c r="I273">
        <v>0</v>
      </c>
      <c r="J273">
        <v>2019</v>
      </c>
      <c r="K273" t="str">
        <f>IF(Books[[#This Row],[AVERAGE RATING]]&gt;=4,"High",IF(Books[[#This Row],[AVERAGE RATING]]&gt;=3,"Medium","Low"))</f>
        <v>Low</v>
      </c>
      <c r="L273" t="str">
        <f>IF(Books[[#This Row],[AVERAGE RATING]]&gt;10000,"Popular","Average")</f>
        <v>Average</v>
      </c>
      <c r="M273">
        <f>Books[[#This Row],[AVERAGE RATING]]*Books[[#This Row],[RATINGS COUNT]]</f>
        <v>0</v>
      </c>
    </row>
    <row r="274" spans="1:13" x14ac:dyDescent="0.25">
      <c r="A274" t="s">
        <v>708</v>
      </c>
      <c r="B274" t="s">
        <v>709</v>
      </c>
      <c r="C274">
        <v>555</v>
      </c>
      <c r="D274" t="s">
        <v>85</v>
      </c>
      <c r="E274" t="s">
        <v>3312</v>
      </c>
      <c r="F274" t="s">
        <v>156</v>
      </c>
      <c r="G274" t="s">
        <v>4</v>
      </c>
      <c r="H274">
        <v>0</v>
      </c>
      <c r="I274">
        <v>0</v>
      </c>
      <c r="J274">
        <v>2024</v>
      </c>
      <c r="K274" t="str">
        <f>IF(Books[[#This Row],[AVERAGE RATING]]&gt;=4,"High",IF(Books[[#This Row],[AVERAGE RATING]]&gt;=3,"Medium","Low"))</f>
        <v>Low</v>
      </c>
      <c r="L274" t="str">
        <f>IF(Books[[#This Row],[AVERAGE RATING]]&gt;10000,"Popular","Average")</f>
        <v>Average</v>
      </c>
      <c r="M274">
        <f>Books[[#This Row],[AVERAGE RATING]]*Books[[#This Row],[RATINGS COUNT]]</f>
        <v>0</v>
      </c>
    </row>
    <row r="275" spans="1:13" x14ac:dyDescent="0.25">
      <c r="A275" t="s">
        <v>710</v>
      </c>
      <c r="B275" t="s">
        <v>711</v>
      </c>
      <c r="C275">
        <v>913</v>
      </c>
      <c r="D275" t="s">
        <v>85</v>
      </c>
      <c r="E275" t="s">
        <v>3313</v>
      </c>
      <c r="F275" t="s">
        <v>39</v>
      </c>
      <c r="G275" t="s">
        <v>4</v>
      </c>
      <c r="H275">
        <v>0</v>
      </c>
      <c r="I275">
        <v>0</v>
      </c>
      <c r="J275">
        <v>2023</v>
      </c>
      <c r="K275" t="str">
        <f>IF(Books[[#This Row],[AVERAGE RATING]]&gt;=4,"High",IF(Books[[#This Row],[AVERAGE RATING]]&gt;=3,"Medium","Low"))</f>
        <v>Low</v>
      </c>
      <c r="L275" t="str">
        <f>IF(Books[[#This Row],[AVERAGE RATING]]&gt;10000,"Popular","Average")</f>
        <v>Average</v>
      </c>
      <c r="M275">
        <f>Books[[#This Row],[AVERAGE RATING]]*Books[[#This Row],[RATINGS COUNT]]</f>
        <v>0</v>
      </c>
    </row>
    <row r="276" spans="1:13" x14ac:dyDescent="0.25">
      <c r="A276" t="s">
        <v>712</v>
      </c>
      <c r="B276" t="s">
        <v>713</v>
      </c>
      <c r="C276">
        <v>776</v>
      </c>
      <c r="D276" t="s">
        <v>85</v>
      </c>
      <c r="E276" t="s">
        <v>3314</v>
      </c>
      <c r="F276" t="s">
        <v>279</v>
      </c>
      <c r="G276" t="s">
        <v>4</v>
      </c>
      <c r="H276">
        <v>0</v>
      </c>
      <c r="I276">
        <v>0</v>
      </c>
      <c r="J276">
        <v>2010</v>
      </c>
      <c r="K276" t="str">
        <f>IF(Books[[#This Row],[AVERAGE RATING]]&gt;=4,"High",IF(Books[[#This Row],[AVERAGE RATING]]&gt;=3,"Medium","Low"))</f>
        <v>Low</v>
      </c>
      <c r="L276" t="str">
        <f>IF(Books[[#This Row],[AVERAGE RATING]]&gt;10000,"Popular","Average")</f>
        <v>Average</v>
      </c>
      <c r="M276">
        <f>Books[[#This Row],[AVERAGE RATING]]*Books[[#This Row],[RATINGS COUNT]]</f>
        <v>0</v>
      </c>
    </row>
    <row r="277" spans="1:13" x14ac:dyDescent="0.25">
      <c r="A277" t="s">
        <v>714</v>
      </c>
      <c r="B277" t="s">
        <v>715</v>
      </c>
      <c r="C277">
        <v>499</v>
      </c>
      <c r="D277" t="s">
        <v>85</v>
      </c>
      <c r="E277" t="s">
        <v>3315</v>
      </c>
      <c r="F277" t="s">
        <v>35</v>
      </c>
      <c r="G277" t="s">
        <v>4</v>
      </c>
      <c r="H277">
        <v>5</v>
      </c>
      <c r="I277">
        <v>1</v>
      </c>
      <c r="J277">
        <v>2013</v>
      </c>
      <c r="K277" t="str">
        <f>IF(Books[[#This Row],[AVERAGE RATING]]&gt;=4,"High",IF(Books[[#This Row],[AVERAGE RATING]]&gt;=3,"Medium","Low"))</f>
        <v>High</v>
      </c>
      <c r="L277" t="str">
        <f>IF(Books[[#This Row],[AVERAGE RATING]]&gt;10000,"Popular","Average")</f>
        <v>Average</v>
      </c>
      <c r="M277">
        <f>Books[[#This Row],[AVERAGE RATING]]*Books[[#This Row],[RATINGS COUNT]]</f>
        <v>5</v>
      </c>
    </row>
    <row r="278" spans="1:13" x14ac:dyDescent="0.25">
      <c r="A278" t="s">
        <v>716</v>
      </c>
      <c r="B278" t="s">
        <v>717</v>
      </c>
      <c r="C278">
        <v>734</v>
      </c>
      <c r="D278" t="s">
        <v>85</v>
      </c>
      <c r="E278" t="s">
        <v>3316</v>
      </c>
      <c r="F278" t="s">
        <v>718</v>
      </c>
      <c r="G278" t="s">
        <v>4</v>
      </c>
      <c r="H278">
        <v>0</v>
      </c>
      <c r="I278">
        <v>0</v>
      </c>
      <c r="J278">
        <v>2012</v>
      </c>
      <c r="K278" t="str">
        <f>IF(Books[[#This Row],[AVERAGE RATING]]&gt;=4,"High",IF(Books[[#This Row],[AVERAGE RATING]]&gt;=3,"Medium","Low"))</f>
        <v>Low</v>
      </c>
      <c r="L278" t="str">
        <f>IF(Books[[#This Row],[AVERAGE RATING]]&gt;10000,"Popular","Average")</f>
        <v>Average</v>
      </c>
      <c r="M278">
        <f>Books[[#This Row],[AVERAGE RATING]]*Books[[#This Row],[RATINGS COUNT]]</f>
        <v>0</v>
      </c>
    </row>
    <row r="279" spans="1:13" x14ac:dyDescent="0.25">
      <c r="A279" t="s">
        <v>719</v>
      </c>
      <c r="B279" t="s">
        <v>720</v>
      </c>
      <c r="C279">
        <v>324</v>
      </c>
      <c r="D279" t="s">
        <v>59</v>
      </c>
      <c r="E279" t="s">
        <v>3317</v>
      </c>
      <c r="F279" t="s">
        <v>64</v>
      </c>
      <c r="G279" t="s">
        <v>4</v>
      </c>
      <c r="H279">
        <v>0</v>
      </c>
      <c r="I279">
        <v>0</v>
      </c>
      <c r="J279">
        <v>1983</v>
      </c>
      <c r="K279" t="str">
        <f>IF(Books[[#This Row],[AVERAGE RATING]]&gt;=4,"High",IF(Books[[#This Row],[AVERAGE RATING]]&gt;=3,"Medium","Low"))</f>
        <v>Low</v>
      </c>
      <c r="L279" t="str">
        <f>IF(Books[[#This Row],[AVERAGE RATING]]&gt;10000,"Popular","Average")</f>
        <v>Average</v>
      </c>
      <c r="M279">
        <f>Books[[#This Row],[AVERAGE RATING]]*Books[[#This Row],[RATINGS COUNT]]</f>
        <v>0</v>
      </c>
    </row>
    <row r="280" spans="1:13" x14ac:dyDescent="0.25">
      <c r="A280" t="s">
        <v>721</v>
      </c>
      <c r="B280" t="s">
        <v>722</v>
      </c>
      <c r="C280">
        <v>795</v>
      </c>
      <c r="D280" t="s">
        <v>85</v>
      </c>
      <c r="E280" t="s">
        <v>3318</v>
      </c>
      <c r="F280" t="s">
        <v>39</v>
      </c>
      <c r="G280" t="s">
        <v>4</v>
      </c>
      <c r="H280">
        <v>0</v>
      </c>
      <c r="I280">
        <v>0</v>
      </c>
      <c r="J280">
        <v>2016</v>
      </c>
      <c r="K280" t="str">
        <f>IF(Books[[#This Row],[AVERAGE RATING]]&gt;=4,"High",IF(Books[[#This Row],[AVERAGE RATING]]&gt;=3,"Medium","Low"))</f>
        <v>Low</v>
      </c>
      <c r="L280" t="str">
        <f>IF(Books[[#This Row],[AVERAGE RATING]]&gt;10000,"Popular","Average")</f>
        <v>Average</v>
      </c>
      <c r="M280">
        <f>Books[[#This Row],[AVERAGE RATING]]*Books[[#This Row],[RATINGS COUNT]]</f>
        <v>0</v>
      </c>
    </row>
    <row r="281" spans="1:13" x14ac:dyDescent="0.25">
      <c r="A281" t="s">
        <v>723</v>
      </c>
      <c r="B281" t="s">
        <v>724</v>
      </c>
      <c r="C281">
        <v>135</v>
      </c>
      <c r="D281" t="s">
        <v>38</v>
      </c>
      <c r="E281" t="s">
        <v>3124</v>
      </c>
      <c r="F281" t="s">
        <v>725</v>
      </c>
      <c r="G281" t="s">
        <v>4</v>
      </c>
      <c r="H281">
        <v>0</v>
      </c>
      <c r="I281">
        <v>0</v>
      </c>
      <c r="J281">
        <v>2011</v>
      </c>
      <c r="K281" t="str">
        <f>IF(Books[[#This Row],[AVERAGE RATING]]&gt;=4,"High",IF(Books[[#This Row],[AVERAGE RATING]]&gt;=3,"Medium","Low"))</f>
        <v>Low</v>
      </c>
      <c r="L281" t="str">
        <f>IF(Books[[#This Row],[AVERAGE RATING]]&gt;10000,"Popular","Average")</f>
        <v>Average</v>
      </c>
      <c r="M281">
        <f>Books[[#This Row],[AVERAGE RATING]]*Books[[#This Row],[RATINGS COUNT]]</f>
        <v>0</v>
      </c>
    </row>
    <row r="282" spans="1:13" x14ac:dyDescent="0.25">
      <c r="A282" t="s">
        <v>726</v>
      </c>
      <c r="B282" t="s">
        <v>727</v>
      </c>
      <c r="C282">
        <v>317</v>
      </c>
      <c r="D282" t="s">
        <v>420</v>
      </c>
      <c r="E282" t="s">
        <v>3319</v>
      </c>
      <c r="F282" t="s">
        <v>93</v>
      </c>
      <c r="G282" t="s">
        <v>4</v>
      </c>
      <c r="H282">
        <v>0</v>
      </c>
      <c r="I282">
        <v>0</v>
      </c>
      <c r="J282">
        <v>2014</v>
      </c>
      <c r="K282" t="str">
        <f>IF(Books[[#This Row],[AVERAGE RATING]]&gt;=4,"High",IF(Books[[#This Row],[AVERAGE RATING]]&gt;=3,"Medium","Low"))</f>
        <v>Low</v>
      </c>
      <c r="L282" t="str">
        <f>IF(Books[[#This Row],[AVERAGE RATING]]&gt;10000,"Popular","Average")</f>
        <v>Average</v>
      </c>
      <c r="M282">
        <f>Books[[#This Row],[AVERAGE RATING]]*Books[[#This Row],[RATINGS COUNT]]</f>
        <v>0</v>
      </c>
    </row>
    <row r="283" spans="1:13" x14ac:dyDescent="0.25">
      <c r="A283" t="s">
        <v>728</v>
      </c>
      <c r="B283" t="s">
        <v>729</v>
      </c>
      <c r="C283">
        <v>148</v>
      </c>
      <c r="D283" t="s">
        <v>63</v>
      </c>
      <c r="E283" t="s">
        <v>3284</v>
      </c>
      <c r="F283" t="s">
        <v>547</v>
      </c>
      <c r="G283" t="s">
        <v>4</v>
      </c>
      <c r="H283">
        <v>0</v>
      </c>
      <c r="I283">
        <v>0</v>
      </c>
      <c r="J283">
        <v>1997</v>
      </c>
      <c r="K283" t="str">
        <f>IF(Books[[#This Row],[AVERAGE RATING]]&gt;=4,"High",IF(Books[[#This Row],[AVERAGE RATING]]&gt;=3,"Medium","Low"))</f>
        <v>Low</v>
      </c>
      <c r="L283" t="str">
        <f>IF(Books[[#This Row],[AVERAGE RATING]]&gt;10000,"Popular","Average")</f>
        <v>Average</v>
      </c>
      <c r="M283">
        <f>Books[[#This Row],[AVERAGE RATING]]*Books[[#This Row],[RATINGS COUNT]]</f>
        <v>0</v>
      </c>
    </row>
    <row r="284" spans="1:13" x14ac:dyDescent="0.25">
      <c r="A284" t="s">
        <v>730</v>
      </c>
      <c r="B284" t="s">
        <v>731</v>
      </c>
      <c r="C284">
        <v>296</v>
      </c>
      <c r="D284" t="s">
        <v>28</v>
      </c>
      <c r="E284" t="s">
        <v>3182</v>
      </c>
      <c r="F284" t="s">
        <v>600</v>
      </c>
      <c r="G284" t="s">
        <v>4</v>
      </c>
      <c r="H284">
        <v>0</v>
      </c>
      <c r="I284">
        <v>0</v>
      </c>
      <c r="J284">
        <v>2023</v>
      </c>
      <c r="K284" t="str">
        <f>IF(Books[[#This Row],[AVERAGE RATING]]&gt;=4,"High",IF(Books[[#This Row],[AVERAGE RATING]]&gt;=3,"Medium","Low"))</f>
        <v>Low</v>
      </c>
      <c r="L284" t="str">
        <f>IF(Books[[#This Row],[AVERAGE RATING]]&gt;10000,"Popular","Average")</f>
        <v>Average</v>
      </c>
      <c r="M284">
        <f>Books[[#This Row],[AVERAGE RATING]]*Books[[#This Row],[RATINGS COUNT]]</f>
        <v>0</v>
      </c>
    </row>
    <row r="285" spans="1:13" x14ac:dyDescent="0.25">
      <c r="A285" t="s">
        <v>732</v>
      </c>
      <c r="B285" t="s">
        <v>733</v>
      </c>
      <c r="C285">
        <v>576</v>
      </c>
      <c r="D285" t="s">
        <v>420</v>
      </c>
      <c r="E285" t="s">
        <v>3320</v>
      </c>
      <c r="F285" t="s">
        <v>132</v>
      </c>
      <c r="G285" t="s">
        <v>4</v>
      </c>
      <c r="H285">
        <v>0</v>
      </c>
      <c r="I285">
        <v>0</v>
      </c>
      <c r="J285">
        <v>2019</v>
      </c>
      <c r="K285" t="str">
        <f>IF(Books[[#This Row],[AVERAGE RATING]]&gt;=4,"High",IF(Books[[#This Row],[AVERAGE RATING]]&gt;=3,"Medium","Low"))</f>
        <v>Low</v>
      </c>
      <c r="L285" t="str">
        <f>IF(Books[[#This Row],[AVERAGE RATING]]&gt;10000,"Popular","Average")</f>
        <v>Average</v>
      </c>
      <c r="M285">
        <f>Books[[#This Row],[AVERAGE RATING]]*Books[[#This Row],[RATINGS COUNT]]</f>
        <v>0</v>
      </c>
    </row>
    <row r="286" spans="1:13" x14ac:dyDescent="0.25">
      <c r="A286" t="s">
        <v>734</v>
      </c>
      <c r="B286" t="s">
        <v>735</v>
      </c>
      <c r="C286">
        <v>384</v>
      </c>
      <c r="D286" t="s">
        <v>420</v>
      </c>
      <c r="E286" t="s">
        <v>3321</v>
      </c>
      <c r="F286" t="s">
        <v>600</v>
      </c>
      <c r="G286" t="s">
        <v>4</v>
      </c>
      <c r="H286">
        <v>0</v>
      </c>
      <c r="I286">
        <v>0</v>
      </c>
      <c r="J286">
        <v>2013</v>
      </c>
      <c r="K286" t="str">
        <f>IF(Books[[#This Row],[AVERAGE RATING]]&gt;=4,"High",IF(Books[[#This Row],[AVERAGE RATING]]&gt;=3,"Medium","Low"))</f>
        <v>Low</v>
      </c>
      <c r="L286" t="str">
        <f>IF(Books[[#This Row],[AVERAGE RATING]]&gt;10000,"Popular","Average")</f>
        <v>Average</v>
      </c>
      <c r="M286">
        <f>Books[[#This Row],[AVERAGE RATING]]*Books[[#This Row],[RATINGS COUNT]]</f>
        <v>0</v>
      </c>
    </row>
    <row r="287" spans="1:13" x14ac:dyDescent="0.25">
      <c r="A287" t="s">
        <v>736</v>
      </c>
      <c r="B287" t="s">
        <v>737</v>
      </c>
      <c r="C287">
        <v>224</v>
      </c>
      <c r="D287" t="s">
        <v>15</v>
      </c>
      <c r="E287" t="s">
        <v>3322</v>
      </c>
      <c r="F287" t="s">
        <v>35</v>
      </c>
      <c r="G287" t="s">
        <v>4</v>
      </c>
      <c r="H287">
        <v>0</v>
      </c>
      <c r="I287">
        <v>0</v>
      </c>
      <c r="J287">
        <v>2012</v>
      </c>
      <c r="K287" t="str">
        <f>IF(Books[[#This Row],[AVERAGE RATING]]&gt;=4,"High",IF(Books[[#This Row],[AVERAGE RATING]]&gt;=3,"Medium","Low"))</f>
        <v>Low</v>
      </c>
      <c r="L287" t="str">
        <f>IF(Books[[#This Row],[AVERAGE RATING]]&gt;10000,"Popular","Average")</f>
        <v>Average</v>
      </c>
      <c r="M287">
        <f>Books[[#This Row],[AVERAGE RATING]]*Books[[#This Row],[RATINGS COUNT]]</f>
        <v>0</v>
      </c>
    </row>
    <row r="288" spans="1:13" x14ac:dyDescent="0.25">
      <c r="A288" t="s">
        <v>738</v>
      </c>
      <c r="B288" t="s">
        <v>739</v>
      </c>
      <c r="C288">
        <v>286</v>
      </c>
      <c r="D288" t="s">
        <v>420</v>
      </c>
      <c r="E288" t="s">
        <v>3323</v>
      </c>
      <c r="F288" t="s">
        <v>594</v>
      </c>
      <c r="G288" t="s">
        <v>4</v>
      </c>
      <c r="H288">
        <v>0</v>
      </c>
      <c r="I288">
        <v>0</v>
      </c>
      <c r="J288">
        <v>1997</v>
      </c>
      <c r="K288" t="str">
        <f>IF(Books[[#This Row],[AVERAGE RATING]]&gt;=4,"High",IF(Books[[#This Row],[AVERAGE RATING]]&gt;=3,"Medium","Low"))</f>
        <v>Low</v>
      </c>
      <c r="L288" t="str">
        <f>IF(Books[[#This Row],[AVERAGE RATING]]&gt;10000,"Popular","Average")</f>
        <v>Average</v>
      </c>
      <c r="M288">
        <f>Books[[#This Row],[AVERAGE RATING]]*Books[[#This Row],[RATINGS COUNT]]</f>
        <v>0</v>
      </c>
    </row>
    <row r="289" spans="1:13" x14ac:dyDescent="0.25">
      <c r="A289" t="s">
        <v>740</v>
      </c>
      <c r="B289" t="s">
        <v>741</v>
      </c>
      <c r="C289">
        <v>263</v>
      </c>
      <c r="D289" t="s">
        <v>63</v>
      </c>
      <c r="E289" t="s">
        <v>3324</v>
      </c>
      <c r="F289" t="s">
        <v>600</v>
      </c>
      <c r="G289" t="s">
        <v>4</v>
      </c>
      <c r="H289">
        <v>0</v>
      </c>
      <c r="I289">
        <v>0</v>
      </c>
      <c r="J289">
        <v>2024</v>
      </c>
      <c r="K289" t="str">
        <f>IF(Books[[#This Row],[AVERAGE RATING]]&gt;=4,"High",IF(Books[[#This Row],[AVERAGE RATING]]&gt;=3,"Medium","Low"))</f>
        <v>Low</v>
      </c>
      <c r="L289" t="str">
        <f>IF(Books[[#This Row],[AVERAGE RATING]]&gt;10000,"Popular","Average")</f>
        <v>Average</v>
      </c>
      <c r="M289">
        <f>Books[[#This Row],[AVERAGE RATING]]*Books[[#This Row],[RATINGS COUNT]]</f>
        <v>0</v>
      </c>
    </row>
    <row r="290" spans="1:13" x14ac:dyDescent="0.25">
      <c r="A290" t="s">
        <v>742</v>
      </c>
      <c r="B290" t="s">
        <v>743</v>
      </c>
      <c r="C290">
        <v>504</v>
      </c>
      <c r="D290" t="s">
        <v>406</v>
      </c>
      <c r="E290" t="s">
        <v>3325</v>
      </c>
      <c r="F290" t="s">
        <v>119</v>
      </c>
      <c r="G290" t="s">
        <v>4</v>
      </c>
      <c r="H290">
        <v>0</v>
      </c>
      <c r="I290">
        <v>0</v>
      </c>
      <c r="J290">
        <v>2022</v>
      </c>
      <c r="K290" t="str">
        <f>IF(Books[[#This Row],[AVERAGE RATING]]&gt;=4,"High",IF(Books[[#This Row],[AVERAGE RATING]]&gt;=3,"Medium","Low"))</f>
        <v>Low</v>
      </c>
      <c r="L290" t="str">
        <f>IF(Books[[#This Row],[AVERAGE RATING]]&gt;10000,"Popular","Average")</f>
        <v>Average</v>
      </c>
      <c r="M290">
        <f>Books[[#This Row],[AVERAGE RATING]]*Books[[#This Row],[RATINGS COUNT]]</f>
        <v>0</v>
      </c>
    </row>
    <row r="291" spans="1:13" x14ac:dyDescent="0.25">
      <c r="A291" t="s">
        <v>744</v>
      </c>
      <c r="B291" t="s">
        <v>745</v>
      </c>
      <c r="C291">
        <v>192</v>
      </c>
      <c r="D291" t="s">
        <v>420</v>
      </c>
      <c r="E291" t="s">
        <v>3326</v>
      </c>
      <c r="F291" t="s">
        <v>460</v>
      </c>
      <c r="G291" t="s">
        <v>4</v>
      </c>
      <c r="H291">
        <v>0</v>
      </c>
      <c r="I291">
        <v>0</v>
      </c>
      <c r="J291">
        <v>2012</v>
      </c>
      <c r="K291" t="str">
        <f>IF(Books[[#This Row],[AVERAGE RATING]]&gt;=4,"High",IF(Books[[#This Row],[AVERAGE RATING]]&gt;=3,"Medium","Low"))</f>
        <v>Low</v>
      </c>
      <c r="L291" t="str">
        <f>IF(Books[[#This Row],[AVERAGE RATING]]&gt;10000,"Popular","Average")</f>
        <v>Average</v>
      </c>
      <c r="M291">
        <f>Books[[#This Row],[AVERAGE RATING]]*Books[[#This Row],[RATINGS COUNT]]</f>
        <v>0</v>
      </c>
    </row>
    <row r="292" spans="1:13" x14ac:dyDescent="0.25">
      <c r="A292" t="s">
        <v>746</v>
      </c>
      <c r="B292" t="s">
        <v>747</v>
      </c>
      <c r="C292">
        <v>250</v>
      </c>
      <c r="D292" t="s">
        <v>28</v>
      </c>
      <c r="E292" t="s">
        <v>3327</v>
      </c>
      <c r="F292" t="s">
        <v>119</v>
      </c>
      <c r="G292" t="s">
        <v>4</v>
      </c>
      <c r="H292">
        <v>0</v>
      </c>
      <c r="I292">
        <v>0</v>
      </c>
      <c r="J292">
        <v>2025</v>
      </c>
      <c r="K292" t="str">
        <f>IF(Books[[#This Row],[AVERAGE RATING]]&gt;=4,"High",IF(Books[[#This Row],[AVERAGE RATING]]&gt;=3,"Medium","Low"))</f>
        <v>Low</v>
      </c>
      <c r="L292" t="str">
        <f>IF(Books[[#This Row],[AVERAGE RATING]]&gt;10000,"Popular","Average")</f>
        <v>Average</v>
      </c>
      <c r="M292">
        <f>Books[[#This Row],[AVERAGE RATING]]*Books[[#This Row],[RATINGS COUNT]]</f>
        <v>0</v>
      </c>
    </row>
    <row r="293" spans="1:13" x14ac:dyDescent="0.25">
      <c r="A293" t="s">
        <v>748</v>
      </c>
      <c r="B293" t="s">
        <v>749</v>
      </c>
      <c r="C293">
        <v>453</v>
      </c>
      <c r="D293" t="s">
        <v>406</v>
      </c>
      <c r="E293" t="s">
        <v>3328</v>
      </c>
      <c r="F293" t="s">
        <v>119</v>
      </c>
      <c r="G293" t="s">
        <v>4</v>
      </c>
      <c r="H293">
        <v>0</v>
      </c>
      <c r="I293">
        <v>0</v>
      </c>
      <c r="J293">
        <v>2020</v>
      </c>
      <c r="K293" t="str">
        <f>IF(Books[[#This Row],[AVERAGE RATING]]&gt;=4,"High",IF(Books[[#This Row],[AVERAGE RATING]]&gt;=3,"Medium","Low"))</f>
        <v>Low</v>
      </c>
      <c r="L293" t="str">
        <f>IF(Books[[#This Row],[AVERAGE RATING]]&gt;10000,"Popular","Average")</f>
        <v>Average</v>
      </c>
      <c r="M293">
        <f>Books[[#This Row],[AVERAGE RATING]]*Books[[#This Row],[RATINGS COUNT]]</f>
        <v>0</v>
      </c>
    </row>
    <row r="294" spans="1:13" x14ac:dyDescent="0.25">
      <c r="A294" t="s">
        <v>750</v>
      </c>
      <c r="B294" t="s">
        <v>751</v>
      </c>
      <c r="C294">
        <v>334</v>
      </c>
      <c r="D294" t="s">
        <v>298</v>
      </c>
      <c r="E294" t="s">
        <v>3329</v>
      </c>
      <c r="F294" t="s">
        <v>600</v>
      </c>
      <c r="G294" t="s">
        <v>4</v>
      </c>
      <c r="H294">
        <v>0</v>
      </c>
      <c r="I294">
        <v>0</v>
      </c>
      <c r="J294">
        <v>2022</v>
      </c>
      <c r="K294" t="str">
        <f>IF(Books[[#This Row],[AVERAGE RATING]]&gt;=4,"High",IF(Books[[#This Row],[AVERAGE RATING]]&gt;=3,"Medium","Low"))</f>
        <v>Low</v>
      </c>
      <c r="L294" t="str">
        <f>IF(Books[[#This Row],[AVERAGE RATING]]&gt;10000,"Popular","Average")</f>
        <v>Average</v>
      </c>
      <c r="M294">
        <f>Books[[#This Row],[AVERAGE RATING]]*Books[[#This Row],[RATINGS COUNT]]</f>
        <v>0</v>
      </c>
    </row>
    <row r="295" spans="1:13" x14ac:dyDescent="0.25">
      <c r="A295" t="s">
        <v>752</v>
      </c>
      <c r="B295" t="s">
        <v>753</v>
      </c>
      <c r="C295">
        <v>124</v>
      </c>
      <c r="D295" t="s">
        <v>420</v>
      </c>
      <c r="E295" t="s">
        <v>3330</v>
      </c>
      <c r="F295" t="s">
        <v>88</v>
      </c>
      <c r="G295" t="s">
        <v>4</v>
      </c>
      <c r="H295">
        <v>0</v>
      </c>
      <c r="I295">
        <v>0</v>
      </c>
      <c r="J295">
        <v>2015</v>
      </c>
      <c r="K295" t="str">
        <f>IF(Books[[#This Row],[AVERAGE RATING]]&gt;=4,"High",IF(Books[[#This Row],[AVERAGE RATING]]&gt;=3,"Medium","Low"))</f>
        <v>Low</v>
      </c>
      <c r="L295" t="str">
        <f>IF(Books[[#This Row],[AVERAGE RATING]]&gt;10000,"Popular","Average")</f>
        <v>Average</v>
      </c>
      <c r="M295">
        <f>Books[[#This Row],[AVERAGE RATING]]*Books[[#This Row],[RATINGS COUNT]]</f>
        <v>0</v>
      </c>
    </row>
    <row r="296" spans="1:13" x14ac:dyDescent="0.25">
      <c r="A296" t="s">
        <v>754</v>
      </c>
      <c r="B296" t="s">
        <v>755</v>
      </c>
      <c r="C296">
        <v>147</v>
      </c>
      <c r="D296" t="s">
        <v>63</v>
      </c>
      <c r="E296" t="s">
        <v>3331</v>
      </c>
      <c r="F296" t="s">
        <v>756</v>
      </c>
      <c r="G296" t="s">
        <v>4</v>
      </c>
      <c r="H296">
        <v>0</v>
      </c>
      <c r="I296">
        <v>0</v>
      </c>
      <c r="J296">
        <v>2019</v>
      </c>
      <c r="K296" t="str">
        <f>IF(Books[[#This Row],[AVERAGE RATING]]&gt;=4,"High",IF(Books[[#This Row],[AVERAGE RATING]]&gt;=3,"Medium","Low"))</f>
        <v>Low</v>
      </c>
      <c r="L296" t="str">
        <f>IF(Books[[#This Row],[AVERAGE RATING]]&gt;10000,"Popular","Average")</f>
        <v>Average</v>
      </c>
      <c r="M296">
        <f>Books[[#This Row],[AVERAGE RATING]]*Books[[#This Row],[RATINGS COUNT]]</f>
        <v>0</v>
      </c>
    </row>
    <row r="297" spans="1:13" x14ac:dyDescent="0.25">
      <c r="A297" t="s">
        <v>757</v>
      </c>
      <c r="B297" t="s">
        <v>758</v>
      </c>
      <c r="C297">
        <v>580</v>
      </c>
      <c r="D297" t="s">
        <v>420</v>
      </c>
      <c r="E297" t="s">
        <v>3332</v>
      </c>
      <c r="F297" t="s">
        <v>119</v>
      </c>
      <c r="G297" t="s">
        <v>4</v>
      </c>
      <c r="H297">
        <v>0</v>
      </c>
      <c r="I297">
        <v>0</v>
      </c>
      <c r="J297">
        <v>2025</v>
      </c>
      <c r="K297" t="str">
        <f>IF(Books[[#This Row],[AVERAGE RATING]]&gt;=4,"High",IF(Books[[#This Row],[AVERAGE RATING]]&gt;=3,"Medium","Low"))</f>
        <v>Low</v>
      </c>
      <c r="L297" t="str">
        <f>IF(Books[[#This Row],[AVERAGE RATING]]&gt;10000,"Popular","Average")</f>
        <v>Average</v>
      </c>
      <c r="M297">
        <f>Books[[#This Row],[AVERAGE RATING]]*Books[[#This Row],[RATINGS COUNT]]</f>
        <v>0</v>
      </c>
    </row>
    <row r="298" spans="1:13" x14ac:dyDescent="0.25">
      <c r="A298" t="s">
        <v>759</v>
      </c>
      <c r="B298" t="s">
        <v>760</v>
      </c>
      <c r="C298">
        <v>684</v>
      </c>
      <c r="D298" t="s">
        <v>144</v>
      </c>
      <c r="E298" t="s">
        <v>3135</v>
      </c>
      <c r="F298" t="s">
        <v>652</v>
      </c>
      <c r="G298" t="s">
        <v>4</v>
      </c>
      <c r="H298">
        <v>0</v>
      </c>
      <c r="I298">
        <v>0</v>
      </c>
      <c r="J298">
        <v>1994</v>
      </c>
      <c r="K298" t="str">
        <f>IF(Books[[#This Row],[AVERAGE RATING]]&gt;=4,"High",IF(Books[[#This Row],[AVERAGE RATING]]&gt;=3,"Medium","Low"))</f>
        <v>Low</v>
      </c>
      <c r="L298" t="str">
        <f>IF(Books[[#This Row],[AVERAGE RATING]]&gt;10000,"Popular","Average")</f>
        <v>Average</v>
      </c>
      <c r="M298">
        <f>Books[[#This Row],[AVERAGE RATING]]*Books[[#This Row],[RATINGS COUNT]]</f>
        <v>0</v>
      </c>
    </row>
    <row r="299" spans="1:13" x14ac:dyDescent="0.25">
      <c r="A299" t="s">
        <v>761</v>
      </c>
      <c r="B299" t="s">
        <v>762</v>
      </c>
      <c r="C299">
        <v>685</v>
      </c>
      <c r="D299" t="s">
        <v>298</v>
      </c>
      <c r="E299" t="s">
        <v>3155</v>
      </c>
      <c r="F299" t="s">
        <v>763</v>
      </c>
      <c r="G299" t="s">
        <v>4</v>
      </c>
      <c r="H299">
        <v>0</v>
      </c>
      <c r="I299">
        <v>0</v>
      </c>
      <c r="J299">
        <v>2006</v>
      </c>
      <c r="K299" t="str">
        <f>IF(Books[[#This Row],[AVERAGE RATING]]&gt;=4,"High",IF(Books[[#This Row],[AVERAGE RATING]]&gt;=3,"Medium","Low"))</f>
        <v>Low</v>
      </c>
      <c r="L299" t="str">
        <f>IF(Books[[#This Row],[AVERAGE RATING]]&gt;10000,"Popular","Average")</f>
        <v>Average</v>
      </c>
      <c r="M299">
        <f>Books[[#This Row],[AVERAGE RATING]]*Books[[#This Row],[RATINGS COUNT]]</f>
        <v>0</v>
      </c>
    </row>
    <row r="300" spans="1:13" x14ac:dyDescent="0.25">
      <c r="A300" t="s">
        <v>764</v>
      </c>
      <c r="B300" t="s">
        <v>765</v>
      </c>
      <c r="C300">
        <v>294</v>
      </c>
      <c r="D300" t="s">
        <v>420</v>
      </c>
      <c r="E300" t="s">
        <v>3333</v>
      </c>
      <c r="F300" t="s">
        <v>403</v>
      </c>
      <c r="G300" t="s">
        <v>4</v>
      </c>
      <c r="H300">
        <v>0</v>
      </c>
      <c r="I300">
        <v>0</v>
      </c>
      <c r="J300">
        <v>2022</v>
      </c>
      <c r="K300" t="str">
        <f>IF(Books[[#This Row],[AVERAGE RATING]]&gt;=4,"High",IF(Books[[#This Row],[AVERAGE RATING]]&gt;=3,"Medium","Low"))</f>
        <v>Low</v>
      </c>
      <c r="L300" t="str">
        <f>IF(Books[[#This Row],[AVERAGE RATING]]&gt;10000,"Popular","Average")</f>
        <v>Average</v>
      </c>
      <c r="M300">
        <f>Books[[#This Row],[AVERAGE RATING]]*Books[[#This Row],[RATINGS COUNT]]</f>
        <v>0</v>
      </c>
    </row>
    <row r="301" spans="1:13" x14ac:dyDescent="0.25">
      <c r="A301" t="s">
        <v>766</v>
      </c>
      <c r="B301" t="s">
        <v>767</v>
      </c>
      <c r="C301">
        <v>1699</v>
      </c>
      <c r="D301" t="s">
        <v>63</v>
      </c>
      <c r="E301" t="s">
        <v>3334</v>
      </c>
      <c r="F301" t="s">
        <v>600</v>
      </c>
      <c r="G301" t="s">
        <v>4</v>
      </c>
      <c r="H301">
        <v>0</v>
      </c>
      <c r="I301">
        <v>0</v>
      </c>
      <c r="J301">
        <v>2016</v>
      </c>
      <c r="K301" t="str">
        <f>IF(Books[[#This Row],[AVERAGE RATING]]&gt;=4,"High",IF(Books[[#This Row],[AVERAGE RATING]]&gt;=3,"Medium","Low"))</f>
        <v>Low</v>
      </c>
      <c r="L301" t="str">
        <f>IF(Books[[#This Row],[AVERAGE RATING]]&gt;10000,"Popular","Average")</f>
        <v>Average</v>
      </c>
      <c r="M301">
        <f>Books[[#This Row],[AVERAGE RATING]]*Books[[#This Row],[RATINGS COUNT]]</f>
        <v>0</v>
      </c>
    </row>
    <row r="302" spans="1:13" x14ac:dyDescent="0.25">
      <c r="A302" t="s">
        <v>768</v>
      </c>
      <c r="B302" t="s">
        <v>769</v>
      </c>
      <c r="C302">
        <v>120</v>
      </c>
      <c r="D302" t="s">
        <v>420</v>
      </c>
      <c r="E302" t="s">
        <v>3335</v>
      </c>
      <c r="F302" t="s">
        <v>88</v>
      </c>
      <c r="G302" t="s">
        <v>4</v>
      </c>
      <c r="H302">
        <v>0</v>
      </c>
      <c r="I302">
        <v>0</v>
      </c>
      <c r="J302">
        <v>2019</v>
      </c>
      <c r="K302" t="str">
        <f>IF(Books[[#This Row],[AVERAGE RATING]]&gt;=4,"High",IF(Books[[#This Row],[AVERAGE RATING]]&gt;=3,"Medium","Low"))</f>
        <v>Low</v>
      </c>
      <c r="L302" t="str">
        <f>IF(Books[[#This Row],[AVERAGE RATING]]&gt;10000,"Popular","Average")</f>
        <v>Average</v>
      </c>
      <c r="M302">
        <f>Books[[#This Row],[AVERAGE RATING]]*Books[[#This Row],[RATINGS COUNT]]</f>
        <v>0</v>
      </c>
    </row>
    <row r="303" spans="1:13" x14ac:dyDescent="0.25">
      <c r="A303" t="s">
        <v>770</v>
      </c>
      <c r="B303" t="s">
        <v>771</v>
      </c>
      <c r="C303">
        <v>319</v>
      </c>
      <c r="D303" t="s">
        <v>298</v>
      </c>
      <c r="E303" t="s">
        <v>3336</v>
      </c>
      <c r="F303" t="s">
        <v>132</v>
      </c>
      <c r="G303" t="s">
        <v>4</v>
      </c>
      <c r="H303">
        <v>0</v>
      </c>
      <c r="I303">
        <v>0</v>
      </c>
      <c r="J303">
        <v>2011</v>
      </c>
      <c r="K303" t="str">
        <f>IF(Books[[#This Row],[AVERAGE RATING]]&gt;=4,"High",IF(Books[[#This Row],[AVERAGE RATING]]&gt;=3,"Medium","Low"))</f>
        <v>Low</v>
      </c>
      <c r="L303" t="str">
        <f>IF(Books[[#This Row],[AVERAGE RATING]]&gt;10000,"Popular","Average")</f>
        <v>Average</v>
      </c>
      <c r="M303">
        <f>Books[[#This Row],[AVERAGE RATING]]*Books[[#This Row],[RATINGS COUNT]]</f>
        <v>0</v>
      </c>
    </row>
    <row r="304" spans="1:13" x14ac:dyDescent="0.25">
      <c r="A304" t="s">
        <v>772</v>
      </c>
      <c r="B304" t="s">
        <v>773</v>
      </c>
      <c r="C304">
        <v>94</v>
      </c>
      <c r="D304" t="s">
        <v>118</v>
      </c>
      <c r="E304" t="s">
        <v>3337</v>
      </c>
      <c r="F304" t="s">
        <v>594</v>
      </c>
      <c r="G304" t="s">
        <v>4</v>
      </c>
      <c r="H304">
        <v>0</v>
      </c>
      <c r="I304">
        <v>0</v>
      </c>
      <c r="J304">
        <v>2004</v>
      </c>
      <c r="K304" t="str">
        <f>IF(Books[[#This Row],[AVERAGE RATING]]&gt;=4,"High",IF(Books[[#This Row],[AVERAGE RATING]]&gt;=3,"Medium","Low"))</f>
        <v>Low</v>
      </c>
      <c r="L304" t="str">
        <f>IF(Books[[#This Row],[AVERAGE RATING]]&gt;10000,"Popular","Average")</f>
        <v>Average</v>
      </c>
      <c r="M304">
        <f>Books[[#This Row],[AVERAGE RATING]]*Books[[#This Row],[RATINGS COUNT]]</f>
        <v>0</v>
      </c>
    </row>
    <row r="305" spans="1:13" x14ac:dyDescent="0.25">
      <c r="A305" t="s">
        <v>774</v>
      </c>
      <c r="B305" t="s">
        <v>775</v>
      </c>
      <c r="C305">
        <v>13</v>
      </c>
      <c r="D305" t="s">
        <v>28</v>
      </c>
      <c r="E305" t="s">
        <v>3338</v>
      </c>
      <c r="F305" t="s">
        <v>776</v>
      </c>
      <c r="G305" t="s">
        <v>4</v>
      </c>
      <c r="H305">
        <v>0</v>
      </c>
      <c r="I305">
        <v>0</v>
      </c>
      <c r="J305">
        <v>2018</v>
      </c>
      <c r="K305" t="str">
        <f>IF(Books[[#This Row],[AVERAGE RATING]]&gt;=4,"High",IF(Books[[#This Row],[AVERAGE RATING]]&gt;=3,"Medium","Low"))</f>
        <v>Low</v>
      </c>
      <c r="L305" t="str">
        <f>IF(Books[[#This Row],[AVERAGE RATING]]&gt;10000,"Popular","Average")</f>
        <v>Average</v>
      </c>
      <c r="M305">
        <f>Books[[#This Row],[AVERAGE RATING]]*Books[[#This Row],[RATINGS COUNT]]</f>
        <v>0</v>
      </c>
    </row>
    <row r="306" spans="1:13" x14ac:dyDescent="0.25">
      <c r="A306" t="s">
        <v>777</v>
      </c>
      <c r="B306" t="s">
        <v>778</v>
      </c>
      <c r="C306">
        <v>2419</v>
      </c>
      <c r="D306" t="s">
        <v>63</v>
      </c>
      <c r="E306" t="s">
        <v>3339</v>
      </c>
      <c r="F306" t="s">
        <v>35</v>
      </c>
      <c r="G306" t="s">
        <v>4</v>
      </c>
      <c r="H306">
        <v>0</v>
      </c>
      <c r="I306">
        <v>0</v>
      </c>
      <c r="J306">
        <v>2012</v>
      </c>
      <c r="K306" t="str">
        <f>IF(Books[[#This Row],[AVERAGE RATING]]&gt;=4,"High",IF(Books[[#This Row],[AVERAGE RATING]]&gt;=3,"Medium","Low"))</f>
        <v>Low</v>
      </c>
      <c r="L306" t="str">
        <f>IF(Books[[#This Row],[AVERAGE RATING]]&gt;10000,"Popular","Average")</f>
        <v>Average</v>
      </c>
      <c r="M306">
        <f>Books[[#This Row],[AVERAGE RATING]]*Books[[#This Row],[RATINGS COUNT]]</f>
        <v>0</v>
      </c>
    </row>
    <row r="307" spans="1:13" x14ac:dyDescent="0.25">
      <c r="A307" t="s">
        <v>779</v>
      </c>
      <c r="B307" t="s">
        <v>780</v>
      </c>
      <c r="C307">
        <v>267</v>
      </c>
      <c r="D307" t="s">
        <v>63</v>
      </c>
      <c r="E307" t="s">
        <v>3340</v>
      </c>
      <c r="F307" t="s">
        <v>60</v>
      </c>
      <c r="G307" t="s">
        <v>4</v>
      </c>
      <c r="H307">
        <v>0</v>
      </c>
      <c r="I307">
        <v>0</v>
      </c>
      <c r="J307">
        <v>2023</v>
      </c>
      <c r="K307" t="str">
        <f>IF(Books[[#This Row],[AVERAGE RATING]]&gt;=4,"High",IF(Books[[#This Row],[AVERAGE RATING]]&gt;=3,"Medium","Low"))</f>
        <v>Low</v>
      </c>
      <c r="L307" t="str">
        <f>IF(Books[[#This Row],[AVERAGE RATING]]&gt;10000,"Popular","Average")</f>
        <v>Average</v>
      </c>
      <c r="M307">
        <f>Books[[#This Row],[AVERAGE RATING]]*Books[[#This Row],[RATINGS COUNT]]</f>
        <v>0</v>
      </c>
    </row>
    <row r="308" spans="1:13" x14ac:dyDescent="0.25">
      <c r="A308" t="s">
        <v>781</v>
      </c>
      <c r="B308" t="s">
        <v>782</v>
      </c>
      <c r="C308">
        <v>246</v>
      </c>
      <c r="D308" t="s">
        <v>63</v>
      </c>
      <c r="E308" t="s">
        <v>3341</v>
      </c>
      <c r="F308" t="s">
        <v>35</v>
      </c>
      <c r="G308" t="s">
        <v>4</v>
      </c>
      <c r="H308">
        <v>0</v>
      </c>
      <c r="I308">
        <v>0</v>
      </c>
      <c r="J308">
        <v>2009</v>
      </c>
      <c r="K308" t="str">
        <f>IF(Books[[#This Row],[AVERAGE RATING]]&gt;=4,"High",IF(Books[[#This Row],[AVERAGE RATING]]&gt;=3,"Medium","Low"))</f>
        <v>Low</v>
      </c>
      <c r="L308" t="str">
        <f>IF(Books[[#This Row],[AVERAGE RATING]]&gt;10000,"Popular","Average")</f>
        <v>Average</v>
      </c>
      <c r="M308">
        <f>Books[[#This Row],[AVERAGE RATING]]*Books[[#This Row],[RATINGS COUNT]]</f>
        <v>0</v>
      </c>
    </row>
    <row r="309" spans="1:13" x14ac:dyDescent="0.25">
      <c r="A309" t="s">
        <v>783</v>
      </c>
      <c r="B309" t="s">
        <v>784</v>
      </c>
      <c r="C309">
        <v>242</v>
      </c>
      <c r="D309" t="s">
        <v>63</v>
      </c>
      <c r="E309" t="s">
        <v>3129</v>
      </c>
      <c r="F309" t="s">
        <v>93</v>
      </c>
      <c r="G309" t="s">
        <v>4</v>
      </c>
      <c r="H309">
        <v>0</v>
      </c>
      <c r="I309">
        <v>0</v>
      </c>
      <c r="J309">
        <v>2019</v>
      </c>
      <c r="K309" t="str">
        <f>IF(Books[[#This Row],[AVERAGE RATING]]&gt;=4,"High",IF(Books[[#This Row],[AVERAGE RATING]]&gt;=3,"Medium","Low"))</f>
        <v>Low</v>
      </c>
      <c r="L309" t="str">
        <f>IF(Books[[#This Row],[AVERAGE RATING]]&gt;10000,"Popular","Average")</f>
        <v>Average</v>
      </c>
      <c r="M309">
        <f>Books[[#This Row],[AVERAGE RATING]]*Books[[#This Row],[RATINGS COUNT]]</f>
        <v>0</v>
      </c>
    </row>
    <row r="310" spans="1:13" x14ac:dyDescent="0.25">
      <c r="A310" t="s">
        <v>785</v>
      </c>
      <c r="B310" t="s">
        <v>786</v>
      </c>
      <c r="C310">
        <v>189</v>
      </c>
      <c r="D310" t="s">
        <v>63</v>
      </c>
      <c r="E310" t="s">
        <v>3342</v>
      </c>
      <c r="F310" t="s">
        <v>35</v>
      </c>
      <c r="G310" t="s">
        <v>4</v>
      </c>
      <c r="H310">
        <v>0</v>
      </c>
      <c r="I310">
        <v>0</v>
      </c>
      <c r="J310">
        <v>2002</v>
      </c>
      <c r="K310" t="str">
        <f>IF(Books[[#This Row],[AVERAGE RATING]]&gt;=4,"High",IF(Books[[#This Row],[AVERAGE RATING]]&gt;=3,"Medium","Low"))</f>
        <v>Low</v>
      </c>
      <c r="L310" t="str">
        <f>IF(Books[[#This Row],[AVERAGE RATING]]&gt;10000,"Popular","Average")</f>
        <v>Average</v>
      </c>
      <c r="M310">
        <f>Books[[#This Row],[AVERAGE RATING]]*Books[[#This Row],[RATINGS COUNT]]</f>
        <v>0</v>
      </c>
    </row>
    <row r="311" spans="1:13" x14ac:dyDescent="0.25">
      <c r="A311" t="s">
        <v>787</v>
      </c>
      <c r="B311" t="s">
        <v>788</v>
      </c>
      <c r="C311">
        <v>253</v>
      </c>
      <c r="D311" t="s">
        <v>63</v>
      </c>
      <c r="E311" t="s">
        <v>3343</v>
      </c>
      <c r="F311" t="s">
        <v>460</v>
      </c>
      <c r="G311" t="s">
        <v>4</v>
      </c>
      <c r="H311">
        <v>0</v>
      </c>
      <c r="I311">
        <v>0</v>
      </c>
      <c r="J311">
        <v>2011</v>
      </c>
      <c r="K311" t="str">
        <f>IF(Books[[#This Row],[AVERAGE RATING]]&gt;=4,"High",IF(Books[[#This Row],[AVERAGE RATING]]&gt;=3,"Medium","Low"))</f>
        <v>Low</v>
      </c>
      <c r="L311" t="str">
        <f>IF(Books[[#This Row],[AVERAGE RATING]]&gt;10000,"Popular","Average")</f>
        <v>Average</v>
      </c>
      <c r="M311">
        <f>Books[[#This Row],[AVERAGE RATING]]*Books[[#This Row],[RATINGS COUNT]]</f>
        <v>0</v>
      </c>
    </row>
    <row r="312" spans="1:13" x14ac:dyDescent="0.25">
      <c r="A312" t="s">
        <v>789</v>
      </c>
      <c r="B312" t="s">
        <v>790</v>
      </c>
      <c r="C312">
        <v>416</v>
      </c>
      <c r="D312" t="s">
        <v>63</v>
      </c>
      <c r="E312" t="s">
        <v>3344</v>
      </c>
      <c r="F312" t="s">
        <v>791</v>
      </c>
      <c r="G312" t="s">
        <v>4</v>
      </c>
      <c r="H312">
        <v>0</v>
      </c>
      <c r="I312">
        <v>0</v>
      </c>
      <c r="J312">
        <v>2013</v>
      </c>
      <c r="K312" t="str">
        <f>IF(Books[[#This Row],[AVERAGE RATING]]&gt;=4,"High",IF(Books[[#This Row],[AVERAGE RATING]]&gt;=3,"Medium","Low"))</f>
        <v>Low</v>
      </c>
      <c r="L312" t="str">
        <f>IF(Books[[#This Row],[AVERAGE RATING]]&gt;10000,"Popular","Average")</f>
        <v>Average</v>
      </c>
      <c r="M312">
        <f>Books[[#This Row],[AVERAGE RATING]]*Books[[#This Row],[RATINGS COUNT]]</f>
        <v>0</v>
      </c>
    </row>
    <row r="313" spans="1:13" x14ac:dyDescent="0.25">
      <c r="A313" t="s">
        <v>792</v>
      </c>
      <c r="B313" t="s">
        <v>793</v>
      </c>
      <c r="C313">
        <v>161</v>
      </c>
      <c r="D313" t="s">
        <v>63</v>
      </c>
      <c r="E313" t="s">
        <v>3345</v>
      </c>
      <c r="F313" t="s">
        <v>794</v>
      </c>
      <c r="G313" t="s">
        <v>4</v>
      </c>
      <c r="H313">
        <v>0</v>
      </c>
      <c r="I313">
        <v>0</v>
      </c>
      <c r="J313">
        <v>2024</v>
      </c>
      <c r="K313" t="str">
        <f>IF(Books[[#This Row],[AVERAGE RATING]]&gt;=4,"High",IF(Books[[#This Row],[AVERAGE RATING]]&gt;=3,"Medium","Low"))</f>
        <v>Low</v>
      </c>
      <c r="L313" t="str">
        <f>IF(Books[[#This Row],[AVERAGE RATING]]&gt;10000,"Popular","Average")</f>
        <v>Average</v>
      </c>
      <c r="M313">
        <f>Books[[#This Row],[AVERAGE RATING]]*Books[[#This Row],[RATINGS COUNT]]</f>
        <v>0</v>
      </c>
    </row>
    <row r="314" spans="1:13" x14ac:dyDescent="0.25">
      <c r="A314" t="s">
        <v>795</v>
      </c>
      <c r="B314" t="s">
        <v>3346</v>
      </c>
      <c r="C314">
        <v>341</v>
      </c>
      <c r="D314" t="s">
        <v>356</v>
      </c>
      <c r="E314" t="s">
        <v>3347</v>
      </c>
      <c r="F314" t="s">
        <v>796</v>
      </c>
      <c r="G314" t="s">
        <v>4</v>
      </c>
      <c r="H314">
        <v>0</v>
      </c>
      <c r="I314">
        <v>0</v>
      </c>
      <c r="J314">
        <v>2022</v>
      </c>
      <c r="K314" t="str">
        <f>IF(Books[[#This Row],[AVERAGE RATING]]&gt;=4,"High",IF(Books[[#This Row],[AVERAGE RATING]]&gt;=3,"Medium","Low"))</f>
        <v>Low</v>
      </c>
      <c r="L314" t="str">
        <f>IF(Books[[#This Row],[AVERAGE RATING]]&gt;10000,"Popular","Average")</f>
        <v>Average</v>
      </c>
      <c r="M314">
        <f>Books[[#This Row],[AVERAGE RATING]]*Books[[#This Row],[RATINGS COUNT]]</f>
        <v>0</v>
      </c>
    </row>
    <row r="315" spans="1:13" x14ac:dyDescent="0.25">
      <c r="A315" t="s">
        <v>797</v>
      </c>
      <c r="B315" t="s">
        <v>798</v>
      </c>
      <c r="C315">
        <v>658</v>
      </c>
      <c r="D315" t="s">
        <v>63</v>
      </c>
      <c r="E315" t="s">
        <v>3072</v>
      </c>
      <c r="F315" t="s">
        <v>799</v>
      </c>
      <c r="G315" t="s">
        <v>4</v>
      </c>
      <c r="H315">
        <v>0</v>
      </c>
      <c r="I315">
        <v>0</v>
      </c>
      <c r="J315">
        <v>1911</v>
      </c>
      <c r="K315" t="str">
        <f>IF(Books[[#This Row],[AVERAGE RATING]]&gt;=4,"High",IF(Books[[#This Row],[AVERAGE RATING]]&gt;=3,"Medium","Low"))</f>
        <v>Low</v>
      </c>
      <c r="L315" t="str">
        <f>IF(Books[[#This Row],[AVERAGE RATING]]&gt;10000,"Popular","Average")</f>
        <v>Average</v>
      </c>
      <c r="M315">
        <f>Books[[#This Row],[AVERAGE RATING]]*Books[[#This Row],[RATINGS COUNT]]</f>
        <v>0</v>
      </c>
    </row>
    <row r="316" spans="1:13" x14ac:dyDescent="0.25">
      <c r="A316" t="s">
        <v>800</v>
      </c>
      <c r="B316" t="s">
        <v>801</v>
      </c>
      <c r="C316">
        <v>226</v>
      </c>
      <c r="D316" t="s">
        <v>298</v>
      </c>
      <c r="E316" t="s">
        <v>3055</v>
      </c>
      <c r="F316" t="s">
        <v>802</v>
      </c>
      <c r="G316" t="s">
        <v>4</v>
      </c>
      <c r="H316">
        <v>0</v>
      </c>
      <c r="I316">
        <v>0</v>
      </c>
      <c r="J316">
        <v>2004</v>
      </c>
      <c r="K316" t="str">
        <f>IF(Books[[#This Row],[AVERAGE RATING]]&gt;=4,"High",IF(Books[[#This Row],[AVERAGE RATING]]&gt;=3,"Medium","Low"))</f>
        <v>Low</v>
      </c>
      <c r="L316" t="str">
        <f>IF(Books[[#This Row],[AVERAGE RATING]]&gt;10000,"Popular","Average")</f>
        <v>Average</v>
      </c>
      <c r="M316">
        <f>Books[[#This Row],[AVERAGE RATING]]*Books[[#This Row],[RATINGS COUNT]]</f>
        <v>0</v>
      </c>
    </row>
    <row r="317" spans="1:13" x14ac:dyDescent="0.25">
      <c r="A317" t="s">
        <v>803</v>
      </c>
      <c r="B317" t="s">
        <v>804</v>
      </c>
      <c r="C317">
        <v>89</v>
      </c>
      <c r="D317" t="s">
        <v>63</v>
      </c>
      <c r="E317" t="s">
        <v>3348</v>
      </c>
      <c r="F317" t="s">
        <v>93</v>
      </c>
      <c r="G317" t="s">
        <v>4</v>
      </c>
      <c r="H317">
        <v>0</v>
      </c>
      <c r="I317">
        <v>0</v>
      </c>
      <c r="J317">
        <v>2014</v>
      </c>
      <c r="K317" t="str">
        <f>IF(Books[[#This Row],[AVERAGE RATING]]&gt;=4,"High",IF(Books[[#This Row],[AVERAGE RATING]]&gt;=3,"Medium","Low"))</f>
        <v>Low</v>
      </c>
      <c r="L317" t="str">
        <f>IF(Books[[#This Row],[AVERAGE RATING]]&gt;10000,"Popular","Average")</f>
        <v>Average</v>
      </c>
      <c r="M317">
        <f>Books[[#This Row],[AVERAGE RATING]]*Books[[#This Row],[RATINGS COUNT]]</f>
        <v>0</v>
      </c>
    </row>
    <row r="318" spans="1:13" x14ac:dyDescent="0.25">
      <c r="A318" t="s">
        <v>805</v>
      </c>
      <c r="B318" t="s">
        <v>806</v>
      </c>
      <c r="C318">
        <v>321</v>
      </c>
      <c r="D318" t="s">
        <v>298</v>
      </c>
      <c r="E318" t="s">
        <v>3349</v>
      </c>
      <c r="F318" t="s">
        <v>807</v>
      </c>
      <c r="G318" t="s">
        <v>4</v>
      </c>
      <c r="H318">
        <v>5</v>
      </c>
      <c r="I318">
        <v>1</v>
      </c>
      <c r="J318">
        <v>2010</v>
      </c>
      <c r="K318" t="str">
        <f>IF(Books[[#This Row],[AVERAGE RATING]]&gt;=4,"High",IF(Books[[#This Row],[AVERAGE RATING]]&gt;=3,"Medium","Low"))</f>
        <v>High</v>
      </c>
      <c r="L318" t="str">
        <f>IF(Books[[#This Row],[AVERAGE RATING]]&gt;10000,"Popular","Average")</f>
        <v>Average</v>
      </c>
      <c r="M318">
        <f>Books[[#This Row],[AVERAGE RATING]]*Books[[#This Row],[RATINGS COUNT]]</f>
        <v>5</v>
      </c>
    </row>
    <row r="319" spans="1:13" x14ac:dyDescent="0.25">
      <c r="A319" t="s">
        <v>808</v>
      </c>
      <c r="B319" t="s">
        <v>809</v>
      </c>
      <c r="C319">
        <v>361</v>
      </c>
      <c r="D319" t="s">
        <v>63</v>
      </c>
      <c r="E319" t="s">
        <v>3350</v>
      </c>
      <c r="F319" t="s">
        <v>93</v>
      </c>
      <c r="G319" t="s">
        <v>4</v>
      </c>
      <c r="H319">
        <v>0</v>
      </c>
      <c r="I319">
        <v>0</v>
      </c>
      <c r="J319">
        <v>2017</v>
      </c>
      <c r="K319" t="str">
        <f>IF(Books[[#This Row],[AVERAGE RATING]]&gt;=4,"High",IF(Books[[#This Row],[AVERAGE RATING]]&gt;=3,"Medium","Low"))</f>
        <v>Low</v>
      </c>
      <c r="L319" t="str">
        <f>IF(Books[[#This Row],[AVERAGE RATING]]&gt;10000,"Popular","Average")</f>
        <v>Average</v>
      </c>
      <c r="M319">
        <f>Books[[#This Row],[AVERAGE RATING]]*Books[[#This Row],[RATINGS COUNT]]</f>
        <v>0</v>
      </c>
    </row>
    <row r="320" spans="1:13" x14ac:dyDescent="0.25">
      <c r="A320" t="s">
        <v>810</v>
      </c>
      <c r="B320" t="s">
        <v>811</v>
      </c>
      <c r="C320">
        <v>357</v>
      </c>
      <c r="D320" t="s">
        <v>63</v>
      </c>
      <c r="E320" t="s">
        <v>3142</v>
      </c>
      <c r="F320" t="s">
        <v>35</v>
      </c>
      <c r="G320" t="s">
        <v>4</v>
      </c>
      <c r="H320">
        <v>0</v>
      </c>
      <c r="I320">
        <v>0</v>
      </c>
      <c r="J320">
        <v>2015</v>
      </c>
      <c r="K320" t="str">
        <f>IF(Books[[#This Row],[AVERAGE RATING]]&gt;=4,"High",IF(Books[[#This Row],[AVERAGE RATING]]&gt;=3,"Medium","Low"))</f>
        <v>Low</v>
      </c>
      <c r="L320" t="str">
        <f>IF(Books[[#This Row],[AVERAGE RATING]]&gt;10000,"Popular","Average")</f>
        <v>Average</v>
      </c>
      <c r="M320">
        <f>Books[[#This Row],[AVERAGE RATING]]*Books[[#This Row],[RATINGS COUNT]]</f>
        <v>0</v>
      </c>
    </row>
    <row r="321" spans="1:13" x14ac:dyDescent="0.25">
      <c r="A321" t="s">
        <v>812</v>
      </c>
      <c r="B321" t="s">
        <v>813</v>
      </c>
      <c r="C321">
        <v>116</v>
      </c>
      <c r="D321" t="s">
        <v>63</v>
      </c>
      <c r="E321" t="s">
        <v>3351</v>
      </c>
      <c r="F321" t="s">
        <v>814</v>
      </c>
      <c r="G321" t="s">
        <v>4</v>
      </c>
      <c r="H321">
        <v>0</v>
      </c>
      <c r="I321">
        <v>0</v>
      </c>
      <c r="J321">
        <v>2017</v>
      </c>
      <c r="K321" t="str">
        <f>IF(Books[[#This Row],[AVERAGE RATING]]&gt;=4,"High",IF(Books[[#This Row],[AVERAGE RATING]]&gt;=3,"Medium","Low"))</f>
        <v>Low</v>
      </c>
      <c r="L321" t="str">
        <f>IF(Books[[#This Row],[AVERAGE RATING]]&gt;10000,"Popular","Average")</f>
        <v>Average</v>
      </c>
      <c r="M321">
        <f>Books[[#This Row],[AVERAGE RATING]]*Books[[#This Row],[RATINGS COUNT]]</f>
        <v>0</v>
      </c>
    </row>
    <row r="322" spans="1:13" x14ac:dyDescent="0.25">
      <c r="A322" t="s">
        <v>815</v>
      </c>
      <c r="B322" t="s">
        <v>816</v>
      </c>
      <c r="C322">
        <v>186</v>
      </c>
      <c r="D322" t="s">
        <v>158</v>
      </c>
      <c r="E322" t="s">
        <v>3295</v>
      </c>
      <c r="F322" t="s">
        <v>267</v>
      </c>
      <c r="G322" t="s">
        <v>4</v>
      </c>
      <c r="H322">
        <v>0</v>
      </c>
      <c r="I322">
        <v>0</v>
      </c>
      <c r="J322">
        <v>1989</v>
      </c>
      <c r="K322" t="str">
        <f>IF(Books[[#This Row],[AVERAGE RATING]]&gt;=4,"High",IF(Books[[#This Row],[AVERAGE RATING]]&gt;=3,"Medium","Low"))</f>
        <v>Low</v>
      </c>
      <c r="L322" t="str">
        <f>IF(Books[[#This Row],[AVERAGE RATING]]&gt;10000,"Popular","Average")</f>
        <v>Average</v>
      </c>
      <c r="M322">
        <f>Books[[#This Row],[AVERAGE RATING]]*Books[[#This Row],[RATINGS COUNT]]</f>
        <v>0</v>
      </c>
    </row>
    <row r="323" spans="1:13" x14ac:dyDescent="0.25">
      <c r="A323" t="s">
        <v>817</v>
      </c>
      <c r="B323" t="s">
        <v>818</v>
      </c>
      <c r="C323">
        <v>193</v>
      </c>
      <c r="D323" t="s">
        <v>180</v>
      </c>
      <c r="E323" t="s">
        <v>3352</v>
      </c>
      <c r="F323" t="s">
        <v>819</v>
      </c>
      <c r="G323" t="s">
        <v>4</v>
      </c>
      <c r="H323">
        <v>0</v>
      </c>
      <c r="I323">
        <v>0</v>
      </c>
      <c r="J323">
        <v>2015</v>
      </c>
      <c r="K323" t="str">
        <f>IF(Books[[#This Row],[AVERAGE RATING]]&gt;=4,"High",IF(Books[[#This Row],[AVERAGE RATING]]&gt;=3,"Medium","Low"))</f>
        <v>Low</v>
      </c>
      <c r="L323" t="str">
        <f>IF(Books[[#This Row],[AVERAGE RATING]]&gt;10000,"Popular","Average")</f>
        <v>Average</v>
      </c>
      <c r="M323">
        <f>Books[[#This Row],[AVERAGE RATING]]*Books[[#This Row],[RATINGS COUNT]]</f>
        <v>0</v>
      </c>
    </row>
    <row r="324" spans="1:13" x14ac:dyDescent="0.25">
      <c r="A324" t="s">
        <v>820</v>
      </c>
      <c r="B324" t="s">
        <v>821</v>
      </c>
      <c r="C324">
        <v>232</v>
      </c>
      <c r="D324" t="s">
        <v>158</v>
      </c>
      <c r="E324" t="s">
        <v>3353</v>
      </c>
      <c r="F324" t="s">
        <v>822</v>
      </c>
      <c r="G324" t="s">
        <v>4</v>
      </c>
      <c r="H324">
        <v>0</v>
      </c>
      <c r="I324">
        <v>0</v>
      </c>
      <c r="J324">
        <v>2014</v>
      </c>
      <c r="K324" t="str">
        <f>IF(Books[[#This Row],[AVERAGE RATING]]&gt;=4,"High",IF(Books[[#This Row],[AVERAGE RATING]]&gt;=3,"Medium","Low"))</f>
        <v>Low</v>
      </c>
      <c r="L324" t="str">
        <f>IF(Books[[#This Row],[AVERAGE RATING]]&gt;10000,"Popular","Average")</f>
        <v>Average</v>
      </c>
      <c r="M324">
        <f>Books[[#This Row],[AVERAGE RATING]]*Books[[#This Row],[RATINGS COUNT]]</f>
        <v>0</v>
      </c>
    </row>
    <row r="325" spans="1:13" x14ac:dyDescent="0.25">
      <c r="A325" t="s">
        <v>823</v>
      </c>
      <c r="B325" t="s">
        <v>824</v>
      </c>
      <c r="C325">
        <v>458</v>
      </c>
      <c r="D325" t="s">
        <v>2</v>
      </c>
      <c r="E325" t="s">
        <v>3116</v>
      </c>
      <c r="F325" t="s">
        <v>257</v>
      </c>
      <c r="G325" t="s">
        <v>4</v>
      </c>
      <c r="H325">
        <v>5</v>
      </c>
      <c r="I325">
        <v>1</v>
      </c>
      <c r="J325">
        <v>2002</v>
      </c>
      <c r="K325" t="str">
        <f>IF(Books[[#This Row],[AVERAGE RATING]]&gt;=4,"High",IF(Books[[#This Row],[AVERAGE RATING]]&gt;=3,"Medium","Low"))</f>
        <v>High</v>
      </c>
      <c r="L325" t="str">
        <f>IF(Books[[#This Row],[AVERAGE RATING]]&gt;10000,"Popular","Average")</f>
        <v>Average</v>
      </c>
      <c r="M325">
        <f>Books[[#This Row],[AVERAGE RATING]]*Books[[#This Row],[RATINGS COUNT]]</f>
        <v>5</v>
      </c>
    </row>
    <row r="326" spans="1:13" x14ac:dyDescent="0.25">
      <c r="A326" t="s">
        <v>825</v>
      </c>
      <c r="B326" t="s">
        <v>826</v>
      </c>
      <c r="C326">
        <v>242</v>
      </c>
      <c r="D326" t="s">
        <v>2</v>
      </c>
      <c r="E326" t="s">
        <v>3354</v>
      </c>
      <c r="F326" t="s">
        <v>827</v>
      </c>
      <c r="G326" t="s">
        <v>4</v>
      </c>
      <c r="H326">
        <v>0</v>
      </c>
      <c r="I326">
        <v>0</v>
      </c>
      <c r="J326">
        <v>2019</v>
      </c>
      <c r="K326" t="str">
        <f>IF(Books[[#This Row],[AVERAGE RATING]]&gt;=4,"High",IF(Books[[#This Row],[AVERAGE RATING]]&gt;=3,"Medium","Low"))</f>
        <v>Low</v>
      </c>
      <c r="L326" t="str">
        <f>IF(Books[[#This Row],[AVERAGE RATING]]&gt;10000,"Popular","Average")</f>
        <v>Average</v>
      </c>
      <c r="M326">
        <f>Books[[#This Row],[AVERAGE RATING]]*Books[[#This Row],[RATINGS COUNT]]</f>
        <v>0</v>
      </c>
    </row>
    <row r="327" spans="1:13" x14ac:dyDescent="0.25">
      <c r="A327" t="s">
        <v>828</v>
      </c>
      <c r="B327" t="s">
        <v>829</v>
      </c>
      <c r="C327">
        <v>324</v>
      </c>
      <c r="D327" t="s">
        <v>243</v>
      </c>
      <c r="E327" t="s">
        <v>3355</v>
      </c>
      <c r="F327" t="s">
        <v>433</v>
      </c>
      <c r="G327" t="s">
        <v>4</v>
      </c>
      <c r="H327">
        <v>0</v>
      </c>
      <c r="I327">
        <v>0</v>
      </c>
      <c r="J327">
        <v>2016</v>
      </c>
      <c r="K327" t="str">
        <f>IF(Books[[#This Row],[AVERAGE RATING]]&gt;=4,"High",IF(Books[[#This Row],[AVERAGE RATING]]&gt;=3,"Medium","Low"))</f>
        <v>Low</v>
      </c>
      <c r="L327" t="str">
        <f>IF(Books[[#This Row],[AVERAGE RATING]]&gt;10000,"Popular","Average")</f>
        <v>Average</v>
      </c>
      <c r="M327">
        <f>Books[[#This Row],[AVERAGE RATING]]*Books[[#This Row],[RATINGS COUNT]]</f>
        <v>0</v>
      </c>
    </row>
    <row r="328" spans="1:13" x14ac:dyDescent="0.25">
      <c r="A328" t="s">
        <v>830</v>
      </c>
      <c r="B328" t="s">
        <v>831</v>
      </c>
      <c r="C328">
        <v>378</v>
      </c>
      <c r="D328" t="s">
        <v>32</v>
      </c>
      <c r="E328" t="s">
        <v>3356</v>
      </c>
      <c r="F328" t="s">
        <v>18</v>
      </c>
      <c r="G328" t="s">
        <v>4</v>
      </c>
      <c r="H328">
        <v>0</v>
      </c>
      <c r="I328">
        <v>0</v>
      </c>
      <c r="J328">
        <v>2021</v>
      </c>
      <c r="K328" t="str">
        <f>IF(Books[[#This Row],[AVERAGE RATING]]&gt;=4,"High",IF(Books[[#This Row],[AVERAGE RATING]]&gt;=3,"Medium","Low"))</f>
        <v>Low</v>
      </c>
      <c r="L328" t="str">
        <f>IF(Books[[#This Row],[AVERAGE RATING]]&gt;10000,"Popular","Average")</f>
        <v>Average</v>
      </c>
      <c r="M328">
        <f>Books[[#This Row],[AVERAGE RATING]]*Books[[#This Row],[RATINGS COUNT]]</f>
        <v>0</v>
      </c>
    </row>
    <row r="329" spans="1:13" x14ac:dyDescent="0.25">
      <c r="A329" t="s">
        <v>832</v>
      </c>
      <c r="B329" t="s">
        <v>833</v>
      </c>
      <c r="C329">
        <v>236</v>
      </c>
      <c r="D329" t="s">
        <v>356</v>
      </c>
      <c r="E329" t="s">
        <v>3144</v>
      </c>
      <c r="F329" t="s">
        <v>834</v>
      </c>
      <c r="G329" t="s">
        <v>4</v>
      </c>
      <c r="H329">
        <v>0</v>
      </c>
      <c r="I329">
        <v>0</v>
      </c>
      <c r="J329">
        <v>2008</v>
      </c>
      <c r="K329" t="str">
        <f>IF(Books[[#This Row],[AVERAGE RATING]]&gt;=4,"High",IF(Books[[#This Row],[AVERAGE RATING]]&gt;=3,"Medium","Low"))</f>
        <v>Low</v>
      </c>
      <c r="L329" t="str">
        <f>IF(Books[[#This Row],[AVERAGE RATING]]&gt;10000,"Popular","Average")</f>
        <v>Average</v>
      </c>
      <c r="M329">
        <f>Books[[#This Row],[AVERAGE RATING]]*Books[[#This Row],[RATINGS COUNT]]</f>
        <v>0</v>
      </c>
    </row>
    <row r="330" spans="1:13" x14ac:dyDescent="0.25">
      <c r="A330" t="s">
        <v>835</v>
      </c>
      <c r="B330" t="s">
        <v>836</v>
      </c>
      <c r="C330">
        <v>222</v>
      </c>
      <c r="D330" t="s">
        <v>2</v>
      </c>
      <c r="E330" t="s">
        <v>3357</v>
      </c>
      <c r="F330" t="s">
        <v>837</v>
      </c>
      <c r="G330" t="s">
        <v>4</v>
      </c>
      <c r="H330">
        <v>0</v>
      </c>
      <c r="I330">
        <v>0</v>
      </c>
      <c r="J330">
        <v>1986</v>
      </c>
      <c r="K330" t="str">
        <f>IF(Books[[#This Row],[AVERAGE RATING]]&gt;=4,"High",IF(Books[[#This Row],[AVERAGE RATING]]&gt;=3,"Medium","Low"))</f>
        <v>Low</v>
      </c>
      <c r="L330" t="str">
        <f>IF(Books[[#This Row],[AVERAGE RATING]]&gt;10000,"Popular","Average")</f>
        <v>Average</v>
      </c>
      <c r="M330">
        <f>Books[[#This Row],[AVERAGE RATING]]*Books[[#This Row],[RATINGS COUNT]]</f>
        <v>0</v>
      </c>
    </row>
    <row r="331" spans="1:13" x14ac:dyDescent="0.25">
      <c r="A331" t="s">
        <v>838</v>
      </c>
      <c r="B331" t="s">
        <v>839</v>
      </c>
      <c r="C331">
        <v>288</v>
      </c>
      <c r="D331" t="s">
        <v>63</v>
      </c>
      <c r="E331" t="s">
        <v>3358</v>
      </c>
      <c r="F331" t="s">
        <v>840</v>
      </c>
      <c r="G331" t="s">
        <v>4</v>
      </c>
      <c r="H331">
        <v>0</v>
      </c>
      <c r="I331">
        <v>0</v>
      </c>
      <c r="J331">
        <v>2024</v>
      </c>
      <c r="K331" t="str">
        <f>IF(Books[[#This Row],[AVERAGE RATING]]&gt;=4,"High",IF(Books[[#This Row],[AVERAGE RATING]]&gt;=3,"Medium","Low"))</f>
        <v>Low</v>
      </c>
      <c r="L331" t="str">
        <f>IF(Books[[#This Row],[AVERAGE RATING]]&gt;10000,"Popular","Average")</f>
        <v>Average</v>
      </c>
      <c r="M331">
        <f>Books[[#This Row],[AVERAGE RATING]]*Books[[#This Row],[RATINGS COUNT]]</f>
        <v>0</v>
      </c>
    </row>
    <row r="332" spans="1:13" x14ac:dyDescent="0.25">
      <c r="A332" t="s">
        <v>841</v>
      </c>
      <c r="B332" t="s">
        <v>842</v>
      </c>
      <c r="C332">
        <v>105</v>
      </c>
      <c r="D332" t="s">
        <v>243</v>
      </c>
      <c r="E332" t="s">
        <v>3359</v>
      </c>
      <c r="F332" t="s">
        <v>843</v>
      </c>
      <c r="G332" t="s">
        <v>4</v>
      </c>
      <c r="H332">
        <v>0</v>
      </c>
      <c r="I332">
        <v>0</v>
      </c>
      <c r="J332">
        <v>2020</v>
      </c>
      <c r="K332" t="str">
        <f>IF(Books[[#This Row],[AVERAGE RATING]]&gt;=4,"High",IF(Books[[#This Row],[AVERAGE RATING]]&gt;=3,"Medium","Low"))</f>
        <v>Low</v>
      </c>
      <c r="L332" t="str">
        <f>IF(Books[[#This Row],[AVERAGE RATING]]&gt;10000,"Popular","Average")</f>
        <v>Average</v>
      </c>
      <c r="M332">
        <f>Books[[#This Row],[AVERAGE RATING]]*Books[[#This Row],[RATINGS COUNT]]</f>
        <v>0</v>
      </c>
    </row>
    <row r="333" spans="1:13" x14ac:dyDescent="0.25">
      <c r="A333" t="s">
        <v>844</v>
      </c>
      <c r="B333" t="s">
        <v>845</v>
      </c>
      <c r="C333">
        <v>718</v>
      </c>
      <c r="D333" t="s">
        <v>11</v>
      </c>
      <c r="E333" t="s">
        <v>3360</v>
      </c>
      <c r="F333" t="s">
        <v>88</v>
      </c>
      <c r="G333" t="s">
        <v>4</v>
      </c>
      <c r="H333">
        <v>0</v>
      </c>
      <c r="I333">
        <v>0</v>
      </c>
      <c r="J333">
        <v>2020</v>
      </c>
      <c r="K333" t="str">
        <f>IF(Books[[#This Row],[AVERAGE RATING]]&gt;=4,"High",IF(Books[[#This Row],[AVERAGE RATING]]&gt;=3,"Medium","Low"))</f>
        <v>Low</v>
      </c>
      <c r="L333" t="str">
        <f>IF(Books[[#This Row],[AVERAGE RATING]]&gt;10000,"Popular","Average")</f>
        <v>Average</v>
      </c>
      <c r="M333">
        <f>Books[[#This Row],[AVERAGE RATING]]*Books[[#This Row],[RATINGS COUNT]]</f>
        <v>0</v>
      </c>
    </row>
    <row r="334" spans="1:13" x14ac:dyDescent="0.25">
      <c r="A334" t="s">
        <v>847</v>
      </c>
      <c r="B334" t="s">
        <v>848</v>
      </c>
      <c r="C334">
        <v>748</v>
      </c>
      <c r="D334" t="s">
        <v>15</v>
      </c>
      <c r="E334" t="s">
        <v>3361</v>
      </c>
      <c r="F334" t="s">
        <v>60</v>
      </c>
      <c r="G334" t="s">
        <v>4</v>
      </c>
      <c r="H334">
        <v>0</v>
      </c>
      <c r="I334">
        <v>0</v>
      </c>
      <c r="J334">
        <v>2023</v>
      </c>
      <c r="K334" t="str">
        <f>IF(Books[[#This Row],[AVERAGE RATING]]&gt;=4,"High",IF(Books[[#This Row],[AVERAGE RATING]]&gt;=3,"Medium","Low"))</f>
        <v>Low</v>
      </c>
      <c r="L334" t="str">
        <f>IF(Books[[#This Row],[AVERAGE RATING]]&gt;10000,"Popular","Average")</f>
        <v>Average</v>
      </c>
      <c r="M334">
        <f>Books[[#This Row],[AVERAGE RATING]]*Books[[#This Row],[RATINGS COUNT]]</f>
        <v>0</v>
      </c>
    </row>
    <row r="335" spans="1:13" x14ac:dyDescent="0.25">
      <c r="A335" t="s">
        <v>849</v>
      </c>
      <c r="B335" t="s">
        <v>850</v>
      </c>
      <c r="C335">
        <v>598</v>
      </c>
      <c r="D335" t="s">
        <v>11</v>
      </c>
      <c r="E335" t="s">
        <v>3362</v>
      </c>
      <c r="F335" t="s">
        <v>88</v>
      </c>
      <c r="G335" t="s">
        <v>4</v>
      </c>
      <c r="H335">
        <v>0</v>
      </c>
      <c r="I335">
        <v>0</v>
      </c>
      <c r="J335">
        <v>2024</v>
      </c>
      <c r="K335" t="str">
        <f>IF(Books[[#This Row],[AVERAGE RATING]]&gt;=4,"High",IF(Books[[#This Row],[AVERAGE RATING]]&gt;=3,"Medium","Low"))</f>
        <v>Low</v>
      </c>
      <c r="L335" t="str">
        <f>IF(Books[[#This Row],[AVERAGE RATING]]&gt;10000,"Popular","Average")</f>
        <v>Average</v>
      </c>
      <c r="M335">
        <f>Books[[#This Row],[AVERAGE RATING]]*Books[[#This Row],[RATINGS COUNT]]</f>
        <v>0</v>
      </c>
    </row>
    <row r="336" spans="1:13" x14ac:dyDescent="0.25">
      <c r="A336" t="s">
        <v>851</v>
      </c>
      <c r="B336" t="s">
        <v>852</v>
      </c>
      <c r="C336">
        <v>1532</v>
      </c>
      <c r="D336" t="s">
        <v>356</v>
      </c>
      <c r="E336" t="s">
        <v>3363</v>
      </c>
      <c r="F336" t="s">
        <v>18</v>
      </c>
      <c r="G336" t="s">
        <v>4</v>
      </c>
      <c r="H336">
        <v>0</v>
      </c>
      <c r="I336">
        <v>0</v>
      </c>
      <c r="J336">
        <v>2019</v>
      </c>
      <c r="K336" t="str">
        <f>IF(Books[[#This Row],[AVERAGE RATING]]&gt;=4,"High",IF(Books[[#This Row],[AVERAGE RATING]]&gt;=3,"Medium","Low"))</f>
        <v>Low</v>
      </c>
      <c r="L336" t="str">
        <f>IF(Books[[#This Row],[AVERAGE RATING]]&gt;10000,"Popular","Average")</f>
        <v>Average</v>
      </c>
      <c r="M336">
        <f>Books[[#This Row],[AVERAGE RATING]]*Books[[#This Row],[RATINGS COUNT]]</f>
        <v>0</v>
      </c>
    </row>
    <row r="337" spans="1:13" x14ac:dyDescent="0.25">
      <c r="A337" t="s">
        <v>853</v>
      </c>
      <c r="B337" t="s">
        <v>854</v>
      </c>
      <c r="C337">
        <v>130</v>
      </c>
      <c r="D337" t="s">
        <v>243</v>
      </c>
      <c r="E337" t="s">
        <v>3364</v>
      </c>
      <c r="F337" t="s">
        <v>855</v>
      </c>
      <c r="G337" t="s">
        <v>4</v>
      </c>
      <c r="H337">
        <v>0</v>
      </c>
      <c r="I337">
        <v>0</v>
      </c>
      <c r="J337">
        <v>2023</v>
      </c>
      <c r="K337" t="str">
        <f>IF(Books[[#This Row],[AVERAGE RATING]]&gt;=4,"High",IF(Books[[#This Row],[AVERAGE RATING]]&gt;=3,"Medium","Low"))</f>
        <v>Low</v>
      </c>
      <c r="L337" t="str">
        <f>IF(Books[[#This Row],[AVERAGE RATING]]&gt;10000,"Popular","Average")</f>
        <v>Average</v>
      </c>
      <c r="M337">
        <f>Books[[#This Row],[AVERAGE RATING]]*Books[[#This Row],[RATINGS COUNT]]</f>
        <v>0</v>
      </c>
    </row>
    <row r="338" spans="1:13" x14ac:dyDescent="0.25">
      <c r="A338" t="s">
        <v>856</v>
      </c>
      <c r="B338" t="s">
        <v>857</v>
      </c>
      <c r="C338">
        <v>249</v>
      </c>
      <c r="D338" t="s">
        <v>15</v>
      </c>
      <c r="E338" t="s">
        <v>3201</v>
      </c>
      <c r="F338" t="s">
        <v>858</v>
      </c>
      <c r="G338" t="s">
        <v>4</v>
      </c>
      <c r="H338">
        <v>0</v>
      </c>
      <c r="I338">
        <v>0</v>
      </c>
      <c r="J338">
        <v>2024</v>
      </c>
      <c r="K338" t="str">
        <f>IF(Books[[#This Row],[AVERAGE RATING]]&gt;=4,"High",IF(Books[[#This Row],[AVERAGE RATING]]&gt;=3,"Medium","Low"))</f>
        <v>Low</v>
      </c>
      <c r="L338" t="str">
        <f>IF(Books[[#This Row],[AVERAGE RATING]]&gt;10000,"Popular","Average")</f>
        <v>Average</v>
      </c>
      <c r="M338">
        <f>Books[[#This Row],[AVERAGE RATING]]*Books[[#This Row],[RATINGS COUNT]]</f>
        <v>0</v>
      </c>
    </row>
    <row r="339" spans="1:13" x14ac:dyDescent="0.25">
      <c r="A339" t="s">
        <v>859</v>
      </c>
      <c r="B339" t="s">
        <v>860</v>
      </c>
      <c r="C339">
        <v>209</v>
      </c>
      <c r="D339" t="s">
        <v>32</v>
      </c>
      <c r="E339" t="s">
        <v>3287</v>
      </c>
      <c r="F339" t="s">
        <v>861</v>
      </c>
      <c r="G339" t="s">
        <v>4</v>
      </c>
      <c r="H339">
        <v>0</v>
      </c>
      <c r="I339">
        <v>0</v>
      </c>
      <c r="J339">
        <v>2010</v>
      </c>
      <c r="K339" t="str">
        <f>IF(Books[[#This Row],[AVERAGE RATING]]&gt;=4,"High",IF(Books[[#This Row],[AVERAGE RATING]]&gt;=3,"Medium","Low"))</f>
        <v>Low</v>
      </c>
      <c r="L339" t="str">
        <f>IF(Books[[#This Row],[AVERAGE RATING]]&gt;10000,"Popular","Average")</f>
        <v>Average</v>
      </c>
      <c r="M339">
        <f>Books[[#This Row],[AVERAGE RATING]]*Books[[#This Row],[RATINGS COUNT]]</f>
        <v>0</v>
      </c>
    </row>
    <row r="340" spans="1:13" x14ac:dyDescent="0.25">
      <c r="A340" t="s">
        <v>862</v>
      </c>
      <c r="B340" t="s">
        <v>863</v>
      </c>
      <c r="C340">
        <v>212</v>
      </c>
      <c r="D340" t="s">
        <v>2</v>
      </c>
      <c r="E340" t="s">
        <v>3365</v>
      </c>
      <c r="F340" t="s">
        <v>70</v>
      </c>
      <c r="G340" t="s">
        <v>4</v>
      </c>
      <c r="H340">
        <v>0</v>
      </c>
      <c r="I340">
        <v>0</v>
      </c>
      <c r="J340">
        <v>2021</v>
      </c>
      <c r="K340" t="str">
        <f>IF(Books[[#This Row],[AVERAGE RATING]]&gt;=4,"High",IF(Books[[#This Row],[AVERAGE RATING]]&gt;=3,"Medium","Low"))</f>
        <v>Low</v>
      </c>
      <c r="L340" t="str">
        <f>IF(Books[[#This Row],[AVERAGE RATING]]&gt;10000,"Popular","Average")</f>
        <v>Average</v>
      </c>
      <c r="M340">
        <f>Books[[#This Row],[AVERAGE RATING]]*Books[[#This Row],[RATINGS COUNT]]</f>
        <v>0</v>
      </c>
    </row>
    <row r="341" spans="1:13" x14ac:dyDescent="0.25">
      <c r="A341" t="s">
        <v>864</v>
      </c>
      <c r="B341" t="s">
        <v>865</v>
      </c>
      <c r="C341">
        <v>352</v>
      </c>
      <c r="D341" t="s">
        <v>243</v>
      </c>
      <c r="E341" t="s">
        <v>3067</v>
      </c>
      <c r="F341" t="s">
        <v>866</v>
      </c>
      <c r="G341" t="s">
        <v>4</v>
      </c>
      <c r="H341">
        <v>4</v>
      </c>
      <c r="I341">
        <v>6</v>
      </c>
      <c r="J341">
        <v>2003</v>
      </c>
      <c r="K341" t="str">
        <f>IF(Books[[#This Row],[AVERAGE RATING]]&gt;=4,"High",IF(Books[[#This Row],[AVERAGE RATING]]&gt;=3,"Medium","Low"))</f>
        <v>High</v>
      </c>
      <c r="L341" t="str">
        <f>IF(Books[[#This Row],[AVERAGE RATING]]&gt;10000,"Popular","Average")</f>
        <v>Average</v>
      </c>
      <c r="M341">
        <f>Books[[#This Row],[AVERAGE RATING]]*Books[[#This Row],[RATINGS COUNT]]</f>
        <v>24</v>
      </c>
    </row>
    <row r="342" spans="1:13" x14ac:dyDescent="0.25">
      <c r="A342" t="s">
        <v>868</v>
      </c>
      <c r="B342" t="s">
        <v>869</v>
      </c>
      <c r="C342">
        <v>775</v>
      </c>
      <c r="D342" t="s">
        <v>63</v>
      </c>
      <c r="E342" t="s">
        <v>3366</v>
      </c>
      <c r="F342" t="s">
        <v>60</v>
      </c>
      <c r="G342" t="s">
        <v>4</v>
      </c>
      <c r="H342">
        <v>0</v>
      </c>
      <c r="I342">
        <v>0</v>
      </c>
      <c r="J342">
        <v>2022</v>
      </c>
      <c r="K342" t="str">
        <f>IF(Books[[#This Row],[AVERAGE RATING]]&gt;=4,"High",IF(Books[[#This Row],[AVERAGE RATING]]&gt;=3,"Medium","Low"))</f>
        <v>Low</v>
      </c>
      <c r="L342" t="str">
        <f>IF(Books[[#This Row],[AVERAGE RATING]]&gt;10000,"Popular","Average")</f>
        <v>Average</v>
      </c>
      <c r="M342">
        <f>Books[[#This Row],[AVERAGE RATING]]*Books[[#This Row],[RATINGS COUNT]]</f>
        <v>0</v>
      </c>
    </row>
    <row r="343" spans="1:13" x14ac:dyDescent="0.25">
      <c r="A343" t="s">
        <v>870</v>
      </c>
      <c r="B343" t="s">
        <v>871</v>
      </c>
      <c r="C343">
        <v>276</v>
      </c>
      <c r="D343" t="s">
        <v>63</v>
      </c>
      <c r="E343" t="s">
        <v>3101</v>
      </c>
      <c r="F343" t="s">
        <v>46</v>
      </c>
      <c r="G343" t="s">
        <v>4</v>
      </c>
      <c r="H343">
        <v>4</v>
      </c>
      <c r="I343">
        <v>1</v>
      </c>
      <c r="J343">
        <v>2000</v>
      </c>
      <c r="K343" t="str">
        <f>IF(Books[[#This Row],[AVERAGE RATING]]&gt;=4,"High",IF(Books[[#This Row],[AVERAGE RATING]]&gt;=3,"Medium","Low"))</f>
        <v>High</v>
      </c>
      <c r="L343" t="str">
        <f>IF(Books[[#This Row],[AVERAGE RATING]]&gt;10000,"Popular","Average")</f>
        <v>Average</v>
      </c>
      <c r="M343">
        <f>Books[[#This Row],[AVERAGE RATING]]*Books[[#This Row],[RATINGS COUNT]]</f>
        <v>4</v>
      </c>
    </row>
    <row r="344" spans="1:13" x14ac:dyDescent="0.25">
      <c r="A344" t="s">
        <v>872</v>
      </c>
      <c r="B344" t="s">
        <v>873</v>
      </c>
      <c r="C344">
        <v>162</v>
      </c>
      <c r="D344" t="s">
        <v>47</v>
      </c>
      <c r="E344" t="s">
        <v>3367</v>
      </c>
      <c r="F344" t="s">
        <v>35</v>
      </c>
      <c r="G344" t="s">
        <v>4</v>
      </c>
      <c r="H344">
        <v>0</v>
      </c>
      <c r="I344">
        <v>0</v>
      </c>
      <c r="J344">
        <v>2013</v>
      </c>
      <c r="K344" t="str">
        <f>IF(Books[[#This Row],[AVERAGE RATING]]&gt;=4,"High",IF(Books[[#This Row],[AVERAGE RATING]]&gt;=3,"Medium","Low"))</f>
        <v>Low</v>
      </c>
      <c r="L344" t="str">
        <f>IF(Books[[#This Row],[AVERAGE RATING]]&gt;10000,"Popular","Average")</f>
        <v>Average</v>
      </c>
      <c r="M344">
        <f>Books[[#This Row],[AVERAGE RATING]]*Books[[#This Row],[RATINGS COUNT]]</f>
        <v>0</v>
      </c>
    </row>
    <row r="345" spans="1:13" x14ac:dyDescent="0.25">
      <c r="A345" t="s">
        <v>874</v>
      </c>
      <c r="B345" t="s">
        <v>875</v>
      </c>
      <c r="C345">
        <v>404</v>
      </c>
      <c r="D345" t="s">
        <v>180</v>
      </c>
      <c r="E345" t="s">
        <v>3368</v>
      </c>
      <c r="F345" t="s">
        <v>876</v>
      </c>
      <c r="G345" t="s">
        <v>4</v>
      </c>
      <c r="H345">
        <v>0</v>
      </c>
      <c r="I345">
        <v>0</v>
      </c>
      <c r="J345">
        <v>2013</v>
      </c>
      <c r="K345" t="str">
        <f>IF(Books[[#This Row],[AVERAGE RATING]]&gt;=4,"High",IF(Books[[#This Row],[AVERAGE RATING]]&gt;=3,"Medium","Low"))</f>
        <v>Low</v>
      </c>
      <c r="L345" t="str">
        <f>IF(Books[[#This Row],[AVERAGE RATING]]&gt;10000,"Popular","Average")</f>
        <v>Average</v>
      </c>
      <c r="M345">
        <f>Books[[#This Row],[AVERAGE RATING]]*Books[[#This Row],[RATINGS COUNT]]</f>
        <v>0</v>
      </c>
    </row>
    <row r="346" spans="1:13" x14ac:dyDescent="0.25">
      <c r="A346" t="s">
        <v>877</v>
      </c>
      <c r="B346" t="s">
        <v>878</v>
      </c>
      <c r="C346">
        <v>329</v>
      </c>
      <c r="D346" t="s">
        <v>383</v>
      </c>
      <c r="E346" t="s">
        <v>3099</v>
      </c>
      <c r="F346" t="s">
        <v>299</v>
      </c>
      <c r="G346" t="s">
        <v>4</v>
      </c>
      <c r="H346">
        <v>0</v>
      </c>
      <c r="I346">
        <v>0</v>
      </c>
      <c r="J346">
        <v>2005</v>
      </c>
      <c r="K346" t="str">
        <f>IF(Books[[#This Row],[AVERAGE RATING]]&gt;=4,"High",IF(Books[[#This Row],[AVERAGE RATING]]&gt;=3,"Medium","Low"))</f>
        <v>Low</v>
      </c>
      <c r="L346" t="str">
        <f>IF(Books[[#This Row],[AVERAGE RATING]]&gt;10000,"Popular","Average")</f>
        <v>Average</v>
      </c>
      <c r="M346">
        <f>Books[[#This Row],[AVERAGE RATING]]*Books[[#This Row],[RATINGS COUNT]]</f>
        <v>0</v>
      </c>
    </row>
    <row r="347" spans="1:13" x14ac:dyDescent="0.25">
      <c r="A347" t="s">
        <v>879</v>
      </c>
      <c r="B347" t="s">
        <v>880</v>
      </c>
      <c r="C347">
        <v>230</v>
      </c>
      <c r="D347" t="s">
        <v>2</v>
      </c>
      <c r="E347" t="s">
        <v>3357</v>
      </c>
      <c r="F347" t="s">
        <v>881</v>
      </c>
      <c r="G347" t="s">
        <v>4</v>
      </c>
      <c r="H347">
        <v>0</v>
      </c>
      <c r="I347">
        <v>0</v>
      </c>
      <c r="J347">
        <v>1986</v>
      </c>
      <c r="K347" t="str">
        <f>IF(Books[[#This Row],[AVERAGE RATING]]&gt;=4,"High",IF(Books[[#This Row],[AVERAGE RATING]]&gt;=3,"Medium","Low"))</f>
        <v>Low</v>
      </c>
      <c r="L347" t="str">
        <f>IF(Books[[#This Row],[AVERAGE RATING]]&gt;10000,"Popular","Average")</f>
        <v>Average</v>
      </c>
      <c r="M347">
        <f>Books[[#This Row],[AVERAGE RATING]]*Books[[#This Row],[RATINGS COUNT]]</f>
        <v>0</v>
      </c>
    </row>
    <row r="348" spans="1:13" x14ac:dyDescent="0.25">
      <c r="A348" t="s">
        <v>882</v>
      </c>
      <c r="B348" t="s">
        <v>883</v>
      </c>
      <c r="C348">
        <v>363</v>
      </c>
      <c r="D348" t="s">
        <v>63</v>
      </c>
      <c r="E348" t="s">
        <v>3369</v>
      </c>
      <c r="F348" t="s">
        <v>35</v>
      </c>
      <c r="G348" t="s">
        <v>4</v>
      </c>
      <c r="H348">
        <v>0</v>
      </c>
      <c r="I348">
        <v>0</v>
      </c>
      <c r="J348">
        <v>2013</v>
      </c>
      <c r="K348" t="str">
        <f>IF(Books[[#This Row],[AVERAGE RATING]]&gt;=4,"High",IF(Books[[#This Row],[AVERAGE RATING]]&gt;=3,"Medium","Low"))</f>
        <v>Low</v>
      </c>
      <c r="L348" t="str">
        <f>IF(Books[[#This Row],[AVERAGE RATING]]&gt;10000,"Popular","Average")</f>
        <v>Average</v>
      </c>
      <c r="M348">
        <f>Books[[#This Row],[AVERAGE RATING]]*Books[[#This Row],[RATINGS COUNT]]</f>
        <v>0</v>
      </c>
    </row>
    <row r="349" spans="1:13" x14ac:dyDescent="0.25">
      <c r="A349" t="s">
        <v>884</v>
      </c>
      <c r="B349" t="s">
        <v>885</v>
      </c>
      <c r="C349">
        <v>290</v>
      </c>
      <c r="D349" t="s">
        <v>32</v>
      </c>
      <c r="E349" t="s">
        <v>3370</v>
      </c>
      <c r="F349" t="s">
        <v>122</v>
      </c>
      <c r="G349" t="s">
        <v>4</v>
      </c>
      <c r="H349">
        <v>3</v>
      </c>
      <c r="I349">
        <v>1</v>
      </c>
      <c r="J349">
        <v>2000</v>
      </c>
      <c r="K349" t="str">
        <f>IF(Books[[#This Row],[AVERAGE RATING]]&gt;=4,"High",IF(Books[[#This Row],[AVERAGE RATING]]&gt;=3,"Medium","Low"))</f>
        <v>Medium</v>
      </c>
      <c r="L349" t="str">
        <f>IF(Books[[#This Row],[AVERAGE RATING]]&gt;10000,"Popular","Average")</f>
        <v>Average</v>
      </c>
      <c r="M349">
        <f>Books[[#This Row],[AVERAGE RATING]]*Books[[#This Row],[RATINGS COUNT]]</f>
        <v>3</v>
      </c>
    </row>
    <row r="350" spans="1:13" x14ac:dyDescent="0.25">
      <c r="A350" t="s">
        <v>886</v>
      </c>
      <c r="B350" t="s">
        <v>887</v>
      </c>
      <c r="C350">
        <v>248</v>
      </c>
      <c r="D350" t="s">
        <v>640</v>
      </c>
      <c r="E350" t="s">
        <v>3371</v>
      </c>
      <c r="F350" t="s">
        <v>122</v>
      </c>
      <c r="G350" t="s">
        <v>4</v>
      </c>
      <c r="H350">
        <v>0</v>
      </c>
      <c r="I350">
        <v>0</v>
      </c>
      <c r="J350">
        <v>1987</v>
      </c>
      <c r="K350" t="str">
        <f>IF(Books[[#This Row],[AVERAGE RATING]]&gt;=4,"High",IF(Books[[#This Row],[AVERAGE RATING]]&gt;=3,"Medium","Low"))</f>
        <v>Low</v>
      </c>
      <c r="L350" t="str">
        <f>IF(Books[[#This Row],[AVERAGE RATING]]&gt;10000,"Popular","Average")</f>
        <v>Average</v>
      </c>
      <c r="M350">
        <f>Books[[#This Row],[AVERAGE RATING]]*Books[[#This Row],[RATINGS COUNT]]</f>
        <v>0</v>
      </c>
    </row>
    <row r="351" spans="1:13" x14ac:dyDescent="0.25">
      <c r="A351" t="s">
        <v>888</v>
      </c>
      <c r="B351" t="s">
        <v>889</v>
      </c>
      <c r="C351">
        <v>52</v>
      </c>
      <c r="D351" t="s">
        <v>890</v>
      </c>
      <c r="E351" t="s">
        <v>3099</v>
      </c>
      <c r="F351" t="s">
        <v>891</v>
      </c>
      <c r="G351" t="s">
        <v>4</v>
      </c>
      <c r="H351">
        <v>0</v>
      </c>
      <c r="I351">
        <v>0</v>
      </c>
      <c r="J351">
        <v>2005</v>
      </c>
      <c r="K351" t="str">
        <f>IF(Books[[#This Row],[AVERAGE RATING]]&gt;=4,"High",IF(Books[[#This Row],[AVERAGE RATING]]&gt;=3,"Medium","Low"))</f>
        <v>Low</v>
      </c>
      <c r="L351" t="str">
        <f>IF(Books[[#This Row],[AVERAGE RATING]]&gt;10000,"Popular","Average")</f>
        <v>Average</v>
      </c>
      <c r="M351">
        <f>Books[[#This Row],[AVERAGE RATING]]*Books[[#This Row],[RATINGS COUNT]]</f>
        <v>0</v>
      </c>
    </row>
    <row r="352" spans="1:13" x14ac:dyDescent="0.25">
      <c r="A352" t="s">
        <v>892</v>
      </c>
      <c r="B352" t="s">
        <v>893</v>
      </c>
      <c r="C352">
        <v>249</v>
      </c>
      <c r="D352" t="s">
        <v>28</v>
      </c>
      <c r="E352" t="s">
        <v>3372</v>
      </c>
      <c r="F352" t="s">
        <v>35</v>
      </c>
      <c r="G352" t="s">
        <v>4</v>
      </c>
      <c r="H352">
        <v>0</v>
      </c>
      <c r="I352">
        <v>0</v>
      </c>
      <c r="J352">
        <v>2012</v>
      </c>
      <c r="K352" t="str">
        <f>IF(Books[[#This Row],[AVERAGE RATING]]&gt;=4,"High",IF(Books[[#This Row],[AVERAGE RATING]]&gt;=3,"Medium","Low"))</f>
        <v>Low</v>
      </c>
      <c r="L352" t="str">
        <f>IF(Books[[#This Row],[AVERAGE RATING]]&gt;10000,"Popular","Average")</f>
        <v>Average</v>
      </c>
      <c r="M352">
        <f>Books[[#This Row],[AVERAGE RATING]]*Books[[#This Row],[RATINGS COUNT]]</f>
        <v>0</v>
      </c>
    </row>
    <row r="353" spans="1:13" x14ac:dyDescent="0.25">
      <c r="A353" t="s">
        <v>894</v>
      </c>
      <c r="B353" t="s">
        <v>895</v>
      </c>
      <c r="C353">
        <v>744</v>
      </c>
      <c r="D353" t="s">
        <v>47</v>
      </c>
      <c r="E353" t="s">
        <v>3077</v>
      </c>
      <c r="F353" t="s">
        <v>8</v>
      </c>
      <c r="G353" t="s">
        <v>4</v>
      </c>
      <c r="H353">
        <v>0</v>
      </c>
      <c r="I353">
        <v>0</v>
      </c>
      <c r="J353">
        <v>2009</v>
      </c>
      <c r="K353" t="str">
        <f>IF(Books[[#This Row],[AVERAGE RATING]]&gt;=4,"High",IF(Books[[#This Row],[AVERAGE RATING]]&gt;=3,"Medium","Low"))</f>
        <v>Low</v>
      </c>
      <c r="L353" t="str">
        <f>IF(Books[[#This Row],[AVERAGE RATING]]&gt;10000,"Popular","Average")</f>
        <v>Average</v>
      </c>
      <c r="M353">
        <f>Books[[#This Row],[AVERAGE RATING]]*Books[[#This Row],[RATINGS COUNT]]</f>
        <v>0</v>
      </c>
    </row>
    <row r="354" spans="1:13" x14ac:dyDescent="0.25">
      <c r="A354" t="s">
        <v>896</v>
      </c>
      <c r="B354" t="s">
        <v>897</v>
      </c>
      <c r="C354">
        <v>334</v>
      </c>
      <c r="D354" t="s">
        <v>2</v>
      </c>
      <c r="E354" t="s">
        <v>3373</v>
      </c>
      <c r="F354" t="s">
        <v>46</v>
      </c>
      <c r="G354" t="s">
        <v>4</v>
      </c>
      <c r="H354">
        <v>0</v>
      </c>
      <c r="I354">
        <v>0</v>
      </c>
      <c r="J354">
        <v>1998</v>
      </c>
      <c r="K354" t="str">
        <f>IF(Books[[#This Row],[AVERAGE RATING]]&gt;=4,"High",IF(Books[[#This Row],[AVERAGE RATING]]&gt;=3,"Medium","Low"))</f>
        <v>Low</v>
      </c>
      <c r="L354" t="str">
        <f>IF(Books[[#This Row],[AVERAGE RATING]]&gt;10000,"Popular","Average")</f>
        <v>Average</v>
      </c>
      <c r="M354">
        <f>Books[[#This Row],[AVERAGE RATING]]*Books[[#This Row],[RATINGS COUNT]]</f>
        <v>0</v>
      </c>
    </row>
    <row r="355" spans="1:13" x14ac:dyDescent="0.25">
      <c r="A355" t="s">
        <v>898</v>
      </c>
      <c r="B355" t="s">
        <v>3374</v>
      </c>
      <c r="C355">
        <v>663</v>
      </c>
      <c r="D355" t="s">
        <v>63</v>
      </c>
      <c r="E355" t="s">
        <v>3375</v>
      </c>
      <c r="F355" t="s">
        <v>846</v>
      </c>
      <c r="G355" t="s">
        <v>4</v>
      </c>
      <c r="H355">
        <v>0</v>
      </c>
      <c r="I355">
        <v>0</v>
      </c>
      <c r="J355">
        <v>2019</v>
      </c>
      <c r="K355" t="str">
        <f>IF(Books[[#This Row],[AVERAGE RATING]]&gt;=4,"High",IF(Books[[#This Row],[AVERAGE RATING]]&gt;=3,"Medium","Low"))</f>
        <v>Low</v>
      </c>
      <c r="L355" t="str">
        <f>IF(Books[[#This Row],[AVERAGE RATING]]&gt;10000,"Popular","Average")</f>
        <v>Average</v>
      </c>
      <c r="M355">
        <f>Books[[#This Row],[AVERAGE RATING]]*Books[[#This Row],[RATINGS COUNT]]</f>
        <v>0</v>
      </c>
    </row>
    <row r="356" spans="1:13" x14ac:dyDescent="0.25">
      <c r="A356" t="s">
        <v>899</v>
      </c>
      <c r="B356" t="s">
        <v>900</v>
      </c>
      <c r="C356">
        <v>286</v>
      </c>
      <c r="D356" t="s">
        <v>47</v>
      </c>
      <c r="E356" t="s">
        <v>3135</v>
      </c>
      <c r="F356" t="s">
        <v>901</v>
      </c>
      <c r="G356" t="s">
        <v>4</v>
      </c>
      <c r="H356">
        <v>0</v>
      </c>
      <c r="I356">
        <v>0</v>
      </c>
      <c r="J356">
        <v>1994</v>
      </c>
      <c r="K356" t="str">
        <f>IF(Books[[#This Row],[AVERAGE RATING]]&gt;=4,"High",IF(Books[[#This Row],[AVERAGE RATING]]&gt;=3,"Medium","Low"))</f>
        <v>Low</v>
      </c>
      <c r="L356" t="str">
        <f>IF(Books[[#This Row],[AVERAGE RATING]]&gt;10000,"Popular","Average")</f>
        <v>Average</v>
      </c>
      <c r="M356">
        <f>Books[[#This Row],[AVERAGE RATING]]*Books[[#This Row],[RATINGS COUNT]]</f>
        <v>0</v>
      </c>
    </row>
    <row r="357" spans="1:13" x14ac:dyDescent="0.25">
      <c r="A357" t="s">
        <v>903</v>
      </c>
      <c r="B357" t="s">
        <v>904</v>
      </c>
      <c r="C357">
        <v>469</v>
      </c>
      <c r="D357" t="s">
        <v>15</v>
      </c>
      <c r="E357" t="s">
        <v>3376</v>
      </c>
      <c r="F357" t="s">
        <v>235</v>
      </c>
      <c r="G357" t="s">
        <v>4</v>
      </c>
      <c r="H357">
        <v>0</v>
      </c>
      <c r="I357">
        <v>0</v>
      </c>
      <c r="J357">
        <v>2023</v>
      </c>
      <c r="K357" t="str">
        <f>IF(Books[[#This Row],[AVERAGE RATING]]&gt;=4,"High",IF(Books[[#This Row],[AVERAGE RATING]]&gt;=3,"Medium","Low"))</f>
        <v>Low</v>
      </c>
      <c r="L357" t="str">
        <f>IF(Books[[#This Row],[AVERAGE RATING]]&gt;10000,"Popular","Average")</f>
        <v>Average</v>
      </c>
      <c r="M357">
        <f>Books[[#This Row],[AVERAGE RATING]]*Books[[#This Row],[RATINGS COUNT]]</f>
        <v>0</v>
      </c>
    </row>
    <row r="358" spans="1:13" x14ac:dyDescent="0.25">
      <c r="A358" t="s">
        <v>905</v>
      </c>
      <c r="B358" t="s">
        <v>906</v>
      </c>
      <c r="C358">
        <v>346</v>
      </c>
      <c r="D358" t="s">
        <v>45</v>
      </c>
      <c r="E358" t="s">
        <v>3377</v>
      </c>
      <c r="F358" t="s">
        <v>107</v>
      </c>
      <c r="G358" t="s">
        <v>4</v>
      </c>
      <c r="H358">
        <v>0</v>
      </c>
      <c r="I358">
        <v>0</v>
      </c>
      <c r="J358">
        <v>2010</v>
      </c>
      <c r="K358" t="str">
        <f>IF(Books[[#This Row],[AVERAGE RATING]]&gt;=4,"High",IF(Books[[#This Row],[AVERAGE RATING]]&gt;=3,"Medium","Low"))</f>
        <v>Low</v>
      </c>
      <c r="L358" t="str">
        <f>IF(Books[[#This Row],[AVERAGE RATING]]&gt;10000,"Popular","Average")</f>
        <v>Average</v>
      </c>
      <c r="M358">
        <f>Books[[#This Row],[AVERAGE RATING]]*Books[[#This Row],[RATINGS COUNT]]</f>
        <v>0</v>
      </c>
    </row>
    <row r="359" spans="1:13" x14ac:dyDescent="0.25">
      <c r="A359" t="s">
        <v>907</v>
      </c>
      <c r="B359" t="s">
        <v>908</v>
      </c>
      <c r="C359">
        <v>739</v>
      </c>
      <c r="D359" t="s">
        <v>383</v>
      </c>
      <c r="E359" t="s">
        <v>3175</v>
      </c>
      <c r="F359" t="s">
        <v>148</v>
      </c>
      <c r="G359" t="s">
        <v>4</v>
      </c>
      <c r="H359">
        <v>0</v>
      </c>
      <c r="I359">
        <v>0</v>
      </c>
      <c r="J359">
        <v>2013</v>
      </c>
      <c r="K359" t="str">
        <f>IF(Books[[#This Row],[AVERAGE RATING]]&gt;=4,"High",IF(Books[[#This Row],[AVERAGE RATING]]&gt;=3,"Medium","Low"))</f>
        <v>Low</v>
      </c>
      <c r="L359" t="str">
        <f>IF(Books[[#This Row],[AVERAGE RATING]]&gt;10000,"Popular","Average")</f>
        <v>Average</v>
      </c>
      <c r="M359">
        <f>Books[[#This Row],[AVERAGE RATING]]*Books[[#This Row],[RATINGS COUNT]]</f>
        <v>0</v>
      </c>
    </row>
    <row r="360" spans="1:13" x14ac:dyDescent="0.25">
      <c r="A360" t="s">
        <v>909</v>
      </c>
      <c r="B360" t="s">
        <v>910</v>
      </c>
      <c r="C360">
        <v>1434</v>
      </c>
      <c r="D360" t="s">
        <v>63</v>
      </c>
      <c r="E360" t="s">
        <v>3378</v>
      </c>
      <c r="F360" t="s">
        <v>35</v>
      </c>
      <c r="G360" t="s">
        <v>4</v>
      </c>
      <c r="H360">
        <v>0</v>
      </c>
      <c r="I360">
        <v>0</v>
      </c>
      <c r="J360">
        <v>2004</v>
      </c>
      <c r="K360" t="str">
        <f>IF(Books[[#This Row],[AVERAGE RATING]]&gt;=4,"High",IF(Books[[#This Row],[AVERAGE RATING]]&gt;=3,"Medium","Low"))</f>
        <v>Low</v>
      </c>
      <c r="L360" t="str">
        <f>IF(Books[[#This Row],[AVERAGE RATING]]&gt;10000,"Popular","Average")</f>
        <v>Average</v>
      </c>
      <c r="M360">
        <f>Books[[#This Row],[AVERAGE RATING]]*Books[[#This Row],[RATINGS COUNT]]</f>
        <v>0</v>
      </c>
    </row>
    <row r="361" spans="1:13" x14ac:dyDescent="0.25">
      <c r="A361" t="s">
        <v>911</v>
      </c>
      <c r="B361" t="s">
        <v>912</v>
      </c>
      <c r="C361">
        <v>713</v>
      </c>
      <c r="D361" t="s">
        <v>118</v>
      </c>
      <c r="E361" t="s">
        <v>3204</v>
      </c>
      <c r="F361" t="s">
        <v>60</v>
      </c>
      <c r="G361" t="s">
        <v>4</v>
      </c>
      <c r="H361">
        <v>0</v>
      </c>
      <c r="I361">
        <v>0</v>
      </c>
      <c r="J361">
        <v>2025</v>
      </c>
      <c r="K361" t="str">
        <f>IF(Books[[#This Row],[AVERAGE RATING]]&gt;=4,"High",IF(Books[[#This Row],[AVERAGE RATING]]&gt;=3,"Medium","Low"))</f>
        <v>Low</v>
      </c>
      <c r="L361" t="str">
        <f>IF(Books[[#This Row],[AVERAGE RATING]]&gt;10000,"Popular","Average")</f>
        <v>Average</v>
      </c>
      <c r="M361">
        <f>Books[[#This Row],[AVERAGE RATING]]*Books[[#This Row],[RATINGS COUNT]]</f>
        <v>0</v>
      </c>
    </row>
    <row r="362" spans="1:13" x14ac:dyDescent="0.25">
      <c r="A362" t="s">
        <v>913</v>
      </c>
      <c r="B362" t="s">
        <v>914</v>
      </c>
      <c r="C362">
        <v>313</v>
      </c>
      <c r="D362" t="s">
        <v>298</v>
      </c>
      <c r="E362" t="s">
        <v>3379</v>
      </c>
      <c r="F362" t="s">
        <v>855</v>
      </c>
      <c r="G362" t="s">
        <v>4</v>
      </c>
      <c r="H362">
        <v>0</v>
      </c>
      <c r="I362">
        <v>0</v>
      </c>
      <c r="J362">
        <v>2018</v>
      </c>
      <c r="K362" t="str">
        <f>IF(Books[[#This Row],[AVERAGE RATING]]&gt;=4,"High",IF(Books[[#This Row],[AVERAGE RATING]]&gt;=3,"Medium","Low"))</f>
        <v>Low</v>
      </c>
      <c r="L362" t="str">
        <f>IF(Books[[#This Row],[AVERAGE RATING]]&gt;10000,"Popular","Average")</f>
        <v>Average</v>
      </c>
      <c r="M362">
        <f>Books[[#This Row],[AVERAGE RATING]]*Books[[#This Row],[RATINGS COUNT]]</f>
        <v>0</v>
      </c>
    </row>
    <row r="363" spans="1:13" x14ac:dyDescent="0.25">
      <c r="A363" t="s">
        <v>915</v>
      </c>
      <c r="B363" t="s">
        <v>916</v>
      </c>
      <c r="C363">
        <v>745</v>
      </c>
      <c r="D363" t="s">
        <v>328</v>
      </c>
      <c r="E363" t="s">
        <v>3380</v>
      </c>
      <c r="F363" t="s">
        <v>917</v>
      </c>
      <c r="G363" t="s">
        <v>4</v>
      </c>
      <c r="H363">
        <v>5</v>
      </c>
      <c r="I363">
        <v>1</v>
      </c>
      <c r="J363">
        <v>2003</v>
      </c>
      <c r="K363" t="str">
        <f>IF(Books[[#This Row],[AVERAGE RATING]]&gt;=4,"High",IF(Books[[#This Row],[AVERAGE RATING]]&gt;=3,"Medium","Low"))</f>
        <v>High</v>
      </c>
      <c r="L363" t="str">
        <f>IF(Books[[#This Row],[AVERAGE RATING]]&gt;10000,"Popular","Average")</f>
        <v>Average</v>
      </c>
      <c r="M363">
        <f>Books[[#This Row],[AVERAGE RATING]]*Books[[#This Row],[RATINGS COUNT]]</f>
        <v>5</v>
      </c>
    </row>
    <row r="364" spans="1:13" x14ac:dyDescent="0.25">
      <c r="A364" t="s">
        <v>918</v>
      </c>
      <c r="B364" t="s">
        <v>919</v>
      </c>
      <c r="C364">
        <v>19</v>
      </c>
      <c r="D364" t="s">
        <v>54</v>
      </c>
      <c r="E364" t="s">
        <v>3381</v>
      </c>
      <c r="F364" t="s">
        <v>919</v>
      </c>
      <c r="G364" t="s">
        <v>4</v>
      </c>
      <c r="H364">
        <v>0</v>
      </c>
      <c r="I364">
        <v>0</v>
      </c>
      <c r="J364">
        <v>2023</v>
      </c>
      <c r="K364" t="str">
        <f>IF(Books[[#This Row],[AVERAGE RATING]]&gt;=4,"High",IF(Books[[#This Row],[AVERAGE RATING]]&gt;=3,"Medium","Low"))</f>
        <v>Low</v>
      </c>
      <c r="L364" t="str">
        <f>IF(Books[[#This Row],[AVERAGE RATING]]&gt;10000,"Popular","Average")</f>
        <v>Average</v>
      </c>
      <c r="M364">
        <f>Books[[#This Row],[AVERAGE RATING]]*Books[[#This Row],[RATINGS COUNT]]</f>
        <v>0</v>
      </c>
    </row>
    <row r="365" spans="1:13" x14ac:dyDescent="0.25">
      <c r="A365" t="s">
        <v>920</v>
      </c>
      <c r="B365" t="s">
        <v>921</v>
      </c>
      <c r="C365">
        <v>3907</v>
      </c>
      <c r="D365" t="s">
        <v>11</v>
      </c>
      <c r="E365" t="s">
        <v>3382</v>
      </c>
      <c r="F365" t="s">
        <v>922</v>
      </c>
      <c r="G365" t="s">
        <v>4</v>
      </c>
      <c r="H365">
        <v>0</v>
      </c>
      <c r="I365">
        <v>0</v>
      </c>
      <c r="J365">
        <v>2023</v>
      </c>
      <c r="K365" t="str">
        <f>IF(Books[[#This Row],[AVERAGE RATING]]&gt;=4,"High",IF(Books[[#This Row],[AVERAGE RATING]]&gt;=3,"Medium","Low"))</f>
        <v>Low</v>
      </c>
      <c r="L365" t="str">
        <f>IF(Books[[#This Row],[AVERAGE RATING]]&gt;10000,"Popular","Average")</f>
        <v>Average</v>
      </c>
      <c r="M365">
        <f>Books[[#This Row],[AVERAGE RATING]]*Books[[#This Row],[RATINGS COUNT]]</f>
        <v>0</v>
      </c>
    </row>
    <row r="366" spans="1:13" x14ac:dyDescent="0.25">
      <c r="A366" t="s">
        <v>923</v>
      </c>
      <c r="B366" t="s">
        <v>921</v>
      </c>
      <c r="C366">
        <v>8114</v>
      </c>
      <c r="D366" t="s">
        <v>11</v>
      </c>
      <c r="E366" t="s">
        <v>3383</v>
      </c>
      <c r="F366" t="s">
        <v>924</v>
      </c>
      <c r="G366" t="s">
        <v>4</v>
      </c>
      <c r="H366">
        <v>0</v>
      </c>
      <c r="I366">
        <v>0</v>
      </c>
      <c r="J366">
        <v>2017</v>
      </c>
      <c r="K366" t="str">
        <f>IF(Books[[#This Row],[AVERAGE RATING]]&gt;=4,"High",IF(Books[[#This Row],[AVERAGE RATING]]&gt;=3,"Medium","Low"))</f>
        <v>Low</v>
      </c>
      <c r="L366" t="str">
        <f>IF(Books[[#This Row],[AVERAGE RATING]]&gt;10000,"Popular","Average")</f>
        <v>Average</v>
      </c>
      <c r="M366">
        <f>Books[[#This Row],[AVERAGE RATING]]*Books[[#This Row],[RATINGS COUNT]]</f>
        <v>0</v>
      </c>
    </row>
    <row r="367" spans="1:13" x14ac:dyDescent="0.25">
      <c r="A367" t="s">
        <v>925</v>
      </c>
      <c r="B367" t="s">
        <v>926</v>
      </c>
      <c r="C367">
        <v>1108</v>
      </c>
      <c r="D367" t="s">
        <v>2</v>
      </c>
      <c r="E367" t="s">
        <v>3059</v>
      </c>
      <c r="F367" t="s">
        <v>927</v>
      </c>
      <c r="G367" t="s">
        <v>4</v>
      </c>
      <c r="H367">
        <v>5</v>
      </c>
      <c r="I367">
        <v>1</v>
      </c>
      <c r="J367">
        <v>1990</v>
      </c>
      <c r="K367" t="str">
        <f>IF(Books[[#This Row],[AVERAGE RATING]]&gt;=4,"High",IF(Books[[#This Row],[AVERAGE RATING]]&gt;=3,"Medium","Low"))</f>
        <v>High</v>
      </c>
      <c r="L367" t="str">
        <f>IF(Books[[#This Row],[AVERAGE RATING]]&gt;10000,"Popular","Average")</f>
        <v>Average</v>
      </c>
      <c r="M367">
        <f>Books[[#This Row],[AVERAGE RATING]]*Books[[#This Row],[RATINGS COUNT]]</f>
        <v>5</v>
      </c>
    </row>
    <row r="368" spans="1:13" x14ac:dyDescent="0.25">
      <c r="A368" t="s">
        <v>928</v>
      </c>
      <c r="B368" t="s">
        <v>929</v>
      </c>
      <c r="C368">
        <v>68</v>
      </c>
      <c r="D368" t="s">
        <v>63</v>
      </c>
      <c r="E368" t="s">
        <v>3384</v>
      </c>
      <c r="F368" t="s">
        <v>930</v>
      </c>
      <c r="G368" t="s">
        <v>4</v>
      </c>
      <c r="H368">
        <v>0</v>
      </c>
      <c r="I368">
        <v>0</v>
      </c>
      <c r="J368">
        <v>2015</v>
      </c>
      <c r="K368" t="str">
        <f>IF(Books[[#This Row],[AVERAGE RATING]]&gt;=4,"High",IF(Books[[#This Row],[AVERAGE RATING]]&gt;=3,"Medium","Low"))</f>
        <v>Low</v>
      </c>
      <c r="L368" t="str">
        <f>IF(Books[[#This Row],[AVERAGE RATING]]&gt;10000,"Popular","Average")</f>
        <v>Average</v>
      </c>
      <c r="M368">
        <f>Books[[#This Row],[AVERAGE RATING]]*Books[[#This Row],[RATINGS COUNT]]</f>
        <v>0</v>
      </c>
    </row>
    <row r="369" spans="1:13" x14ac:dyDescent="0.25">
      <c r="A369" t="s">
        <v>931</v>
      </c>
      <c r="B369" t="s">
        <v>932</v>
      </c>
      <c r="C369">
        <v>865</v>
      </c>
      <c r="D369" t="s">
        <v>63</v>
      </c>
      <c r="E369" t="s">
        <v>3385</v>
      </c>
      <c r="F369" t="s">
        <v>299</v>
      </c>
      <c r="G369" t="s">
        <v>4</v>
      </c>
      <c r="H369">
        <v>0</v>
      </c>
      <c r="I369">
        <v>0</v>
      </c>
      <c r="J369">
        <v>2006</v>
      </c>
      <c r="K369" t="str">
        <f>IF(Books[[#This Row],[AVERAGE RATING]]&gt;=4,"High",IF(Books[[#This Row],[AVERAGE RATING]]&gt;=3,"Medium","Low"))</f>
        <v>Low</v>
      </c>
      <c r="L369" t="str">
        <f>IF(Books[[#This Row],[AVERAGE RATING]]&gt;10000,"Popular","Average")</f>
        <v>Average</v>
      </c>
      <c r="M369">
        <f>Books[[#This Row],[AVERAGE RATING]]*Books[[#This Row],[RATINGS COUNT]]</f>
        <v>0</v>
      </c>
    </row>
    <row r="370" spans="1:13" x14ac:dyDescent="0.25">
      <c r="A370" t="s">
        <v>933</v>
      </c>
      <c r="B370" t="s">
        <v>934</v>
      </c>
      <c r="C370">
        <v>488</v>
      </c>
      <c r="D370" t="s">
        <v>11</v>
      </c>
      <c r="E370" t="s">
        <v>3386</v>
      </c>
      <c r="F370" t="s">
        <v>935</v>
      </c>
      <c r="G370" t="s">
        <v>4</v>
      </c>
      <c r="H370">
        <v>0</v>
      </c>
      <c r="I370">
        <v>0</v>
      </c>
      <c r="J370">
        <v>2018</v>
      </c>
      <c r="K370" t="str">
        <f>IF(Books[[#This Row],[AVERAGE RATING]]&gt;=4,"High",IF(Books[[#This Row],[AVERAGE RATING]]&gt;=3,"Medium","Low"))</f>
        <v>Low</v>
      </c>
      <c r="L370" t="str">
        <f>IF(Books[[#This Row],[AVERAGE RATING]]&gt;10000,"Popular","Average")</f>
        <v>Average</v>
      </c>
      <c r="M370">
        <f>Books[[#This Row],[AVERAGE RATING]]*Books[[#This Row],[RATINGS COUNT]]</f>
        <v>0</v>
      </c>
    </row>
    <row r="371" spans="1:13" x14ac:dyDescent="0.25">
      <c r="A371" t="s">
        <v>936</v>
      </c>
      <c r="B371" t="s">
        <v>565</v>
      </c>
      <c r="C371">
        <v>175</v>
      </c>
      <c r="D371" t="s">
        <v>298</v>
      </c>
      <c r="E371" t="s">
        <v>3387</v>
      </c>
      <c r="F371" t="s">
        <v>937</v>
      </c>
      <c r="G371" t="s">
        <v>4</v>
      </c>
      <c r="H371">
        <v>0</v>
      </c>
      <c r="I371">
        <v>0</v>
      </c>
      <c r="J371">
        <v>2023</v>
      </c>
      <c r="K371" t="str">
        <f>IF(Books[[#This Row],[AVERAGE RATING]]&gt;=4,"High",IF(Books[[#This Row],[AVERAGE RATING]]&gt;=3,"Medium","Low"))</f>
        <v>Low</v>
      </c>
      <c r="L371" t="str">
        <f>IF(Books[[#This Row],[AVERAGE RATING]]&gt;10000,"Popular","Average")</f>
        <v>Average</v>
      </c>
      <c r="M371">
        <f>Books[[#This Row],[AVERAGE RATING]]*Books[[#This Row],[RATINGS COUNT]]</f>
        <v>0</v>
      </c>
    </row>
    <row r="372" spans="1:13" x14ac:dyDescent="0.25">
      <c r="A372" t="s">
        <v>938</v>
      </c>
      <c r="B372" t="s">
        <v>939</v>
      </c>
      <c r="C372">
        <v>460</v>
      </c>
      <c r="D372" t="s">
        <v>298</v>
      </c>
      <c r="E372" t="s">
        <v>3074</v>
      </c>
      <c r="F372" t="s">
        <v>940</v>
      </c>
      <c r="G372" t="s">
        <v>4</v>
      </c>
      <c r="H372">
        <v>0</v>
      </c>
      <c r="I372">
        <v>0</v>
      </c>
      <c r="J372">
        <v>2007</v>
      </c>
      <c r="K372" t="str">
        <f>IF(Books[[#This Row],[AVERAGE RATING]]&gt;=4,"High",IF(Books[[#This Row],[AVERAGE RATING]]&gt;=3,"Medium","Low"))</f>
        <v>Low</v>
      </c>
      <c r="L372" t="str">
        <f>IF(Books[[#This Row],[AVERAGE RATING]]&gt;10000,"Popular","Average")</f>
        <v>Average</v>
      </c>
      <c r="M372">
        <f>Books[[#This Row],[AVERAGE RATING]]*Books[[#This Row],[RATINGS COUNT]]</f>
        <v>0</v>
      </c>
    </row>
    <row r="373" spans="1:13" x14ac:dyDescent="0.25">
      <c r="A373" t="s">
        <v>941</v>
      </c>
      <c r="B373" t="s">
        <v>942</v>
      </c>
      <c r="C373">
        <v>133</v>
      </c>
      <c r="D373" t="s">
        <v>628</v>
      </c>
      <c r="E373" t="s">
        <v>3388</v>
      </c>
      <c r="F373" t="s">
        <v>943</v>
      </c>
      <c r="G373" t="s">
        <v>4</v>
      </c>
      <c r="H373">
        <v>0</v>
      </c>
      <c r="I373">
        <v>0</v>
      </c>
      <c r="J373">
        <v>2024</v>
      </c>
      <c r="K373" t="str">
        <f>IF(Books[[#This Row],[AVERAGE RATING]]&gt;=4,"High",IF(Books[[#This Row],[AVERAGE RATING]]&gt;=3,"Medium","Low"))</f>
        <v>Low</v>
      </c>
      <c r="L373" t="str">
        <f>IF(Books[[#This Row],[AVERAGE RATING]]&gt;10000,"Popular","Average")</f>
        <v>Average</v>
      </c>
      <c r="M373">
        <f>Books[[#This Row],[AVERAGE RATING]]*Books[[#This Row],[RATINGS COUNT]]</f>
        <v>0</v>
      </c>
    </row>
    <row r="374" spans="1:13" x14ac:dyDescent="0.25">
      <c r="A374" t="s">
        <v>944</v>
      </c>
      <c r="B374" t="s">
        <v>945</v>
      </c>
      <c r="C374">
        <v>260</v>
      </c>
      <c r="D374" t="s">
        <v>118</v>
      </c>
      <c r="E374" t="s">
        <v>3389</v>
      </c>
      <c r="F374" t="s">
        <v>35</v>
      </c>
      <c r="G374" t="s">
        <v>4</v>
      </c>
      <c r="H374">
        <v>0</v>
      </c>
      <c r="I374">
        <v>0</v>
      </c>
      <c r="J374">
        <v>2004</v>
      </c>
      <c r="K374" t="str">
        <f>IF(Books[[#This Row],[AVERAGE RATING]]&gt;=4,"High",IF(Books[[#This Row],[AVERAGE RATING]]&gt;=3,"Medium","Low"))</f>
        <v>Low</v>
      </c>
      <c r="L374" t="str">
        <f>IF(Books[[#This Row],[AVERAGE RATING]]&gt;10000,"Popular","Average")</f>
        <v>Average</v>
      </c>
      <c r="M374">
        <f>Books[[#This Row],[AVERAGE RATING]]*Books[[#This Row],[RATINGS COUNT]]</f>
        <v>0</v>
      </c>
    </row>
    <row r="375" spans="1:13" x14ac:dyDescent="0.25">
      <c r="A375" t="s">
        <v>946</v>
      </c>
      <c r="B375" t="s">
        <v>947</v>
      </c>
      <c r="C375">
        <v>401</v>
      </c>
      <c r="D375" t="s">
        <v>63</v>
      </c>
      <c r="E375" t="s">
        <v>3390</v>
      </c>
      <c r="F375" t="s">
        <v>119</v>
      </c>
      <c r="G375" t="s">
        <v>4</v>
      </c>
      <c r="H375">
        <v>0</v>
      </c>
      <c r="I375">
        <v>0</v>
      </c>
      <c r="J375">
        <v>2021</v>
      </c>
      <c r="K375" t="str">
        <f>IF(Books[[#This Row],[AVERAGE RATING]]&gt;=4,"High",IF(Books[[#This Row],[AVERAGE RATING]]&gt;=3,"Medium","Low"))</f>
        <v>Low</v>
      </c>
      <c r="L375" t="str">
        <f>IF(Books[[#This Row],[AVERAGE RATING]]&gt;10000,"Popular","Average")</f>
        <v>Average</v>
      </c>
      <c r="M375">
        <f>Books[[#This Row],[AVERAGE RATING]]*Books[[#This Row],[RATINGS COUNT]]</f>
        <v>0</v>
      </c>
    </row>
    <row r="376" spans="1:13" x14ac:dyDescent="0.25">
      <c r="A376" t="s">
        <v>948</v>
      </c>
      <c r="B376" t="s">
        <v>949</v>
      </c>
      <c r="C376">
        <v>482</v>
      </c>
      <c r="D376" t="s">
        <v>63</v>
      </c>
      <c r="E376" t="s">
        <v>3339</v>
      </c>
      <c r="F376" t="s">
        <v>35</v>
      </c>
      <c r="G376" t="s">
        <v>4</v>
      </c>
      <c r="H376">
        <v>5</v>
      </c>
      <c r="I376">
        <v>1</v>
      </c>
      <c r="J376">
        <v>2012</v>
      </c>
      <c r="K376" t="str">
        <f>IF(Books[[#This Row],[AVERAGE RATING]]&gt;=4,"High",IF(Books[[#This Row],[AVERAGE RATING]]&gt;=3,"Medium","Low"))</f>
        <v>High</v>
      </c>
      <c r="L376" t="str">
        <f>IF(Books[[#This Row],[AVERAGE RATING]]&gt;10000,"Popular","Average")</f>
        <v>Average</v>
      </c>
      <c r="M376">
        <f>Books[[#This Row],[AVERAGE RATING]]*Books[[#This Row],[RATINGS COUNT]]</f>
        <v>5</v>
      </c>
    </row>
    <row r="377" spans="1:13" x14ac:dyDescent="0.25">
      <c r="A377" t="s">
        <v>950</v>
      </c>
      <c r="B377" t="s">
        <v>951</v>
      </c>
      <c r="C377">
        <v>501</v>
      </c>
      <c r="D377" t="s">
        <v>298</v>
      </c>
      <c r="E377" t="s">
        <v>3391</v>
      </c>
      <c r="F377" t="s">
        <v>132</v>
      </c>
      <c r="G377" t="s">
        <v>4</v>
      </c>
      <c r="H377">
        <v>0</v>
      </c>
      <c r="I377">
        <v>0</v>
      </c>
      <c r="J377">
        <v>2010</v>
      </c>
      <c r="K377" t="str">
        <f>IF(Books[[#This Row],[AVERAGE RATING]]&gt;=4,"High",IF(Books[[#This Row],[AVERAGE RATING]]&gt;=3,"Medium","Low"))</f>
        <v>Low</v>
      </c>
      <c r="L377" t="str">
        <f>IF(Books[[#This Row],[AVERAGE RATING]]&gt;10000,"Popular","Average")</f>
        <v>Average</v>
      </c>
      <c r="M377">
        <f>Books[[#This Row],[AVERAGE RATING]]*Books[[#This Row],[RATINGS COUNT]]</f>
        <v>0</v>
      </c>
    </row>
    <row r="378" spans="1:13" x14ac:dyDescent="0.25">
      <c r="A378" t="s">
        <v>952</v>
      </c>
      <c r="B378" t="s">
        <v>953</v>
      </c>
      <c r="C378">
        <v>129</v>
      </c>
      <c r="D378" t="s">
        <v>11</v>
      </c>
      <c r="E378" t="s">
        <v>3392</v>
      </c>
      <c r="F378" t="s">
        <v>953</v>
      </c>
      <c r="G378" t="s">
        <v>4</v>
      </c>
      <c r="H378">
        <v>0</v>
      </c>
      <c r="I378">
        <v>0</v>
      </c>
      <c r="J378">
        <v>2024</v>
      </c>
      <c r="K378" t="str">
        <f>IF(Books[[#This Row],[AVERAGE RATING]]&gt;=4,"High",IF(Books[[#This Row],[AVERAGE RATING]]&gt;=3,"Medium","Low"))</f>
        <v>Low</v>
      </c>
      <c r="L378" t="str">
        <f>IF(Books[[#This Row],[AVERAGE RATING]]&gt;10000,"Popular","Average")</f>
        <v>Average</v>
      </c>
      <c r="M378">
        <f>Books[[#This Row],[AVERAGE RATING]]*Books[[#This Row],[RATINGS COUNT]]</f>
        <v>0</v>
      </c>
    </row>
    <row r="379" spans="1:13" x14ac:dyDescent="0.25">
      <c r="A379" t="s">
        <v>954</v>
      </c>
      <c r="B379" t="s">
        <v>955</v>
      </c>
      <c r="C379">
        <v>204</v>
      </c>
      <c r="D379" t="s">
        <v>45</v>
      </c>
      <c r="E379" t="s">
        <v>3393</v>
      </c>
      <c r="F379" t="s">
        <v>922</v>
      </c>
      <c r="G379" t="s">
        <v>4</v>
      </c>
      <c r="H379">
        <v>0</v>
      </c>
      <c r="I379">
        <v>0</v>
      </c>
      <c r="J379">
        <v>2019</v>
      </c>
      <c r="K379" t="str">
        <f>IF(Books[[#This Row],[AVERAGE RATING]]&gt;=4,"High",IF(Books[[#This Row],[AVERAGE RATING]]&gt;=3,"Medium","Low"))</f>
        <v>Low</v>
      </c>
      <c r="L379" t="str">
        <f>IF(Books[[#This Row],[AVERAGE RATING]]&gt;10000,"Popular","Average")</f>
        <v>Average</v>
      </c>
      <c r="M379">
        <f>Books[[#This Row],[AVERAGE RATING]]*Books[[#This Row],[RATINGS COUNT]]</f>
        <v>0</v>
      </c>
    </row>
    <row r="380" spans="1:13" x14ac:dyDescent="0.25">
      <c r="A380" t="s">
        <v>956</v>
      </c>
      <c r="B380" t="s">
        <v>957</v>
      </c>
      <c r="C380">
        <v>237</v>
      </c>
      <c r="D380" t="s">
        <v>118</v>
      </c>
      <c r="E380" t="s">
        <v>3394</v>
      </c>
      <c r="F380" t="s">
        <v>119</v>
      </c>
      <c r="G380" t="s">
        <v>4</v>
      </c>
      <c r="H380">
        <v>0</v>
      </c>
      <c r="I380">
        <v>0</v>
      </c>
      <c r="J380">
        <v>2020</v>
      </c>
      <c r="K380" t="str">
        <f>IF(Books[[#This Row],[AVERAGE RATING]]&gt;=4,"High",IF(Books[[#This Row],[AVERAGE RATING]]&gt;=3,"Medium","Low"))</f>
        <v>Low</v>
      </c>
      <c r="L380" t="str">
        <f>IF(Books[[#This Row],[AVERAGE RATING]]&gt;10000,"Popular","Average")</f>
        <v>Average</v>
      </c>
      <c r="M380">
        <f>Books[[#This Row],[AVERAGE RATING]]*Books[[#This Row],[RATINGS COUNT]]</f>
        <v>0</v>
      </c>
    </row>
    <row r="381" spans="1:13" x14ac:dyDescent="0.25">
      <c r="A381" t="s">
        <v>958</v>
      </c>
      <c r="B381" t="s">
        <v>959</v>
      </c>
      <c r="C381">
        <v>46</v>
      </c>
      <c r="D381" t="s">
        <v>17</v>
      </c>
      <c r="E381" t="s">
        <v>3395</v>
      </c>
      <c r="F381" t="s">
        <v>960</v>
      </c>
      <c r="G381" t="s">
        <v>4</v>
      </c>
      <c r="H381">
        <v>0</v>
      </c>
      <c r="I381">
        <v>0</v>
      </c>
      <c r="J381">
        <v>2024</v>
      </c>
      <c r="K381" t="str">
        <f>IF(Books[[#This Row],[AVERAGE RATING]]&gt;=4,"High",IF(Books[[#This Row],[AVERAGE RATING]]&gt;=3,"Medium","Low"))</f>
        <v>Low</v>
      </c>
      <c r="L381" t="str">
        <f>IF(Books[[#This Row],[AVERAGE RATING]]&gt;10000,"Popular","Average")</f>
        <v>Average</v>
      </c>
      <c r="M381">
        <f>Books[[#This Row],[AVERAGE RATING]]*Books[[#This Row],[RATINGS COUNT]]</f>
        <v>0</v>
      </c>
    </row>
    <row r="382" spans="1:13" x14ac:dyDescent="0.25">
      <c r="A382" t="s">
        <v>961</v>
      </c>
      <c r="B382" t="s">
        <v>962</v>
      </c>
      <c r="C382">
        <v>128</v>
      </c>
      <c r="D382" t="s">
        <v>17</v>
      </c>
      <c r="E382" t="s">
        <v>3396</v>
      </c>
      <c r="F382" t="s">
        <v>962</v>
      </c>
      <c r="G382" t="s">
        <v>4</v>
      </c>
      <c r="H382">
        <v>0</v>
      </c>
      <c r="I382">
        <v>0</v>
      </c>
      <c r="J382">
        <v>2023</v>
      </c>
      <c r="K382" t="str">
        <f>IF(Books[[#This Row],[AVERAGE RATING]]&gt;=4,"High",IF(Books[[#This Row],[AVERAGE RATING]]&gt;=3,"Medium","Low"))</f>
        <v>Low</v>
      </c>
      <c r="L382" t="str">
        <f>IF(Books[[#This Row],[AVERAGE RATING]]&gt;10000,"Popular","Average")</f>
        <v>Average</v>
      </c>
      <c r="M382">
        <f>Books[[#This Row],[AVERAGE RATING]]*Books[[#This Row],[RATINGS COUNT]]</f>
        <v>0</v>
      </c>
    </row>
    <row r="383" spans="1:13" x14ac:dyDescent="0.25">
      <c r="A383" t="s">
        <v>963</v>
      </c>
      <c r="B383" t="s">
        <v>934</v>
      </c>
      <c r="C383">
        <v>587</v>
      </c>
      <c r="D383" t="s">
        <v>11</v>
      </c>
      <c r="E383" t="s">
        <v>3397</v>
      </c>
      <c r="F383" t="s">
        <v>935</v>
      </c>
      <c r="G383" t="s">
        <v>4</v>
      </c>
      <c r="H383">
        <v>0</v>
      </c>
      <c r="I383">
        <v>0</v>
      </c>
      <c r="J383">
        <v>2024</v>
      </c>
      <c r="K383" t="str">
        <f>IF(Books[[#This Row],[AVERAGE RATING]]&gt;=4,"High",IF(Books[[#This Row],[AVERAGE RATING]]&gt;=3,"Medium","Low"))</f>
        <v>Low</v>
      </c>
      <c r="L383" t="str">
        <f>IF(Books[[#This Row],[AVERAGE RATING]]&gt;10000,"Popular","Average")</f>
        <v>Average</v>
      </c>
      <c r="M383">
        <f>Books[[#This Row],[AVERAGE RATING]]*Books[[#This Row],[RATINGS COUNT]]</f>
        <v>0</v>
      </c>
    </row>
    <row r="384" spans="1:13" x14ac:dyDescent="0.25">
      <c r="A384" t="s">
        <v>964</v>
      </c>
      <c r="B384" t="s">
        <v>965</v>
      </c>
      <c r="C384">
        <v>188</v>
      </c>
      <c r="D384" t="s">
        <v>63</v>
      </c>
      <c r="E384" t="s">
        <v>3398</v>
      </c>
      <c r="F384" t="s">
        <v>60</v>
      </c>
      <c r="G384" t="s">
        <v>4</v>
      </c>
      <c r="H384">
        <v>0</v>
      </c>
      <c r="I384">
        <v>0</v>
      </c>
      <c r="J384">
        <v>2024</v>
      </c>
      <c r="K384" t="str">
        <f>IF(Books[[#This Row],[AVERAGE RATING]]&gt;=4,"High",IF(Books[[#This Row],[AVERAGE RATING]]&gt;=3,"Medium","Low"))</f>
        <v>Low</v>
      </c>
      <c r="L384" t="str">
        <f>IF(Books[[#This Row],[AVERAGE RATING]]&gt;10000,"Popular","Average")</f>
        <v>Average</v>
      </c>
      <c r="M384">
        <f>Books[[#This Row],[AVERAGE RATING]]*Books[[#This Row],[RATINGS COUNT]]</f>
        <v>0</v>
      </c>
    </row>
    <row r="385" spans="1:13" x14ac:dyDescent="0.25">
      <c r="A385" t="s">
        <v>966</v>
      </c>
      <c r="B385" t="s">
        <v>967</v>
      </c>
      <c r="C385">
        <v>226</v>
      </c>
      <c r="D385" t="s">
        <v>79</v>
      </c>
      <c r="E385" t="s">
        <v>3399</v>
      </c>
      <c r="F385" t="s">
        <v>968</v>
      </c>
      <c r="G385" t="s">
        <v>4</v>
      </c>
      <c r="H385">
        <v>0</v>
      </c>
      <c r="I385">
        <v>0</v>
      </c>
      <c r="J385">
        <v>2007</v>
      </c>
      <c r="K385" t="str">
        <f>IF(Books[[#This Row],[AVERAGE RATING]]&gt;=4,"High",IF(Books[[#This Row],[AVERAGE RATING]]&gt;=3,"Medium","Low"))</f>
        <v>Low</v>
      </c>
      <c r="L385" t="str">
        <f>IF(Books[[#This Row],[AVERAGE RATING]]&gt;10000,"Popular","Average")</f>
        <v>Average</v>
      </c>
      <c r="M385">
        <f>Books[[#This Row],[AVERAGE RATING]]*Books[[#This Row],[RATINGS COUNT]]</f>
        <v>0</v>
      </c>
    </row>
    <row r="386" spans="1:13" x14ac:dyDescent="0.25">
      <c r="A386" t="s">
        <v>969</v>
      </c>
      <c r="B386" t="s">
        <v>970</v>
      </c>
      <c r="C386">
        <v>36</v>
      </c>
      <c r="D386" t="s">
        <v>54</v>
      </c>
      <c r="E386" t="s">
        <v>3344</v>
      </c>
      <c r="F386" t="s">
        <v>971</v>
      </c>
      <c r="G386" t="s">
        <v>4</v>
      </c>
      <c r="H386">
        <v>0</v>
      </c>
      <c r="I386">
        <v>0</v>
      </c>
      <c r="J386">
        <v>2013</v>
      </c>
      <c r="K386" t="str">
        <f>IF(Books[[#This Row],[AVERAGE RATING]]&gt;=4,"High",IF(Books[[#This Row],[AVERAGE RATING]]&gt;=3,"Medium","Low"))</f>
        <v>Low</v>
      </c>
      <c r="L386" t="str">
        <f>IF(Books[[#This Row],[AVERAGE RATING]]&gt;10000,"Popular","Average")</f>
        <v>Average</v>
      </c>
      <c r="M386">
        <f>Books[[#This Row],[AVERAGE RATING]]*Books[[#This Row],[RATINGS COUNT]]</f>
        <v>0</v>
      </c>
    </row>
    <row r="387" spans="1:13" x14ac:dyDescent="0.25">
      <c r="A387" t="s">
        <v>972</v>
      </c>
      <c r="B387" t="s">
        <v>973</v>
      </c>
      <c r="C387">
        <v>254</v>
      </c>
      <c r="D387" t="s">
        <v>2</v>
      </c>
      <c r="E387" t="s">
        <v>3401</v>
      </c>
      <c r="F387" t="s">
        <v>974</v>
      </c>
      <c r="G387" t="s">
        <v>4</v>
      </c>
      <c r="H387">
        <v>0</v>
      </c>
      <c r="I387">
        <v>0</v>
      </c>
      <c r="J387">
        <v>2015</v>
      </c>
      <c r="K387" t="str">
        <f>IF(Books[[#This Row],[AVERAGE RATING]]&gt;=4,"High",IF(Books[[#This Row],[AVERAGE RATING]]&gt;=3,"Medium","Low"))</f>
        <v>Low</v>
      </c>
      <c r="L387" t="str">
        <f>IF(Books[[#This Row],[AVERAGE RATING]]&gt;10000,"Popular","Average")</f>
        <v>Average</v>
      </c>
      <c r="M387">
        <f>Books[[#This Row],[AVERAGE RATING]]*Books[[#This Row],[RATINGS COUNT]]</f>
        <v>0</v>
      </c>
    </row>
    <row r="388" spans="1:13" x14ac:dyDescent="0.25">
      <c r="A388" t="s">
        <v>975</v>
      </c>
      <c r="B388" t="s">
        <v>976</v>
      </c>
      <c r="C388">
        <v>306</v>
      </c>
      <c r="D388" t="s">
        <v>406</v>
      </c>
      <c r="E388" t="s">
        <v>3402</v>
      </c>
      <c r="F388" t="s">
        <v>977</v>
      </c>
      <c r="G388" t="s">
        <v>4</v>
      </c>
      <c r="H388">
        <v>3</v>
      </c>
      <c r="I388">
        <v>2</v>
      </c>
      <c r="J388">
        <v>2010</v>
      </c>
      <c r="K388" t="str">
        <f>IF(Books[[#This Row],[AVERAGE RATING]]&gt;=4,"High",IF(Books[[#This Row],[AVERAGE RATING]]&gt;=3,"Medium","Low"))</f>
        <v>Medium</v>
      </c>
      <c r="L388" t="str">
        <f>IF(Books[[#This Row],[AVERAGE RATING]]&gt;10000,"Popular","Average")</f>
        <v>Average</v>
      </c>
      <c r="M388">
        <f>Books[[#This Row],[AVERAGE RATING]]*Books[[#This Row],[RATINGS COUNT]]</f>
        <v>6</v>
      </c>
    </row>
    <row r="389" spans="1:13" x14ac:dyDescent="0.25">
      <c r="A389" t="s">
        <v>978</v>
      </c>
      <c r="B389" t="s">
        <v>979</v>
      </c>
      <c r="C389">
        <v>194</v>
      </c>
      <c r="D389" t="s">
        <v>383</v>
      </c>
      <c r="E389" t="s">
        <v>3403</v>
      </c>
      <c r="F389" t="s">
        <v>76</v>
      </c>
      <c r="G389" t="s">
        <v>4</v>
      </c>
      <c r="H389">
        <v>0</v>
      </c>
      <c r="I389">
        <v>0</v>
      </c>
      <c r="J389">
        <v>2017</v>
      </c>
      <c r="K389" t="str">
        <f>IF(Books[[#This Row],[AVERAGE RATING]]&gt;=4,"High",IF(Books[[#This Row],[AVERAGE RATING]]&gt;=3,"Medium","Low"))</f>
        <v>Low</v>
      </c>
      <c r="L389" t="str">
        <f>IF(Books[[#This Row],[AVERAGE RATING]]&gt;10000,"Popular","Average")</f>
        <v>Average</v>
      </c>
      <c r="M389">
        <f>Books[[#This Row],[AVERAGE RATING]]*Books[[#This Row],[RATINGS COUNT]]</f>
        <v>0</v>
      </c>
    </row>
    <row r="390" spans="1:13" x14ac:dyDescent="0.25">
      <c r="A390" t="s">
        <v>980</v>
      </c>
      <c r="B390" t="s">
        <v>981</v>
      </c>
      <c r="C390">
        <v>203</v>
      </c>
      <c r="D390" t="s">
        <v>63</v>
      </c>
      <c r="E390" t="s">
        <v>3404</v>
      </c>
      <c r="F390" t="s">
        <v>460</v>
      </c>
      <c r="G390" t="s">
        <v>4</v>
      </c>
      <c r="H390">
        <v>0</v>
      </c>
      <c r="I390">
        <v>0</v>
      </c>
      <c r="J390">
        <v>2012</v>
      </c>
      <c r="K390" t="str">
        <f>IF(Books[[#This Row],[AVERAGE RATING]]&gt;=4,"High",IF(Books[[#This Row],[AVERAGE RATING]]&gt;=3,"Medium","Low"))</f>
        <v>Low</v>
      </c>
      <c r="L390" t="str">
        <f>IF(Books[[#This Row],[AVERAGE RATING]]&gt;10000,"Popular","Average")</f>
        <v>Average</v>
      </c>
      <c r="M390">
        <f>Books[[#This Row],[AVERAGE RATING]]*Books[[#This Row],[RATINGS COUNT]]</f>
        <v>0</v>
      </c>
    </row>
    <row r="391" spans="1:13" x14ac:dyDescent="0.25">
      <c r="A391" t="s">
        <v>982</v>
      </c>
      <c r="B391" t="s">
        <v>983</v>
      </c>
      <c r="C391">
        <v>967</v>
      </c>
      <c r="D391" t="s">
        <v>406</v>
      </c>
      <c r="E391" t="s">
        <v>3405</v>
      </c>
      <c r="F391" t="s">
        <v>984</v>
      </c>
      <c r="G391" t="s">
        <v>4</v>
      </c>
      <c r="H391">
        <v>0</v>
      </c>
      <c r="I391">
        <v>0</v>
      </c>
      <c r="J391">
        <v>2012</v>
      </c>
      <c r="K391" t="str">
        <f>IF(Books[[#This Row],[AVERAGE RATING]]&gt;=4,"High",IF(Books[[#This Row],[AVERAGE RATING]]&gt;=3,"Medium","Low"))</f>
        <v>Low</v>
      </c>
      <c r="L391" t="str">
        <f>IF(Books[[#This Row],[AVERAGE RATING]]&gt;10000,"Popular","Average")</f>
        <v>Average</v>
      </c>
      <c r="M391">
        <f>Books[[#This Row],[AVERAGE RATING]]*Books[[#This Row],[RATINGS COUNT]]</f>
        <v>0</v>
      </c>
    </row>
    <row r="392" spans="1:13" x14ac:dyDescent="0.25">
      <c r="A392" t="s">
        <v>986</v>
      </c>
      <c r="B392" t="s">
        <v>639</v>
      </c>
      <c r="C392">
        <v>2116</v>
      </c>
      <c r="D392" t="s">
        <v>640</v>
      </c>
      <c r="E392" t="s">
        <v>3149</v>
      </c>
      <c r="F392" t="s">
        <v>641</v>
      </c>
      <c r="G392" t="s">
        <v>4</v>
      </c>
      <c r="H392">
        <v>0</v>
      </c>
      <c r="I392">
        <v>0</v>
      </c>
      <c r="J392">
        <v>2009</v>
      </c>
      <c r="K392" t="str">
        <f>IF(Books[[#This Row],[AVERAGE RATING]]&gt;=4,"High",IF(Books[[#This Row],[AVERAGE RATING]]&gt;=3,"Medium","Low"))</f>
        <v>Low</v>
      </c>
      <c r="L392" t="str">
        <f>IF(Books[[#This Row],[AVERAGE RATING]]&gt;10000,"Popular","Average")</f>
        <v>Average</v>
      </c>
      <c r="M392">
        <f>Books[[#This Row],[AVERAGE RATING]]*Books[[#This Row],[RATINGS COUNT]]</f>
        <v>0</v>
      </c>
    </row>
    <row r="393" spans="1:13" x14ac:dyDescent="0.25">
      <c r="A393" t="s">
        <v>987</v>
      </c>
      <c r="B393" t="s">
        <v>988</v>
      </c>
      <c r="C393">
        <v>955</v>
      </c>
      <c r="D393" t="s">
        <v>406</v>
      </c>
      <c r="E393" t="s">
        <v>3406</v>
      </c>
      <c r="F393" t="s">
        <v>29</v>
      </c>
      <c r="G393" t="s">
        <v>4</v>
      </c>
      <c r="H393">
        <v>0</v>
      </c>
      <c r="I393">
        <v>0</v>
      </c>
      <c r="J393">
        <v>2005</v>
      </c>
      <c r="K393" t="str">
        <f>IF(Books[[#This Row],[AVERAGE RATING]]&gt;=4,"High",IF(Books[[#This Row],[AVERAGE RATING]]&gt;=3,"Medium","Low"))</f>
        <v>Low</v>
      </c>
      <c r="L393" t="str">
        <f>IF(Books[[#This Row],[AVERAGE RATING]]&gt;10000,"Popular","Average")</f>
        <v>Average</v>
      </c>
      <c r="M393">
        <f>Books[[#This Row],[AVERAGE RATING]]*Books[[#This Row],[RATINGS COUNT]]</f>
        <v>0</v>
      </c>
    </row>
    <row r="394" spans="1:13" x14ac:dyDescent="0.25">
      <c r="A394" t="s">
        <v>989</v>
      </c>
      <c r="B394" t="s">
        <v>990</v>
      </c>
      <c r="C394">
        <v>612</v>
      </c>
      <c r="D394" t="s">
        <v>307</v>
      </c>
      <c r="E394" t="s">
        <v>3407</v>
      </c>
      <c r="F394" t="s">
        <v>76</v>
      </c>
      <c r="G394" t="s">
        <v>4</v>
      </c>
      <c r="H394">
        <v>0</v>
      </c>
      <c r="I394">
        <v>0</v>
      </c>
      <c r="J394">
        <v>2016</v>
      </c>
      <c r="K394" t="str">
        <f>IF(Books[[#This Row],[AVERAGE RATING]]&gt;=4,"High",IF(Books[[#This Row],[AVERAGE RATING]]&gt;=3,"Medium","Low"))</f>
        <v>Low</v>
      </c>
      <c r="L394" t="str">
        <f>IF(Books[[#This Row],[AVERAGE RATING]]&gt;10000,"Popular","Average")</f>
        <v>Average</v>
      </c>
      <c r="M394">
        <f>Books[[#This Row],[AVERAGE RATING]]*Books[[#This Row],[RATINGS COUNT]]</f>
        <v>0</v>
      </c>
    </row>
    <row r="395" spans="1:13" x14ac:dyDescent="0.25">
      <c r="A395" t="s">
        <v>991</v>
      </c>
      <c r="B395" t="s">
        <v>992</v>
      </c>
      <c r="C395">
        <v>290</v>
      </c>
      <c r="D395" t="s">
        <v>406</v>
      </c>
      <c r="E395" t="s">
        <v>3408</v>
      </c>
      <c r="F395" t="s">
        <v>984</v>
      </c>
      <c r="G395" t="s">
        <v>4</v>
      </c>
      <c r="H395">
        <v>0</v>
      </c>
      <c r="I395">
        <v>0</v>
      </c>
      <c r="J395">
        <v>2006</v>
      </c>
      <c r="K395" t="str">
        <f>IF(Books[[#This Row],[AVERAGE RATING]]&gt;=4,"High",IF(Books[[#This Row],[AVERAGE RATING]]&gt;=3,"Medium","Low"))</f>
        <v>Low</v>
      </c>
      <c r="L395" t="str">
        <f>IF(Books[[#This Row],[AVERAGE RATING]]&gt;10000,"Popular","Average")</f>
        <v>Average</v>
      </c>
      <c r="M395">
        <f>Books[[#This Row],[AVERAGE RATING]]*Books[[#This Row],[RATINGS COUNT]]</f>
        <v>0</v>
      </c>
    </row>
    <row r="396" spans="1:13" x14ac:dyDescent="0.25">
      <c r="A396" t="s">
        <v>993</v>
      </c>
      <c r="B396" t="s">
        <v>994</v>
      </c>
      <c r="C396">
        <v>457</v>
      </c>
      <c r="D396" t="s">
        <v>28</v>
      </c>
      <c r="E396" t="s">
        <v>3144</v>
      </c>
      <c r="F396" t="s">
        <v>995</v>
      </c>
      <c r="G396" t="s">
        <v>4</v>
      </c>
      <c r="H396">
        <v>0</v>
      </c>
      <c r="I396">
        <v>0</v>
      </c>
      <c r="J396">
        <v>2008</v>
      </c>
      <c r="K396" t="str">
        <f>IF(Books[[#This Row],[AVERAGE RATING]]&gt;=4,"High",IF(Books[[#This Row],[AVERAGE RATING]]&gt;=3,"Medium","Low"))</f>
        <v>Low</v>
      </c>
      <c r="L396" t="str">
        <f>IF(Books[[#This Row],[AVERAGE RATING]]&gt;10000,"Popular","Average")</f>
        <v>Average</v>
      </c>
      <c r="M396">
        <f>Books[[#This Row],[AVERAGE RATING]]*Books[[#This Row],[RATINGS COUNT]]</f>
        <v>0</v>
      </c>
    </row>
    <row r="397" spans="1:13" x14ac:dyDescent="0.25">
      <c r="A397" t="s">
        <v>996</v>
      </c>
      <c r="B397" t="s">
        <v>997</v>
      </c>
      <c r="C397">
        <v>504</v>
      </c>
      <c r="D397" t="s">
        <v>38</v>
      </c>
      <c r="E397" t="s">
        <v>3117</v>
      </c>
      <c r="F397" t="s">
        <v>998</v>
      </c>
      <c r="G397" t="s">
        <v>4</v>
      </c>
      <c r="H397">
        <v>0</v>
      </c>
      <c r="I397">
        <v>0</v>
      </c>
      <c r="J397">
        <v>2022</v>
      </c>
      <c r="K397" t="str">
        <f>IF(Books[[#This Row],[AVERAGE RATING]]&gt;=4,"High",IF(Books[[#This Row],[AVERAGE RATING]]&gt;=3,"Medium","Low"))</f>
        <v>Low</v>
      </c>
      <c r="L397" t="str">
        <f>IF(Books[[#This Row],[AVERAGE RATING]]&gt;10000,"Popular","Average")</f>
        <v>Average</v>
      </c>
      <c r="M397">
        <f>Books[[#This Row],[AVERAGE RATING]]*Books[[#This Row],[RATINGS COUNT]]</f>
        <v>0</v>
      </c>
    </row>
    <row r="398" spans="1:13" x14ac:dyDescent="0.25">
      <c r="A398" t="s">
        <v>999</v>
      </c>
      <c r="B398" t="s">
        <v>1000</v>
      </c>
      <c r="C398">
        <v>324</v>
      </c>
      <c r="D398" t="s">
        <v>2</v>
      </c>
      <c r="E398" t="s">
        <v>3410</v>
      </c>
      <c r="F398" t="s">
        <v>148</v>
      </c>
      <c r="G398" t="s">
        <v>4</v>
      </c>
      <c r="H398">
        <v>0</v>
      </c>
      <c r="I398">
        <v>0</v>
      </c>
      <c r="J398">
        <v>2014</v>
      </c>
      <c r="K398" t="str">
        <f>IF(Books[[#This Row],[AVERAGE RATING]]&gt;=4,"High",IF(Books[[#This Row],[AVERAGE RATING]]&gt;=3,"Medium","Low"))</f>
        <v>Low</v>
      </c>
      <c r="L398" t="str">
        <f>IF(Books[[#This Row],[AVERAGE RATING]]&gt;10000,"Popular","Average")</f>
        <v>Average</v>
      </c>
      <c r="M398">
        <f>Books[[#This Row],[AVERAGE RATING]]*Books[[#This Row],[RATINGS COUNT]]</f>
        <v>0</v>
      </c>
    </row>
    <row r="399" spans="1:13" x14ac:dyDescent="0.25">
      <c r="A399" t="s">
        <v>1001</v>
      </c>
      <c r="B399" t="s">
        <v>1002</v>
      </c>
      <c r="C399">
        <v>589</v>
      </c>
      <c r="D399" t="s">
        <v>15</v>
      </c>
      <c r="E399" t="s">
        <v>3411</v>
      </c>
      <c r="F399" t="s">
        <v>1003</v>
      </c>
      <c r="G399" t="s">
        <v>4</v>
      </c>
      <c r="H399">
        <v>0</v>
      </c>
      <c r="I399">
        <v>0</v>
      </c>
      <c r="J399">
        <v>2024</v>
      </c>
      <c r="K399" t="str">
        <f>IF(Books[[#This Row],[AVERAGE RATING]]&gt;=4,"High",IF(Books[[#This Row],[AVERAGE RATING]]&gt;=3,"Medium","Low"))</f>
        <v>Low</v>
      </c>
      <c r="L399" t="str">
        <f>IF(Books[[#This Row],[AVERAGE RATING]]&gt;10000,"Popular","Average")</f>
        <v>Average</v>
      </c>
      <c r="M399">
        <f>Books[[#This Row],[AVERAGE RATING]]*Books[[#This Row],[RATINGS COUNT]]</f>
        <v>0</v>
      </c>
    </row>
    <row r="400" spans="1:13" x14ac:dyDescent="0.25">
      <c r="A400" t="s">
        <v>1004</v>
      </c>
      <c r="B400" t="s">
        <v>1005</v>
      </c>
      <c r="C400">
        <v>620</v>
      </c>
      <c r="D400" t="s">
        <v>144</v>
      </c>
      <c r="E400" t="s">
        <v>3412</v>
      </c>
      <c r="F400" t="s">
        <v>1006</v>
      </c>
      <c r="G400" t="s">
        <v>4</v>
      </c>
      <c r="H400">
        <v>5</v>
      </c>
      <c r="I400">
        <v>1</v>
      </c>
      <c r="J400">
        <v>2014</v>
      </c>
      <c r="K400" t="str">
        <f>IF(Books[[#This Row],[AVERAGE RATING]]&gt;=4,"High",IF(Books[[#This Row],[AVERAGE RATING]]&gt;=3,"Medium","Low"))</f>
        <v>High</v>
      </c>
      <c r="L400" t="str">
        <f>IF(Books[[#This Row],[AVERAGE RATING]]&gt;10000,"Popular","Average")</f>
        <v>Average</v>
      </c>
      <c r="M400">
        <f>Books[[#This Row],[AVERAGE RATING]]*Books[[#This Row],[RATINGS COUNT]]</f>
        <v>5</v>
      </c>
    </row>
    <row r="401" spans="1:13" x14ac:dyDescent="0.25">
      <c r="A401" t="s">
        <v>1007</v>
      </c>
      <c r="B401" t="s">
        <v>1008</v>
      </c>
      <c r="C401">
        <v>280</v>
      </c>
      <c r="D401" t="s">
        <v>15</v>
      </c>
      <c r="E401" t="s">
        <v>3056</v>
      </c>
      <c r="F401" t="s">
        <v>1009</v>
      </c>
      <c r="G401" t="s">
        <v>4</v>
      </c>
      <c r="H401">
        <v>0</v>
      </c>
      <c r="I401">
        <v>0</v>
      </c>
      <c r="J401">
        <v>2007</v>
      </c>
      <c r="K401" t="str">
        <f>IF(Books[[#This Row],[AVERAGE RATING]]&gt;=4,"High",IF(Books[[#This Row],[AVERAGE RATING]]&gt;=3,"Medium","Low"))</f>
        <v>Low</v>
      </c>
      <c r="L401" t="str">
        <f>IF(Books[[#This Row],[AVERAGE RATING]]&gt;10000,"Popular","Average")</f>
        <v>Average</v>
      </c>
      <c r="M401">
        <f>Books[[#This Row],[AVERAGE RATING]]*Books[[#This Row],[RATINGS COUNT]]</f>
        <v>0</v>
      </c>
    </row>
    <row r="402" spans="1:13" x14ac:dyDescent="0.25">
      <c r="A402" t="s">
        <v>1010</v>
      </c>
      <c r="B402" t="s">
        <v>1011</v>
      </c>
      <c r="C402">
        <v>273</v>
      </c>
      <c r="D402" t="s">
        <v>328</v>
      </c>
      <c r="E402" t="s">
        <v>3413</v>
      </c>
      <c r="F402" t="s">
        <v>35</v>
      </c>
      <c r="G402" t="s">
        <v>4</v>
      </c>
      <c r="H402">
        <v>0</v>
      </c>
      <c r="I402">
        <v>0</v>
      </c>
      <c r="J402">
        <v>2014</v>
      </c>
      <c r="K402" t="str">
        <f>IF(Books[[#This Row],[AVERAGE RATING]]&gt;=4,"High",IF(Books[[#This Row],[AVERAGE RATING]]&gt;=3,"Medium","Low"))</f>
        <v>Low</v>
      </c>
      <c r="L402" t="str">
        <f>IF(Books[[#This Row],[AVERAGE RATING]]&gt;10000,"Popular","Average")</f>
        <v>Average</v>
      </c>
      <c r="M402">
        <f>Books[[#This Row],[AVERAGE RATING]]*Books[[#This Row],[RATINGS COUNT]]</f>
        <v>0</v>
      </c>
    </row>
    <row r="403" spans="1:13" x14ac:dyDescent="0.25">
      <c r="A403" t="s">
        <v>1012</v>
      </c>
      <c r="B403" t="s">
        <v>1013</v>
      </c>
      <c r="C403">
        <v>308</v>
      </c>
      <c r="D403" t="s">
        <v>207</v>
      </c>
      <c r="E403" t="s">
        <v>3414</v>
      </c>
      <c r="F403" t="s">
        <v>1014</v>
      </c>
      <c r="G403" t="s">
        <v>4</v>
      </c>
      <c r="H403">
        <v>0</v>
      </c>
      <c r="I403">
        <v>0</v>
      </c>
      <c r="J403">
        <v>2017</v>
      </c>
      <c r="K403" t="str">
        <f>IF(Books[[#This Row],[AVERAGE RATING]]&gt;=4,"High",IF(Books[[#This Row],[AVERAGE RATING]]&gt;=3,"Medium","Low"))</f>
        <v>Low</v>
      </c>
      <c r="L403" t="str">
        <f>IF(Books[[#This Row],[AVERAGE RATING]]&gt;10000,"Popular","Average")</f>
        <v>Average</v>
      </c>
      <c r="M403">
        <f>Books[[#This Row],[AVERAGE RATING]]*Books[[#This Row],[RATINGS COUNT]]</f>
        <v>0</v>
      </c>
    </row>
    <row r="404" spans="1:13" x14ac:dyDescent="0.25">
      <c r="A404" t="s">
        <v>1015</v>
      </c>
      <c r="B404" t="s">
        <v>1016</v>
      </c>
      <c r="C404">
        <v>528</v>
      </c>
      <c r="D404" t="s">
        <v>406</v>
      </c>
      <c r="E404" t="s">
        <v>3415</v>
      </c>
      <c r="F404" t="s">
        <v>460</v>
      </c>
      <c r="G404" t="s">
        <v>4</v>
      </c>
      <c r="H404">
        <v>1</v>
      </c>
      <c r="I404">
        <v>1</v>
      </c>
      <c r="J404">
        <v>2009</v>
      </c>
      <c r="K404" t="str">
        <f>IF(Books[[#This Row],[AVERAGE RATING]]&gt;=4,"High",IF(Books[[#This Row],[AVERAGE RATING]]&gt;=3,"Medium","Low"))</f>
        <v>Low</v>
      </c>
      <c r="L404" t="str">
        <f>IF(Books[[#This Row],[AVERAGE RATING]]&gt;10000,"Popular","Average")</f>
        <v>Average</v>
      </c>
      <c r="M404">
        <f>Books[[#This Row],[AVERAGE RATING]]*Books[[#This Row],[RATINGS COUNT]]</f>
        <v>1</v>
      </c>
    </row>
    <row r="405" spans="1:13" x14ac:dyDescent="0.25">
      <c r="A405" t="s">
        <v>1017</v>
      </c>
      <c r="B405" t="s">
        <v>1018</v>
      </c>
      <c r="C405">
        <v>349</v>
      </c>
      <c r="D405" t="s">
        <v>420</v>
      </c>
      <c r="E405" t="s">
        <v>3416</v>
      </c>
      <c r="F405" t="s">
        <v>132</v>
      </c>
      <c r="G405" t="s">
        <v>4</v>
      </c>
      <c r="H405">
        <v>4.5</v>
      </c>
      <c r="I405">
        <v>2</v>
      </c>
      <c r="J405">
        <v>2008</v>
      </c>
      <c r="K405" t="str">
        <f>IF(Books[[#This Row],[AVERAGE RATING]]&gt;=4,"High",IF(Books[[#This Row],[AVERAGE RATING]]&gt;=3,"Medium","Low"))</f>
        <v>High</v>
      </c>
      <c r="L405" t="str">
        <f>IF(Books[[#This Row],[AVERAGE RATING]]&gt;10000,"Popular","Average")</f>
        <v>Average</v>
      </c>
      <c r="M405">
        <f>Books[[#This Row],[AVERAGE RATING]]*Books[[#This Row],[RATINGS COUNT]]</f>
        <v>9</v>
      </c>
    </row>
    <row r="406" spans="1:13" x14ac:dyDescent="0.25">
      <c r="A406" t="s">
        <v>1019</v>
      </c>
      <c r="B406" t="s">
        <v>1020</v>
      </c>
      <c r="C406">
        <v>752</v>
      </c>
      <c r="D406" t="s">
        <v>7</v>
      </c>
      <c r="E406" t="s">
        <v>3417</v>
      </c>
      <c r="F406" t="s">
        <v>35</v>
      </c>
      <c r="G406" t="s">
        <v>4</v>
      </c>
      <c r="H406">
        <v>0</v>
      </c>
      <c r="I406">
        <v>0</v>
      </c>
      <c r="J406">
        <v>2005</v>
      </c>
      <c r="K406" t="str">
        <f>IF(Books[[#This Row],[AVERAGE RATING]]&gt;=4,"High",IF(Books[[#This Row],[AVERAGE RATING]]&gt;=3,"Medium","Low"))</f>
        <v>Low</v>
      </c>
      <c r="L406" t="str">
        <f>IF(Books[[#This Row],[AVERAGE RATING]]&gt;10000,"Popular","Average")</f>
        <v>Average</v>
      </c>
      <c r="M406">
        <f>Books[[#This Row],[AVERAGE RATING]]*Books[[#This Row],[RATINGS COUNT]]</f>
        <v>0</v>
      </c>
    </row>
    <row r="407" spans="1:13" x14ac:dyDescent="0.25">
      <c r="A407" t="s">
        <v>1021</v>
      </c>
      <c r="B407" t="s">
        <v>1022</v>
      </c>
      <c r="C407">
        <v>363</v>
      </c>
      <c r="D407" t="s">
        <v>28</v>
      </c>
      <c r="E407" t="s">
        <v>3416</v>
      </c>
      <c r="F407" t="s">
        <v>132</v>
      </c>
      <c r="G407" t="s">
        <v>4</v>
      </c>
      <c r="H407">
        <v>0</v>
      </c>
      <c r="I407">
        <v>0</v>
      </c>
      <c r="J407">
        <v>2008</v>
      </c>
      <c r="K407" t="str">
        <f>IF(Books[[#This Row],[AVERAGE RATING]]&gt;=4,"High",IF(Books[[#This Row],[AVERAGE RATING]]&gt;=3,"Medium","Low"))</f>
        <v>Low</v>
      </c>
      <c r="L407" t="str">
        <f>IF(Books[[#This Row],[AVERAGE RATING]]&gt;10000,"Popular","Average")</f>
        <v>Average</v>
      </c>
      <c r="M407">
        <f>Books[[#This Row],[AVERAGE RATING]]*Books[[#This Row],[RATINGS COUNT]]</f>
        <v>0</v>
      </c>
    </row>
    <row r="408" spans="1:13" x14ac:dyDescent="0.25">
      <c r="A408" t="s">
        <v>1023</v>
      </c>
      <c r="B408" t="s">
        <v>1024</v>
      </c>
      <c r="C408">
        <v>818</v>
      </c>
      <c r="D408" t="s">
        <v>28</v>
      </c>
      <c r="E408" t="s">
        <v>3418</v>
      </c>
      <c r="F408" t="s">
        <v>460</v>
      </c>
      <c r="G408" t="s">
        <v>4</v>
      </c>
      <c r="H408">
        <v>0</v>
      </c>
      <c r="I408">
        <v>0</v>
      </c>
      <c r="J408">
        <v>2005</v>
      </c>
      <c r="K408" t="str">
        <f>IF(Books[[#This Row],[AVERAGE RATING]]&gt;=4,"High",IF(Books[[#This Row],[AVERAGE RATING]]&gt;=3,"Medium","Low"))</f>
        <v>Low</v>
      </c>
      <c r="L408" t="str">
        <f>IF(Books[[#This Row],[AVERAGE RATING]]&gt;10000,"Popular","Average")</f>
        <v>Average</v>
      </c>
      <c r="M408">
        <f>Books[[#This Row],[AVERAGE RATING]]*Books[[#This Row],[RATINGS COUNT]]</f>
        <v>0</v>
      </c>
    </row>
    <row r="409" spans="1:13" x14ac:dyDescent="0.25">
      <c r="A409" t="s">
        <v>1025</v>
      </c>
      <c r="B409" t="s">
        <v>1026</v>
      </c>
      <c r="C409">
        <v>177</v>
      </c>
      <c r="D409" t="s">
        <v>597</v>
      </c>
      <c r="E409" t="s">
        <v>3419</v>
      </c>
      <c r="F409" t="s">
        <v>1027</v>
      </c>
      <c r="G409" t="s">
        <v>4</v>
      </c>
      <c r="H409">
        <v>0</v>
      </c>
      <c r="I409">
        <v>0</v>
      </c>
      <c r="J409">
        <v>2007</v>
      </c>
      <c r="K409" t="str">
        <f>IF(Books[[#This Row],[AVERAGE RATING]]&gt;=4,"High",IF(Books[[#This Row],[AVERAGE RATING]]&gt;=3,"Medium","Low"))</f>
        <v>Low</v>
      </c>
      <c r="L409" t="str">
        <f>IF(Books[[#This Row],[AVERAGE RATING]]&gt;10000,"Popular","Average")</f>
        <v>Average</v>
      </c>
      <c r="M409">
        <f>Books[[#This Row],[AVERAGE RATING]]*Books[[#This Row],[RATINGS COUNT]]</f>
        <v>0</v>
      </c>
    </row>
    <row r="410" spans="1:13" x14ac:dyDescent="0.25">
      <c r="A410" t="s">
        <v>1028</v>
      </c>
      <c r="B410" t="s">
        <v>1029</v>
      </c>
      <c r="C410">
        <v>297</v>
      </c>
      <c r="D410" t="s">
        <v>356</v>
      </c>
      <c r="E410" t="s">
        <v>3420</v>
      </c>
      <c r="F410" t="s">
        <v>29</v>
      </c>
      <c r="G410" t="s">
        <v>4</v>
      </c>
      <c r="H410">
        <v>0</v>
      </c>
      <c r="I410">
        <v>0</v>
      </c>
      <c r="J410">
        <v>2025</v>
      </c>
      <c r="K410" t="str">
        <f>IF(Books[[#This Row],[AVERAGE RATING]]&gt;=4,"High",IF(Books[[#This Row],[AVERAGE RATING]]&gt;=3,"Medium","Low"))</f>
        <v>Low</v>
      </c>
      <c r="L410" t="str">
        <f>IF(Books[[#This Row],[AVERAGE RATING]]&gt;10000,"Popular","Average")</f>
        <v>Average</v>
      </c>
      <c r="M410">
        <f>Books[[#This Row],[AVERAGE RATING]]*Books[[#This Row],[RATINGS COUNT]]</f>
        <v>0</v>
      </c>
    </row>
    <row r="411" spans="1:13" x14ac:dyDescent="0.25">
      <c r="A411" t="s">
        <v>1030</v>
      </c>
      <c r="B411" t="s">
        <v>1031</v>
      </c>
      <c r="C411">
        <v>334</v>
      </c>
      <c r="D411" t="s">
        <v>59</v>
      </c>
      <c r="E411" t="s">
        <v>3421</v>
      </c>
      <c r="F411" t="s">
        <v>93</v>
      </c>
      <c r="G411" t="s">
        <v>4</v>
      </c>
      <c r="H411">
        <v>0</v>
      </c>
      <c r="I411">
        <v>0</v>
      </c>
      <c r="J411">
        <v>2012</v>
      </c>
      <c r="K411" t="str">
        <f>IF(Books[[#This Row],[AVERAGE RATING]]&gt;=4,"High",IF(Books[[#This Row],[AVERAGE RATING]]&gt;=3,"Medium","Low"))</f>
        <v>Low</v>
      </c>
      <c r="L411" t="str">
        <f>IF(Books[[#This Row],[AVERAGE RATING]]&gt;10000,"Popular","Average")</f>
        <v>Average</v>
      </c>
      <c r="M411">
        <f>Books[[#This Row],[AVERAGE RATING]]*Books[[#This Row],[RATINGS COUNT]]</f>
        <v>0</v>
      </c>
    </row>
    <row r="412" spans="1:13" x14ac:dyDescent="0.25">
      <c r="A412" t="s">
        <v>1032</v>
      </c>
      <c r="B412" t="s">
        <v>1033</v>
      </c>
      <c r="C412">
        <v>330</v>
      </c>
      <c r="D412" t="s">
        <v>28</v>
      </c>
      <c r="E412" t="s">
        <v>3101</v>
      </c>
      <c r="F412" t="s">
        <v>1034</v>
      </c>
      <c r="G412" t="s">
        <v>4</v>
      </c>
      <c r="H412">
        <v>0</v>
      </c>
      <c r="I412">
        <v>0</v>
      </c>
      <c r="J412">
        <v>2000</v>
      </c>
      <c r="K412" t="str">
        <f>IF(Books[[#This Row],[AVERAGE RATING]]&gt;=4,"High",IF(Books[[#This Row],[AVERAGE RATING]]&gt;=3,"Medium","Low"))</f>
        <v>Low</v>
      </c>
      <c r="L412" t="str">
        <f>IF(Books[[#This Row],[AVERAGE RATING]]&gt;10000,"Popular","Average")</f>
        <v>Average</v>
      </c>
      <c r="M412">
        <f>Books[[#This Row],[AVERAGE RATING]]*Books[[#This Row],[RATINGS COUNT]]</f>
        <v>0</v>
      </c>
    </row>
    <row r="413" spans="1:13" x14ac:dyDescent="0.25">
      <c r="A413" t="s">
        <v>1035</v>
      </c>
      <c r="B413" t="s">
        <v>1036</v>
      </c>
      <c r="C413">
        <v>380</v>
      </c>
      <c r="D413" t="s">
        <v>56</v>
      </c>
      <c r="E413" t="s">
        <v>3144</v>
      </c>
      <c r="F413" t="s">
        <v>559</v>
      </c>
      <c r="G413" t="s">
        <v>4</v>
      </c>
      <c r="H413">
        <v>4</v>
      </c>
      <c r="I413">
        <v>1</v>
      </c>
      <c r="J413">
        <v>2008</v>
      </c>
      <c r="K413" t="str">
        <f>IF(Books[[#This Row],[AVERAGE RATING]]&gt;=4,"High",IF(Books[[#This Row],[AVERAGE RATING]]&gt;=3,"Medium","Low"))</f>
        <v>High</v>
      </c>
      <c r="L413" t="str">
        <f>IF(Books[[#This Row],[AVERAGE RATING]]&gt;10000,"Popular","Average")</f>
        <v>Average</v>
      </c>
      <c r="M413">
        <f>Books[[#This Row],[AVERAGE RATING]]*Books[[#This Row],[RATINGS COUNT]]</f>
        <v>4</v>
      </c>
    </row>
    <row r="414" spans="1:13" x14ac:dyDescent="0.25">
      <c r="A414" t="s">
        <v>1037</v>
      </c>
      <c r="B414" t="s">
        <v>1038</v>
      </c>
      <c r="C414">
        <v>307</v>
      </c>
      <c r="D414" t="s">
        <v>125</v>
      </c>
      <c r="E414" t="s">
        <v>3422</v>
      </c>
      <c r="F414" t="s">
        <v>35</v>
      </c>
      <c r="G414" t="s">
        <v>4</v>
      </c>
      <c r="H414">
        <v>0</v>
      </c>
      <c r="I414">
        <v>0</v>
      </c>
      <c r="J414">
        <v>2015</v>
      </c>
      <c r="K414" t="str">
        <f>IF(Books[[#This Row],[AVERAGE RATING]]&gt;=4,"High",IF(Books[[#This Row],[AVERAGE RATING]]&gt;=3,"Medium","Low"))</f>
        <v>Low</v>
      </c>
      <c r="L414" t="str">
        <f>IF(Books[[#This Row],[AVERAGE RATING]]&gt;10000,"Popular","Average")</f>
        <v>Average</v>
      </c>
      <c r="M414">
        <f>Books[[#This Row],[AVERAGE RATING]]*Books[[#This Row],[RATINGS COUNT]]</f>
        <v>0</v>
      </c>
    </row>
    <row r="415" spans="1:13" x14ac:dyDescent="0.25">
      <c r="A415" t="s">
        <v>1039</v>
      </c>
      <c r="B415" t="s">
        <v>1040</v>
      </c>
      <c r="C415">
        <v>728</v>
      </c>
      <c r="D415" t="s">
        <v>28</v>
      </c>
      <c r="E415" t="s">
        <v>3423</v>
      </c>
      <c r="F415" t="s">
        <v>60</v>
      </c>
      <c r="G415" t="s">
        <v>4</v>
      </c>
      <c r="H415">
        <v>0</v>
      </c>
      <c r="I415">
        <v>0</v>
      </c>
      <c r="J415">
        <v>2022</v>
      </c>
      <c r="K415" t="str">
        <f>IF(Books[[#This Row],[AVERAGE RATING]]&gt;=4,"High",IF(Books[[#This Row],[AVERAGE RATING]]&gt;=3,"Medium","Low"))</f>
        <v>Low</v>
      </c>
      <c r="L415" t="str">
        <f>IF(Books[[#This Row],[AVERAGE RATING]]&gt;10000,"Popular","Average")</f>
        <v>Average</v>
      </c>
      <c r="M415">
        <f>Books[[#This Row],[AVERAGE RATING]]*Books[[#This Row],[RATINGS COUNT]]</f>
        <v>0</v>
      </c>
    </row>
    <row r="416" spans="1:13" x14ac:dyDescent="0.25">
      <c r="A416" t="s">
        <v>1041</v>
      </c>
      <c r="B416" t="s">
        <v>1042</v>
      </c>
      <c r="C416">
        <v>234</v>
      </c>
      <c r="D416" t="s">
        <v>2</v>
      </c>
      <c r="E416" t="s">
        <v>3424</v>
      </c>
      <c r="F416" t="s">
        <v>433</v>
      </c>
      <c r="G416" t="s">
        <v>4</v>
      </c>
      <c r="H416">
        <v>0</v>
      </c>
      <c r="I416">
        <v>0</v>
      </c>
      <c r="J416">
        <v>2023</v>
      </c>
      <c r="K416" t="str">
        <f>IF(Books[[#This Row],[AVERAGE RATING]]&gt;=4,"High",IF(Books[[#This Row],[AVERAGE RATING]]&gt;=3,"Medium","Low"))</f>
        <v>Low</v>
      </c>
      <c r="L416" t="str">
        <f>IF(Books[[#This Row],[AVERAGE RATING]]&gt;10000,"Popular","Average")</f>
        <v>Average</v>
      </c>
      <c r="M416">
        <f>Books[[#This Row],[AVERAGE RATING]]*Books[[#This Row],[RATINGS COUNT]]</f>
        <v>0</v>
      </c>
    </row>
    <row r="417" spans="1:13" x14ac:dyDescent="0.25">
      <c r="A417" t="s">
        <v>1043</v>
      </c>
      <c r="B417" t="s">
        <v>1044</v>
      </c>
      <c r="C417">
        <v>475</v>
      </c>
      <c r="D417" t="s">
        <v>356</v>
      </c>
      <c r="E417" t="s">
        <v>3425</v>
      </c>
      <c r="F417" t="s">
        <v>60</v>
      </c>
      <c r="G417" t="s">
        <v>4</v>
      </c>
      <c r="H417">
        <v>0</v>
      </c>
      <c r="I417">
        <v>0</v>
      </c>
      <c r="J417">
        <v>2023</v>
      </c>
      <c r="K417" t="str">
        <f>IF(Books[[#This Row],[AVERAGE RATING]]&gt;=4,"High",IF(Books[[#This Row],[AVERAGE RATING]]&gt;=3,"Medium","Low"))</f>
        <v>Low</v>
      </c>
      <c r="L417" t="str">
        <f>IF(Books[[#This Row],[AVERAGE RATING]]&gt;10000,"Popular","Average")</f>
        <v>Average</v>
      </c>
      <c r="M417">
        <f>Books[[#This Row],[AVERAGE RATING]]*Books[[#This Row],[RATINGS COUNT]]</f>
        <v>0</v>
      </c>
    </row>
    <row r="418" spans="1:13" x14ac:dyDescent="0.25">
      <c r="A418" t="s">
        <v>1045</v>
      </c>
      <c r="B418" t="s">
        <v>1046</v>
      </c>
      <c r="C418">
        <v>862</v>
      </c>
      <c r="D418" t="s">
        <v>383</v>
      </c>
      <c r="E418" t="s">
        <v>3426</v>
      </c>
      <c r="F418" t="s">
        <v>93</v>
      </c>
      <c r="G418" t="s">
        <v>4</v>
      </c>
      <c r="H418">
        <v>0</v>
      </c>
      <c r="I418">
        <v>0</v>
      </c>
      <c r="J418">
        <v>2018</v>
      </c>
      <c r="K418" t="str">
        <f>IF(Books[[#This Row],[AVERAGE RATING]]&gt;=4,"High",IF(Books[[#This Row],[AVERAGE RATING]]&gt;=3,"Medium","Low"))</f>
        <v>Low</v>
      </c>
      <c r="L418" t="str">
        <f>IF(Books[[#This Row],[AVERAGE RATING]]&gt;10000,"Popular","Average")</f>
        <v>Average</v>
      </c>
      <c r="M418">
        <f>Books[[#This Row],[AVERAGE RATING]]*Books[[#This Row],[RATINGS COUNT]]</f>
        <v>0</v>
      </c>
    </row>
    <row r="419" spans="1:13" x14ac:dyDescent="0.25">
      <c r="A419" t="s">
        <v>1047</v>
      </c>
      <c r="B419" t="s">
        <v>1048</v>
      </c>
      <c r="C419">
        <v>251</v>
      </c>
      <c r="D419" t="s">
        <v>63</v>
      </c>
      <c r="E419" t="s">
        <v>3427</v>
      </c>
      <c r="F419" t="s">
        <v>791</v>
      </c>
      <c r="G419" t="s">
        <v>4</v>
      </c>
      <c r="H419">
        <v>0</v>
      </c>
      <c r="I419">
        <v>0</v>
      </c>
      <c r="J419">
        <v>2021</v>
      </c>
      <c r="K419" t="str">
        <f>IF(Books[[#This Row],[AVERAGE RATING]]&gt;=4,"High",IF(Books[[#This Row],[AVERAGE RATING]]&gt;=3,"Medium","Low"))</f>
        <v>Low</v>
      </c>
      <c r="L419" t="str">
        <f>IF(Books[[#This Row],[AVERAGE RATING]]&gt;10000,"Popular","Average")</f>
        <v>Average</v>
      </c>
      <c r="M419">
        <f>Books[[#This Row],[AVERAGE RATING]]*Books[[#This Row],[RATINGS COUNT]]</f>
        <v>0</v>
      </c>
    </row>
    <row r="420" spans="1:13" x14ac:dyDescent="0.25">
      <c r="A420" t="s">
        <v>1049</v>
      </c>
      <c r="B420" t="s">
        <v>1050</v>
      </c>
      <c r="C420">
        <v>348</v>
      </c>
      <c r="D420" t="s">
        <v>298</v>
      </c>
      <c r="E420" t="s">
        <v>3428</v>
      </c>
      <c r="F420" t="s">
        <v>122</v>
      </c>
      <c r="G420" t="s">
        <v>4</v>
      </c>
      <c r="H420">
        <v>0</v>
      </c>
      <c r="I420">
        <v>0</v>
      </c>
      <c r="J420">
        <v>2015</v>
      </c>
      <c r="K420" t="str">
        <f>IF(Books[[#This Row],[AVERAGE RATING]]&gt;=4,"High",IF(Books[[#This Row],[AVERAGE RATING]]&gt;=3,"Medium","Low"))</f>
        <v>Low</v>
      </c>
      <c r="L420" t="str">
        <f>IF(Books[[#This Row],[AVERAGE RATING]]&gt;10000,"Popular","Average")</f>
        <v>Average</v>
      </c>
      <c r="M420">
        <f>Books[[#This Row],[AVERAGE RATING]]*Books[[#This Row],[RATINGS COUNT]]</f>
        <v>0</v>
      </c>
    </row>
    <row r="421" spans="1:13" x14ac:dyDescent="0.25">
      <c r="A421" t="s">
        <v>1051</v>
      </c>
      <c r="B421" t="s">
        <v>1052</v>
      </c>
      <c r="C421">
        <v>400</v>
      </c>
      <c r="D421" t="s">
        <v>59</v>
      </c>
      <c r="E421" t="s">
        <v>3340</v>
      </c>
      <c r="F421" t="s">
        <v>60</v>
      </c>
      <c r="G421" t="s">
        <v>4</v>
      </c>
      <c r="H421">
        <v>0</v>
      </c>
      <c r="I421">
        <v>0</v>
      </c>
      <c r="J421">
        <v>2023</v>
      </c>
      <c r="K421" t="str">
        <f>IF(Books[[#This Row],[AVERAGE RATING]]&gt;=4,"High",IF(Books[[#This Row],[AVERAGE RATING]]&gt;=3,"Medium","Low"))</f>
        <v>Low</v>
      </c>
      <c r="L421" t="str">
        <f>IF(Books[[#This Row],[AVERAGE RATING]]&gt;10000,"Popular","Average")</f>
        <v>Average</v>
      </c>
      <c r="M421">
        <f>Books[[#This Row],[AVERAGE RATING]]*Books[[#This Row],[RATINGS COUNT]]</f>
        <v>0</v>
      </c>
    </row>
    <row r="422" spans="1:13" x14ac:dyDescent="0.25">
      <c r="A422" t="s">
        <v>1053</v>
      </c>
      <c r="B422" t="s">
        <v>1054</v>
      </c>
      <c r="C422">
        <v>277</v>
      </c>
      <c r="D422" t="s">
        <v>118</v>
      </c>
      <c r="E422" t="s">
        <v>3429</v>
      </c>
      <c r="F422" t="s">
        <v>93</v>
      </c>
      <c r="G422" t="s">
        <v>4</v>
      </c>
      <c r="H422">
        <v>0</v>
      </c>
      <c r="I422">
        <v>0</v>
      </c>
      <c r="J422">
        <v>2015</v>
      </c>
      <c r="K422" t="str">
        <f>IF(Books[[#This Row],[AVERAGE RATING]]&gt;=4,"High",IF(Books[[#This Row],[AVERAGE RATING]]&gt;=3,"Medium","Low"))</f>
        <v>Low</v>
      </c>
      <c r="L422" t="str">
        <f>IF(Books[[#This Row],[AVERAGE RATING]]&gt;10000,"Popular","Average")</f>
        <v>Average</v>
      </c>
      <c r="M422">
        <f>Books[[#This Row],[AVERAGE RATING]]*Books[[#This Row],[RATINGS COUNT]]</f>
        <v>0</v>
      </c>
    </row>
    <row r="423" spans="1:13" x14ac:dyDescent="0.25">
      <c r="A423" t="s">
        <v>1055</v>
      </c>
      <c r="B423" t="s">
        <v>1056</v>
      </c>
      <c r="C423">
        <v>380</v>
      </c>
      <c r="D423" t="s">
        <v>38</v>
      </c>
      <c r="E423" t="s">
        <v>3430</v>
      </c>
      <c r="F423" t="s">
        <v>70</v>
      </c>
      <c r="G423" t="s">
        <v>4</v>
      </c>
      <c r="H423">
        <v>0</v>
      </c>
      <c r="I423">
        <v>0</v>
      </c>
      <c r="J423">
        <v>2018</v>
      </c>
      <c r="K423" t="str">
        <f>IF(Books[[#This Row],[AVERAGE RATING]]&gt;=4,"High",IF(Books[[#This Row],[AVERAGE RATING]]&gt;=3,"Medium","Low"))</f>
        <v>Low</v>
      </c>
      <c r="L423" t="str">
        <f>IF(Books[[#This Row],[AVERAGE RATING]]&gt;10000,"Popular","Average")</f>
        <v>Average</v>
      </c>
      <c r="M423">
        <f>Books[[#This Row],[AVERAGE RATING]]*Books[[#This Row],[RATINGS COUNT]]</f>
        <v>0</v>
      </c>
    </row>
    <row r="424" spans="1:13" x14ac:dyDescent="0.25">
      <c r="A424" t="s">
        <v>1057</v>
      </c>
      <c r="B424" t="s">
        <v>1058</v>
      </c>
      <c r="C424">
        <v>391</v>
      </c>
      <c r="D424" t="s">
        <v>28</v>
      </c>
      <c r="E424" t="s">
        <v>3431</v>
      </c>
      <c r="F424" t="s">
        <v>35</v>
      </c>
      <c r="G424" t="s">
        <v>4</v>
      </c>
      <c r="H424">
        <v>0</v>
      </c>
      <c r="I424">
        <v>0</v>
      </c>
      <c r="J424">
        <v>2016</v>
      </c>
      <c r="K424" t="str">
        <f>IF(Books[[#This Row],[AVERAGE RATING]]&gt;=4,"High",IF(Books[[#This Row],[AVERAGE RATING]]&gt;=3,"Medium","Low"))</f>
        <v>Low</v>
      </c>
      <c r="L424" t="str">
        <f>IF(Books[[#This Row],[AVERAGE RATING]]&gt;10000,"Popular","Average")</f>
        <v>Average</v>
      </c>
      <c r="M424">
        <f>Books[[#This Row],[AVERAGE RATING]]*Books[[#This Row],[RATINGS COUNT]]</f>
        <v>0</v>
      </c>
    </row>
    <row r="425" spans="1:13" x14ac:dyDescent="0.25">
      <c r="A425" t="s">
        <v>1059</v>
      </c>
      <c r="B425" t="s">
        <v>1060</v>
      </c>
      <c r="C425">
        <v>182</v>
      </c>
      <c r="D425" t="s">
        <v>2</v>
      </c>
      <c r="E425" t="s">
        <v>3432</v>
      </c>
      <c r="F425" t="s">
        <v>119</v>
      </c>
      <c r="G425" t="s">
        <v>4</v>
      </c>
      <c r="H425">
        <v>0</v>
      </c>
      <c r="I425">
        <v>0</v>
      </c>
      <c r="J425">
        <v>2024</v>
      </c>
      <c r="K425" t="str">
        <f>IF(Books[[#This Row],[AVERAGE RATING]]&gt;=4,"High",IF(Books[[#This Row],[AVERAGE RATING]]&gt;=3,"Medium","Low"))</f>
        <v>Low</v>
      </c>
      <c r="L425" t="str">
        <f>IF(Books[[#This Row],[AVERAGE RATING]]&gt;10000,"Popular","Average")</f>
        <v>Average</v>
      </c>
      <c r="M425">
        <f>Books[[#This Row],[AVERAGE RATING]]*Books[[#This Row],[RATINGS COUNT]]</f>
        <v>0</v>
      </c>
    </row>
    <row r="426" spans="1:13" x14ac:dyDescent="0.25">
      <c r="A426" t="s">
        <v>1061</v>
      </c>
      <c r="B426" t="s">
        <v>1062</v>
      </c>
      <c r="C426">
        <v>298</v>
      </c>
      <c r="D426" t="s">
        <v>383</v>
      </c>
      <c r="E426" t="s">
        <v>3433</v>
      </c>
      <c r="F426" t="s">
        <v>119</v>
      </c>
      <c r="G426" t="s">
        <v>4</v>
      </c>
      <c r="H426">
        <v>0</v>
      </c>
      <c r="I426">
        <v>0</v>
      </c>
      <c r="J426">
        <v>2020</v>
      </c>
      <c r="K426" t="str">
        <f>IF(Books[[#This Row],[AVERAGE RATING]]&gt;=4,"High",IF(Books[[#This Row],[AVERAGE RATING]]&gt;=3,"Medium","Low"))</f>
        <v>Low</v>
      </c>
      <c r="L426" t="str">
        <f>IF(Books[[#This Row],[AVERAGE RATING]]&gt;10000,"Popular","Average")</f>
        <v>Average</v>
      </c>
      <c r="M426">
        <f>Books[[#This Row],[AVERAGE RATING]]*Books[[#This Row],[RATINGS COUNT]]</f>
        <v>0</v>
      </c>
    </row>
    <row r="427" spans="1:13" x14ac:dyDescent="0.25">
      <c r="A427" t="s">
        <v>1063</v>
      </c>
      <c r="B427" t="s">
        <v>1064</v>
      </c>
      <c r="C427">
        <v>281</v>
      </c>
      <c r="D427" t="s">
        <v>2</v>
      </c>
      <c r="E427" t="s">
        <v>3375</v>
      </c>
      <c r="F427" t="s">
        <v>119</v>
      </c>
      <c r="G427" t="s">
        <v>4</v>
      </c>
      <c r="H427">
        <v>0</v>
      </c>
      <c r="I427">
        <v>0</v>
      </c>
      <c r="J427">
        <v>2019</v>
      </c>
      <c r="K427" t="str">
        <f>IF(Books[[#This Row],[AVERAGE RATING]]&gt;=4,"High",IF(Books[[#This Row],[AVERAGE RATING]]&gt;=3,"Medium","Low"))</f>
        <v>Low</v>
      </c>
      <c r="L427" t="str">
        <f>IF(Books[[#This Row],[AVERAGE RATING]]&gt;10000,"Popular","Average")</f>
        <v>Average</v>
      </c>
      <c r="M427">
        <f>Books[[#This Row],[AVERAGE RATING]]*Books[[#This Row],[RATINGS COUNT]]</f>
        <v>0</v>
      </c>
    </row>
    <row r="428" spans="1:13" x14ac:dyDescent="0.25">
      <c r="A428" t="s">
        <v>1065</v>
      </c>
      <c r="B428" t="s">
        <v>1066</v>
      </c>
      <c r="C428">
        <v>519</v>
      </c>
      <c r="D428" t="s">
        <v>298</v>
      </c>
      <c r="E428" t="s">
        <v>3434</v>
      </c>
      <c r="F428" t="s">
        <v>132</v>
      </c>
      <c r="G428" t="s">
        <v>4</v>
      </c>
      <c r="H428">
        <v>0</v>
      </c>
      <c r="I428">
        <v>0</v>
      </c>
      <c r="J428">
        <v>2024</v>
      </c>
      <c r="K428" t="str">
        <f>IF(Books[[#This Row],[AVERAGE RATING]]&gt;=4,"High",IF(Books[[#This Row],[AVERAGE RATING]]&gt;=3,"Medium","Low"))</f>
        <v>Low</v>
      </c>
      <c r="L428" t="str">
        <f>IF(Books[[#This Row],[AVERAGE RATING]]&gt;10000,"Popular","Average")</f>
        <v>Average</v>
      </c>
      <c r="M428">
        <f>Books[[#This Row],[AVERAGE RATING]]*Books[[#This Row],[RATINGS COUNT]]</f>
        <v>0</v>
      </c>
    </row>
    <row r="429" spans="1:13" x14ac:dyDescent="0.25">
      <c r="A429" t="s">
        <v>1067</v>
      </c>
      <c r="B429" t="s">
        <v>1068</v>
      </c>
      <c r="C429">
        <v>104</v>
      </c>
      <c r="D429" t="s">
        <v>356</v>
      </c>
      <c r="E429" t="s">
        <v>3435</v>
      </c>
      <c r="F429" t="s">
        <v>60</v>
      </c>
      <c r="G429" t="s">
        <v>4</v>
      </c>
      <c r="H429">
        <v>0</v>
      </c>
      <c r="I429">
        <v>0</v>
      </c>
      <c r="J429">
        <v>2022</v>
      </c>
      <c r="K429" t="str">
        <f>IF(Books[[#This Row],[AVERAGE RATING]]&gt;=4,"High",IF(Books[[#This Row],[AVERAGE RATING]]&gt;=3,"Medium","Low"))</f>
        <v>Low</v>
      </c>
      <c r="L429" t="str">
        <f>IF(Books[[#This Row],[AVERAGE RATING]]&gt;10000,"Popular","Average")</f>
        <v>Average</v>
      </c>
      <c r="M429">
        <f>Books[[#This Row],[AVERAGE RATING]]*Books[[#This Row],[RATINGS COUNT]]</f>
        <v>0</v>
      </c>
    </row>
    <row r="430" spans="1:13" x14ac:dyDescent="0.25">
      <c r="A430" t="s">
        <v>1069</v>
      </c>
      <c r="B430" t="s">
        <v>1070</v>
      </c>
      <c r="C430">
        <v>264</v>
      </c>
      <c r="D430" t="s">
        <v>59</v>
      </c>
      <c r="E430" t="s">
        <v>3436</v>
      </c>
      <c r="F430" t="s">
        <v>35</v>
      </c>
      <c r="G430" t="s">
        <v>4</v>
      </c>
      <c r="H430">
        <v>0</v>
      </c>
      <c r="I430">
        <v>0</v>
      </c>
      <c r="J430">
        <v>2005</v>
      </c>
      <c r="K430" t="str">
        <f>IF(Books[[#This Row],[AVERAGE RATING]]&gt;=4,"High",IF(Books[[#This Row],[AVERAGE RATING]]&gt;=3,"Medium","Low"))</f>
        <v>Low</v>
      </c>
      <c r="L430" t="str">
        <f>IF(Books[[#This Row],[AVERAGE RATING]]&gt;10000,"Popular","Average")</f>
        <v>Average</v>
      </c>
      <c r="M430">
        <f>Books[[#This Row],[AVERAGE RATING]]*Books[[#This Row],[RATINGS COUNT]]</f>
        <v>0</v>
      </c>
    </row>
    <row r="431" spans="1:13" x14ac:dyDescent="0.25">
      <c r="A431" t="s">
        <v>1071</v>
      </c>
      <c r="B431" t="s">
        <v>1072</v>
      </c>
      <c r="C431">
        <v>641</v>
      </c>
      <c r="D431" t="s">
        <v>383</v>
      </c>
      <c r="E431" t="s">
        <v>3437</v>
      </c>
      <c r="F431" t="s">
        <v>35</v>
      </c>
      <c r="G431" t="s">
        <v>4</v>
      </c>
      <c r="H431">
        <v>0</v>
      </c>
      <c r="I431">
        <v>0</v>
      </c>
      <c r="J431">
        <v>2013</v>
      </c>
      <c r="K431" t="str">
        <f>IF(Books[[#This Row],[AVERAGE RATING]]&gt;=4,"High",IF(Books[[#This Row],[AVERAGE RATING]]&gt;=3,"Medium","Low"))</f>
        <v>Low</v>
      </c>
      <c r="L431" t="str">
        <f>IF(Books[[#This Row],[AVERAGE RATING]]&gt;10000,"Popular","Average")</f>
        <v>Average</v>
      </c>
      <c r="M431">
        <f>Books[[#This Row],[AVERAGE RATING]]*Books[[#This Row],[RATINGS COUNT]]</f>
        <v>0</v>
      </c>
    </row>
    <row r="432" spans="1:13" x14ac:dyDescent="0.25">
      <c r="A432" t="s">
        <v>1073</v>
      </c>
      <c r="B432" t="s">
        <v>1074</v>
      </c>
      <c r="C432">
        <v>417</v>
      </c>
      <c r="D432" t="s">
        <v>32</v>
      </c>
      <c r="E432" t="s">
        <v>3438</v>
      </c>
      <c r="F432" t="s">
        <v>148</v>
      </c>
      <c r="G432" t="s">
        <v>4</v>
      </c>
      <c r="H432">
        <v>5</v>
      </c>
      <c r="I432">
        <v>1</v>
      </c>
      <c r="J432">
        <v>2012</v>
      </c>
      <c r="K432" t="str">
        <f>IF(Books[[#This Row],[AVERAGE RATING]]&gt;=4,"High",IF(Books[[#This Row],[AVERAGE RATING]]&gt;=3,"Medium","Low"))</f>
        <v>High</v>
      </c>
      <c r="L432" t="str">
        <f>IF(Books[[#This Row],[AVERAGE RATING]]&gt;10000,"Popular","Average")</f>
        <v>Average</v>
      </c>
      <c r="M432">
        <f>Books[[#This Row],[AVERAGE RATING]]*Books[[#This Row],[RATINGS COUNT]]</f>
        <v>5</v>
      </c>
    </row>
    <row r="433" spans="1:13" x14ac:dyDescent="0.25">
      <c r="A433" t="s">
        <v>1075</v>
      </c>
      <c r="B433" t="s">
        <v>1076</v>
      </c>
      <c r="C433">
        <v>509</v>
      </c>
      <c r="D433" t="s">
        <v>2</v>
      </c>
      <c r="E433" t="s">
        <v>3439</v>
      </c>
      <c r="F433" t="s">
        <v>35</v>
      </c>
      <c r="G433" t="s">
        <v>4</v>
      </c>
      <c r="H433">
        <v>0</v>
      </c>
      <c r="I433">
        <v>0</v>
      </c>
      <c r="J433">
        <v>2014</v>
      </c>
      <c r="K433" t="str">
        <f>IF(Books[[#This Row],[AVERAGE RATING]]&gt;=4,"High",IF(Books[[#This Row],[AVERAGE RATING]]&gt;=3,"Medium","Low"))</f>
        <v>Low</v>
      </c>
      <c r="L433" t="str">
        <f>IF(Books[[#This Row],[AVERAGE RATING]]&gt;10000,"Popular","Average")</f>
        <v>Average</v>
      </c>
      <c r="M433">
        <f>Books[[#This Row],[AVERAGE RATING]]*Books[[#This Row],[RATINGS COUNT]]</f>
        <v>0</v>
      </c>
    </row>
    <row r="434" spans="1:13" x14ac:dyDescent="0.25">
      <c r="A434" t="s">
        <v>1077</v>
      </c>
      <c r="B434" t="s">
        <v>87</v>
      </c>
      <c r="C434">
        <v>394</v>
      </c>
      <c r="D434" t="s">
        <v>11</v>
      </c>
      <c r="E434" t="s">
        <v>3440</v>
      </c>
      <c r="F434" t="s">
        <v>88</v>
      </c>
      <c r="G434" t="s">
        <v>4</v>
      </c>
      <c r="H434">
        <v>0</v>
      </c>
      <c r="I434">
        <v>0</v>
      </c>
      <c r="J434">
        <v>2024</v>
      </c>
      <c r="K434" t="str">
        <f>IF(Books[[#This Row],[AVERAGE RATING]]&gt;=4,"High",IF(Books[[#This Row],[AVERAGE RATING]]&gt;=3,"Medium","Low"))</f>
        <v>Low</v>
      </c>
      <c r="L434" t="str">
        <f>IF(Books[[#This Row],[AVERAGE RATING]]&gt;10000,"Popular","Average")</f>
        <v>Average</v>
      </c>
      <c r="M434">
        <f>Books[[#This Row],[AVERAGE RATING]]*Books[[#This Row],[RATINGS COUNT]]</f>
        <v>0</v>
      </c>
    </row>
    <row r="435" spans="1:13" x14ac:dyDescent="0.25">
      <c r="A435" t="s">
        <v>1078</v>
      </c>
      <c r="B435" t="s">
        <v>1079</v>
      </c>
      <c r="C435">
        <v>562</v>
      </c>
      <c r="D435" t="s">
        <v>298</v>
      </c>
      <c r="E435" t="s">
        <v>3441</v>
      </c>
      <c r="F435" t="s">
        <v>1080</v>
      </c>
      <c r="G435" t="s">
        <v>4</v>
      </c>
      <c r="H435">
        <v>0</v>
      </c>
      <c r="I435">
        <v>0</v>
      </c>
      <c r="J435">
        <v>2017</v>
      </c>
      <c r="K435" t="str">
        <f>IF(Books[[#This Row],[AVERAGE RATING]]&gt;=4,"High",IF(Books[[#This Row],[AVERAGE RATING]]&gt;=3,"Medium","Low"))</f>
        <v>Low</v>
      </c>
      <c r="L435" t="str">
        <f>IF(Books[[#This Row],[AVERAGE RATING]]&gt;10000,"Popular","Average")</f>
        <v>Average</v>
      </c>
      <c r="M435">
        <f>Books[[#This Row],[AVERAGE RATING]]*Books[[#This Row],[RATINGS COUNT]]</f>
        <v>0</v>
      </c>
    </row>
    <row r="436" spans="1:13" x14ac:dyDescent="0.25">
      <c r="A436" t="s">
        <v>1081</v>
      </c>
      <c r="B436" t="s">
        <v>1082</v>
      </c>
      <c r="C436">
        <v>529</v>
      </c>
      <c r="D436" t="s">
        <v>38</v>
      </c>
      <c r="E436" t="s">
        <v>3442</v>
      </c>
      <c r="F436" t="s">
        <v>60</v>
      </c>
      <c r="G436" t="s">
        <v>4</v>
      </c>
      <c r="H436">
        <v>0</v>
      </c>
      <c r="I436">
        <v>0</v>
      </c>
      <c r="J436">
        <v>2011</v>
      </c>
      <c r="K436" t="str">
        <f>IF(Books[[#This Row],[AVERAGE RATING]]&gt;=4,"High",IF(Books[[#This Row],[AVERAGE RATING]]&gt;=3,"Medium","Low"))</f>
        <v>Low</v>
      </c>
      <c r="L436" t="str">
        <f>IF(Books[[#This Row],[AVERAGE RATING]]&gt;10000,"Popular","Average")</f>
        <v>Average</v>
      </c>
      <c r="M436">
        <f>Books[[#This Row],[AVERAGE RATING]]*Books[[#This Row],[RATINGS COUNT]]</f>
        <v>0</v>
      </c>
    </row>
    <row r="437" spans="1:13" x14ac:dyDescent="0.25">
      <c r="A437" t="s">
        <v>1083</v>
      </c>
      <c r="B437" t="s">
        <v>1084</v>
      </c>
      <c r="C437">
        <v>469</v>
      </c>
      <c r="D437" t="s">
        <v>15</v>
      </c>
      <c r="E437" t="s">
        <v>3124</v>
      </c>
      <c r="F437" t="s">
        <v>35</v>
      </c>
      <c r="G437" t="s">
        <v>4</v>
      </c>
      <c r="H437">
        <v>0</v>
      </c>
      <c r="I437">
        <v>0</v>
      </c>
      <c r="J437">
        <v>2011</v>
      </c>
      <c r="K437" t="str">
        <f>IF(Books[[#This Row],[AVERAGE RATING]]&gt;=4,"High",IF(Books[[#This Row],[AVERAGE RATING]]&gt;=3,"Medium","Low"))</f>
        <v>Low</v>
      </c>
      <c r="L437" t="str">
        <f>IF(Books[[#This Row],[AVERAGE RATING]]&gt;10000,"Popular","Average")</f>
        <v>Average</v>
      </c>
      <c r="M437">
        <f>Books[[#This Row],[AVERAGE RATING]]*Books[[#This Row],[RATINGS COUNT]]</f>
        <v>0</v>
      </c>
    </row>
    <row r="438" spans="1:13" x14ac:dyDescent="0.25">
      <c r="A438" t="s">
        <v>1085</v>
      </c>
      <c r="B438" t="s">
        <v>1086</v>
      </c>
      <c r="C438">
        <v>353</v>
      </c>
      <c r="D438" t="s">
        <v>28</v>
      </c>
      <c r="E438" t="s">
        <v>3443</v>
      </c>
      <c r="F438" t="s">
        <v>60</v>
      </c>
      <c r="G438" t="s">
        <v>4</v>
      </c>
      <c r="H438">
        <v>0</v>
      </c>
      <c r="I438">
        <v>0</v>
      </c>
      <c r="J438">
        <v>2023</v>
      </c>
      <c r="K438" t="str">
        <f>IF(Books[[#This Row],[AVERAGE RATING]]&gt;=4,"High",IF(Books[[#This Row],[AVERAGE RATING]]&gt;=3,"Medium","Low"))</f>
        <v>Low</v>
      </c>
      <c r="L438" t="str">
        <f>IF(Books[[#This Row],[AVERAGE RATING]]&gt;10000,"Popular","Average")</f>
        <v>Average</v>
      </c>
      <c r="M438">
        <f>Books[[#This Row],[AVERAGE RATING]]*Books[[#This Row],[RATINGS COUNT]]</f>
        <v>0</v>
      </c>
    </row>
    <row r="439" spans="1:13" x14ac:dyDescent="0.25">
      <c r="A439" t="s">
        <v>1087</v>
      </c>
      <c r="B439" t="s">
        <v>1088</v>
      </c>
      <c r="C439">
        <v>190</v>
      </c>
      <c r="D439" t="s">
        <v>356</v>
      </c>
      <c r="E439" t="s">
        <v>3055</v>
      </c>
      <c r="F439" t="s">
        <v>1089</v>
      </c>
      <c r="G439" t="s">
        <v>4</v>
      </c>
      <c r="H439">
        <v>2</v>
      </c>
      <c r="I439">
        <v>1</v>
      </c>
      <c r="J439">
        <v>2004</v>
      </c>
      <c r="K439" t="str">
        <f>IF(Books[[#This Row],[AVERAGE RATING]]&gt;=4,"High",IF(Books[[#This Row],[AVERAGE RATING]]&gt;=3,"Medium","Low"))</f>
        <v>Low</v>
      </c>
      <c r="L439" t="str">
        <f>IF(Books[[#This Row],[AVERAGE RATING]]&gt;10000,"Popular","Average")</f>
        <v>Average</v>
      </c>
      <c r="M439">
        <f>Books[[#This Row],[AVERAGE RATING]]*Books[[#This Row],[RATINGS COUNT]]</f>
        <v>2</v>
      </c>
    </row>
    <row r="440" spans="1:13" x14ac:dyDescent="0.25">
      <c r="A440" t="s">
        <v>1090</v>
      </c>
      <c r="B440" t="s">
        <v>1091</v>
      </c>
      <c r="C440">
        <v>12</v>
      </c>
      <c r="D440" t="s">
        <v>85</v>
      </c>
      <c r="E440" t="s">
        <v>3444</v>
      </c>
      <c r="F440" t="s">
        <v>776</v>
      </c>
      <c r="G440" t="s">
        <v>4</v>
      </c>
      <c r="H440">
        <v>0</v>
      </c>
      <c r="I440">
        <v>0</v>
      </c>
      <c r="J440">
        <v>2022</v>
      </c>
      <c r="K440" t="str">
        <f>IF(Books[[#This Row],[AVERAGE RATING]]&gt;=4,"High",IF(Books[[#This Row],[AVERAGE RATING]]&gt;=3,"Medium","Low"))</f>
        <v>Low</v>
      </c>
      <c r="L440" t="str">
        <f>IF(Books[[#This Row],[AVERAGE RATING]]&gt;10000,"Popular","Average")</f>
        <v>Average</v>
      </c>
      <c r="M440">
        <f>Books[[#This Row],[AVERAGE RATING]]*Books[[#This Row],[RATINGS COUNT]]</f>
        <v>0</v>
      </c>
    </row>
    <row r="441" spans="1:13" x14ac:dyDescent="0.25">
      <c r="A441" t="s">
        <v>1092</v>
      </c>
      <c r="B441" t="s">
        <v>1093</v>
      </c>
      <c r="C441">
        <v>674</v>
      </c>
      <c r="D441" t="s">
        <v>298</v>
      </c>
      <c r="E441" t="s">
        <v>3445</v>
      </c>
      <c r="F441" t="s">
        <v>132</v>
      </c>
      <c r="G441" t="s">
        <v>4</v>
      </c>
      <c r="H441">
        <v>5</v>
      </c>
      <c r="I441">
        <v>1</v>
      </c>
      <c r="J441">
        <v>2021</v>
      </c>
      <c r="K441" t="str">
        <f>IF(Books[[#This Row],[AVERAGE RATING]]&gt;=4,"High",IF(Books[[#This Row],[AVERAGE RATING]]&gt;=3,"Medium","Low"))</f>
        <v>High</v>
      </c>
      <c r="L441" t="str">
        <f>IF(Books[[#This Row],[AVERAGE RATING]]&gt;10000,"Popular","Average")</f>
        <v>Average</v>
      </c>
      <c r="M441">
        <f>Books[[#This Row],[AVERAGE RATING]]*Books[[#This Row],[RATINGS COUNT]]</f>
        <v>5</v>
      </c>
    </row>
    <row r="442" spans="1:13" x14ac:dyDescent="0.25">
      <c r="A442" t="s">
        <v>1094</v>
      </c>
      <c r="B442" t="s">
        <v>1095</v>
      </c>
      <c r="C442">
        <v>34</v>
      </c>
      <c r="D442" t="s">
        <v>207</v>
      </c>
      <c r="E442" t="s">
        <v>3446</v>
      </c>
      <c r="F442" t="s">
        <v>1096</v>
      </c>
      <c r="G442" t="s">
        <v>4</v>
      </c>
      <c r="H442">
        <v>0</v>
      </c>
      <c r="I442">
        <v>0</v>
      </c>
      <c r="J442">
        <v>2021</v>
      </c>
      <c r="K442" t="str">
        <f>IF(Books[[#This Row],[AVERAGE RATING]]&gt;=4,"High",IF(Books[[#This Row],[AVERAGE RATING]]&gt;=3,"Medium","Low"))</f>
        <v>Low</v>
      </c>
      <c r="L442" t="str">
        <f>IF(Books[[#This Row],[AVERAGE RATING]]&gt;10000,"Popular","Average")</f>
        <v>Average</v>
      </c>
      <c r="M442">
        <f>Books[[#This Row],[AVERAGE RATING]]*Books[[#This Row],[RATINGS COUNT]]</f>
        <v>0</v>
      </c>
    </row>
    <row r="443" spans="1:13" x14ac:dyDescent="0.25">
      <c r="A443" t="s">
        <v>1097</v>
      </c>
      <c r="B443" t="s">
        <v>1098</v>
      </c>
      <c r="C443">
        <v>329</v>
      </c>
      <c r="D443" t="s">
        <v>32</v>
      </c>
      <c r="E443" t="s">
        <v>3447</v>
      </c>
      <c r="F443" t="s">
        <v>171</v>
      </c>
      <c r="G443" t="s">
        <v>4</v>
      </c>
      <c r="H443">
        <v>0</v>
      </c>
      <c r="I443">
        <v>0</v>
      </c>
      <c r="J443">
        <v>2016</v>
      </c>
      <c r="K443" t="str">
        <f>IF(Books[[#This Row],[AVERAGE RATING]]&gt;=4,"High",IF(Books[[#This Row],[AVERAGE RATING]]&gt;=3,"Medium","Low"))</f>
        <v>Low</v>
      </c>
      <c r="L443" t="str">
        <f>IF(Books[[#This Row],[AVERAGE RATING]]&gt;10000,"Popular","Average")</f>
        <v>Average</v>
      </c>
      <c r="M443">
        <f>Books[[#This Row],[AVERAGE RATING]]*Books[[#This Row],[RATINGS COUNT]]</f>
        <v>0</v>
      </c>
    </row>
    <row r="444" spans="1:13" x14ac:dyDescent="0.25">
      <c r="A444" t="s">
        <v>1099</v>
      </c>
      <c r="B444" t="s">
        <v>1100</v>
      </c>
      <c r="C444">
        <v>194</v>
      </c>
      <c r="D444" t="s">
        <v>28</v>
      </c>
      <c r="E444" t="s">
        <v>3372</v>
      </c>
      <c r="F444" t="s">
        <v>35</v>
      </c>
      <c r="G444" t="s">
        <v>4</v>
      </c>
      <c r="H444">
        <v>0</v>
      </c>
      <c r="I444">
        <v>0</v>
      </c>
      <c r="J444">
        <v>2012</v>
      </c>
      <c r="K444" t="str">
        <f>IF(Books[[#This Row],[AVERAGE RATING]]&gt;=4,"High",IF(Books[[#This Row],[AVERAGE RATING]]&gt;=3,"Medium","Low"))</f>
        <v>Low</v>
      </c>
      <c r="L444" t="str">
        <f>IF(Books[[#This Row],[AVERAGE RATING]]&gt;10000,"Popular","Average")</f>
        <v>Average</v>
      </c>
      <c r="M444">
        <f>Books[[#This Row],[AVERAGE RATING]]*Books[[#This Row],[RATINGS COUNT]]</f>
        <v>0</v>
      </c>
    </row>
    <row r="445" spans="1:13" x14ac:dyDescent="0.25">
      <c r="A445" t="s">
        <v>1101</v>
      </c>
      <c r="B445" t="s">
        <v>1102</v>
      </c>
      <c r="C445">
        <v>92</v>
      </c>
      <c r="D445" t="s">
        <v>79</v>
      </c>
      <c r="E445" t="s">
        <v>3284</v>
      </c>
      <c r="F445" t="s">
        <v>1103</v>
      </c>
      <c r="G445" t="s">
        <v>4</v>
      </c>
      <c r="H445">
        <v>0</v>
      </c>
      <c r="I445">
        <v>0</v>
      </c>
      <c r="J445">
        <v>1997</v>
      </c>
      <c r="K445" t="str">
        <f>IF(Books[[#This Row],[AVERAGE RATING]]&gt;=4,"High",IF(Books[[#This Row],[AVERAGE RATING]]&gt;=3,"Medium","Low"))</f>
        <v>Low</v>
      </c>
      <c r="L445" t="str">
        <f>IF(Books[[#This Row],[AVERAGE RATING]]&gt;10000,"Popular","Average")</f>
        <v>Average</v>
      </c>
      <c r="M445">
        <f>Books[[#This Row],[AVERAGE RATING]]*Books[[#This Row],[RATINGS COUNT]]</f>
        <v>0</v>
      </c>
    </row>
    <row r="446" spans="1:13" x14ac:dyDescent="0.25">
      <c r="A446" t="s">
        <v>1104</v>
      </c>
      <c r="B446" t="s">
        <v>1105</v>
      </c>
      <c r="C446">
        <v>397</v>
      </c>
      <c r="D446" t="s">
        <v>32</v>
      </c>
      <c r="E446" t="s">
        <v>3234</v>
      </c>
      <c r="F446" t="s">
        <v>132</v>
      </c>
      <c r="G446" t="s">
        <v>4</v>
      </c>
      <c r="H446">
        <v>0</v>
      </c>
      <c r="I446">
        <v>0</v>
      </c>
      <c r="J446">
        <v>2011</v>
      </c>
      <c r="K446" t="str">
        <f>IF(Books[[#This Row],[AVERAGE RATING]]&gt;=4,"High",IF(Books[[#This Row],[AVERAGE RATING]]&gt;=3,"Medium","Low"))</f>
        <v>Low</v>
      </c>
      <c r="L446" t="str">
        <f>IF(Books[[#This Row],[AVERAGE RATING]]&gt;10000,"Popular","Average")</f>
        <v>Average</v>
      </c>
      <c r="M446">
        <f>Books[[#This Row],[AVERAGE RATING]]*Books[[#This Row],[RATINGS COUNT]]</f>
        <v>0</v>
      </c>
    </row>
    <row r="447" spans="1:13" x14ac:dyDescent="0.25">
      <c r="A447" t="s">
        <v>1106</v>
      </c>
      <c r="B447" t="s">
        <v>1107</v>
      </c>
      <c r="C447">
        <v>539</v>
      </c>
      <c r="D447" t="s">
        <v>144</v>
      </c>
      <c r="E447" t="s">
        <v>3448</v>
      </c>
      <c r="F447" t="s">
        <v>60</v>
      </c>
      <c r="G447" t="s">
        <v>4</v>
      </c>
      <c r="H447">
        <v>5</v>
      </c>
      <c r="I447">
        <v>1</v>
      </c>
      <c r="J447">
        <v>2017</v>
      </c>
      <c r="K447" t="str">
        <f>IF(Books[[#This Row],[AVERAGE RATING]]&gt;=4,"High",IF(Books[[#This Row],[AVERAGE RATING]]&gt;=3,"Medium","Low"))</f>
        <v>High</v>
      </c>
      <c r="L447" t="str">
        <f>IF(Books[[#This Row],[AVERAGE RATING]]&gt;10000,"Popular","Average")</f>
        <v>Average</v>
      </c>
      <c r="M447">
        <f>Books[[#This Row],[AVERAGE RATING]]*Books[[#This Row],[RATINGS COUNT]]</f>
        <v>5</v>
      </c>
    </row>
    <row r="448" spans="1:13" x14ac:dyDescent="0.25">
      <c r="A448" t="s">
        <v>1108</v>
      </c>
      <c r="B448" t="s">
        <v>1109</v>
      </c>
      <c r="C448">
        <v>207</v>
      </c>
      <c r="D448" t="s">
        <v>79</v>
      </c>
      <c r="E448" t="s">
        <v>3449</v>
      </c>
      <c r="F448" t="s">
        <v>80</v>
      </c>
      <c r="G448" t="s">
        <v>4</v>
      </c>
      <c r="H448">
        <v>0</v>
      </c>
      <c r="I448">
        <v>0</v>
      </c>
      <c r="J448">
        <v>2018</v>
      </c>
      <c r="K448" t="str">
        <f>IF(Books[[#This Row],[AVERAGE RATING]]&gt;=4,"High",IF(Books[[#This Row],[AVERAGE RATING]]&gt;=3,"Medium","Low"))</f>
        <v>Low</v>
      </c>
      <c r="L448" t="str">
        <f>IF(Books[[#This Row],[AVERAGE RATING]]&gt;10000,"Popular","Average")</f>
        <v>Average</v>
      </c>
      <c r="M448">
        <f>Books[[#This Row],[AVERAGE RATING]]*Books[[#This Row],[RATINGS COUNT]]</f>
        <v>0</v>
      </c>
    </row>
    <row r="449" spans="1:13" x14ac:dyDescent="0.25">
      <c r="A449" t="s">
        <v>1110</v>
      </c>
      <c r="B449" t="s">
        <v>1111</v>
      </c>
      <c r="C449">
        <v>369</v>
      </c>
      <c r="D449" t="s">
        <v>63</v>
      </c>
      <c r="E449" t="s">
        <v>3450</v>
      </c>
      <c r="F449" t="s">
        <v>917</v>
      </c>
      <c r="G449" t="s">
        <v>4</v>
      </c>
      <c r="H449">
        <v>0</v>
      </c>
      <c r="I449">
        <v>0</v>
      </c>
      <c r="J449">
        <v>2013</v>
      </c>
      <c r="K449" t="str">
        <f>IF(Books[[#This Row],[AVERAGE RATING]]&gt;=4,"High",IF(Books[[#This Row],[AVERAGE RATING]]&gt;=3,"Medium","Low"))</f>
        <v>Low</v>
      </c>
      <c r="L449" t="str">
        <f>IF(Books[[#This Row],[AVERAGE RATING]]&gt;10000,"Popular","Average")</f>
        <v>Average</v>
      </c>
      <c r="M449">
        <f>Books[[#This Row],[AVERAGE RATING]]*Books[[#This Row],[RATINGS COUNT]]</f>
        <v>0</v>
      </c>
    </row>
    <row r="450" spans="1:13" x14ac:dyDescent="0.25">
      <c r="A450" t="s">
        <v>1112</v>
      </c>
      <c r="B450" t="s">
        <v>1113</v>
      </c>
      <c r="C450">
        <v>538</v>
      </c>
      <c r="D450" t="s">
        <v>144</v>
      </c>
      <c r="E450" t="s">
        <v>3451</v>
      </c>
      <c r="F450" t="s">
        <v>460</v>
      </c>
      <c r="G450" t="s">
        <v>4</v>
      </c>
      <c r="H450">
        <v>5</v>
      </c>
      <c r="I450">
        <v>1</v>
      </c>
      <c r="J450">
        <v>2007</v>
      </c>
      <c r="K450" t="str">
        <f>IF(Books[[#This Row],[AVERAGE RATING]]&gt;=4,"High",IF(Books[[#This Row],[AVERAGE RATING]]&gt;=3,"Medium","Low"))</f>
        <v>High</v>
      </c>
      <c r="L450" t="str">
        <f>IF(Books[[#This Row],[AVERAGE RATING]]&gt;10000,"Popular","Average")</f>
        <v>Average</v>
      </c>
      <c r="M450">
        <f>Books[[#This Row],[AVERAGE RATING]]*Books[[#This Row],[RATINGS COUNT]]</f>
        <v>5</v>
      </c>
    </row>
    <row r="451" spans="1:13" x14ac:dyDescent="0.25">
      <c r="A451" t="s">
        <v>1114</v>
      </c>
      <c r="B451" t="s">
        <v>1115</v>
      </c>
      <c r="C451">
        <v>51</v>
      </c>
      <c r="D451" t="s">
        <v>79</v>
      </c>
      <c r="E451" t="s">
        <v>3453</v>
      </c>
      <c r="F451" t="s">
        <v>1116</v>
      </c>
      <c r="G451" t="s">
        <v>4</v>
      </c>
      <c r="H451">
        <v>0</v>
      </c>
      <c r="I451">
        <v>0</v>
      </c>
      <c r="J451">
        <v>2012</v>
      </c>
      <c r="K451" t="str">
        <f>IF(Books[[#This Row],[AVERAGE RATING]]&gt;=4,"High",IF(Books[[#This Row],[AVERAGE RATING]]&gt;=3,"Medium","Low"))</f>
        <v>Low</v>
      </c>
      <c r="L451" t="str">
        <f>IF(Books[[#This Row],[AVERAGE RATING]]&gt;10000,"Popular","Average")</f>
        <v>Average</v>
      </c>
      <c r="M451">
        <f>Books[[#This Row],[AVERAGE RATING]]*Books[[#This Row],[RATINGS COUNT]]</f>
        <v>0</v>
      </c>
    </row>
    <row r="452" spans="1:13" x14ac:dyDescent="0.25">
      <c r="A452" t="s">
        <v>1117</v>
      </c>
      <c r="B452" t="s">
        <v>1118</v>
      </c>
      <c r="C452">
        <v>239</v>
      </c>
      <c r="D452" t="s">
        <v>144</v>
      </c>
      <c r="E452" t="s">
        <v>3454</v>
      </c>
      <c r="F452" t="s">
        <v>93</v>
      </c>
      <c r="G452" t="s">
        <v>4</v>
      </c>
      <c r="H452">
        <v>0</v>
      </c>
      <c r="I452">
        <v>0</v>
      </c>
      <c r="J452">
        <v>2018</v>
      </c>
      <c r="K452" t="str">
        <f>IF(Books[[#This Row],[AVERAGE RATING]]&gt;=4,"High",IF(Books[[#This Row],[AVERAGE RATING]]&gt;=3,"Medium","Low"))</f>
        <v>Low</v>
      </c>
      <c r="L452" t="str">
        <f>IF(Books[[#This Row],[AVERAGE RATING]]&gt;10000,"Popular","Average")</f>
        <v>Average</v>
      </c>
      <c r="M452">
        <f>Books[[#This Row],[AVERAGE RATING]]*Books[[#This Row],[RATINGS COUNT]]</f>
        <v>0</v>
      </c>
    </row>
    <row r="453" spans="1:13" x14ac:dyDescent="0.25">
      <c r="A453" t="s">
        <v>1119</v>
      </c>
      <c r="B453" t="s">
        <v>1120</v>
      </c>
      <c r="C453">
        <v>625</v>
      </c>
      <c r="D453" t="s">
        <v>59</v>
      </c>
      <c r="E453" t="s">
        <v>3144</v>
      </c>
      <c r="F453" t="s">
        <v>299</v>
      </c>
      <c r="G453" t="s">
        <v>4</v>
      </c>
      <c r="H453">
        <v>5</v>
      </c>
      <c r="I453">
        <v>2</v>
      </c>
      <c r="J453">
        <v>2008</v>
      </c>
      <c r="K453" t="str">
        <f>IF(Books[[#This Row],[AVERAGE RATING]]&gt;=4,"High",IF(Books[[#This Row],[AVERAGE RATING]]&gt;=3,"Medium","Low"))</f>
        <v>High</v>
      </c>
      <c r="L453" t="str">
        <f>IF(Books[[#This Row],[AVERAGE RATING]]&gt;10000,"Popular","Average")</f>
        <v>Average</v>
      </c>
      <c r="M453">
        <f>Books[[#This Row],[AVERAGE RATING]]*Books[[#This Row],[RATINGS COUNT]]</f>
        <v>10</v>
      </c>
    </row>
    <row r="454" spans="1:13" x14ac:dyDescent="0.25">
      <c r="A454" t="s">
        <v>1121</v>
      </c>
      <c r="B454" t="s">
        <v>1122</v>
      </c>
      <c r="C454">
        <v>220</v>
      </c>
      <c r="D454" t="s">
        <v>32</v>
      </c>
      <c r="E454" t="s">
        <v>3455</v>
      </c>
      <c r="F454" t="s">
        <v>35</v>
      </c>
      <c r="G454" t="s">
        <v>4</v>
      </c>
      <c r="H454">
        <v>0</v>
      </c>
      <c r="I454">
        <v>0</v>
      </c>
      <c r="J454">
        <v>2014</v>
      </c>
      <c r="K454" t="str">
        <f>IF(Books[[#This Row],[AVERAGE RATING]]&gt;=4,"High",IF(Books[[#This Row],[AVERAGE RATING]]&gt;=3,"Medium","Low"))</f>
        <v>Low</v>
      </c>
      <c r="L454" t="str">
        <f>IF(Books[[#This Row],[AVERAGE RATING]]&gt;10000,"Popular","Average")</f>
        <v>Average</v>
      </c>
      <c r="M454">
        <f>Books[[#This Row],[AVERAGE RATING]]*Books[[#This Row],[RATINGS COUNT]]</f>
        <v>0</v>
      </c>
    </row>
    <row r="455" spans="1:13" x14ac:dyDescent="0.25">
      <c r="A455" t="s">
        <v>1123</v>
      </c>
      <c r="B455" t="s">
        <v>1124</v>
      </c>
      <c r="C455">
        <v>1146</v>
      </c>
      <c r="D455" t="s">
        <v>263</v>
      </c>
      <c r="E455" t="s">
        <v>3456</v>
      </c>
      <c r="F455" t="s">
        <v>299</v>
      </c>
      <c r="G455" t="s">
        <v>4</v>
      </c>
      <c r="H455">
        <v>1</v>
      </c>
      <c r="I455">
        <v>1</v>
      </c>
      <c r="J455">
        <v>2003</v>
      </c>
      <c r="K455" t="str">
        <f>IF(Books[[#This Row],[AVERAGE RATING]]&gt;=4,"High",IF(Books[[#This Row],[AVERAGE RATING]]&gt;=3,"Medium","Low"))</f>
        <v>Low</v>
      </c>
      <c r="L455" t="str">
        <f>IF(Books[[#This Row],[AVERAGE RATING]]&gt;10000,"Popular","Average")</f>
        <v>Average</v>
      </c>
      <c r="M455">
        <f>Books[[#This Row],[AVERAGE RATING]]*Books[[#This Row],[RATINGS COUNT]]</f>
        <v>1</v>
      </c>
    </row>
    <row r="456" spans="1:13" x14ac:dyDescent="0.25">
      <c r="A456" t="s">
        <v>1125</v>
      </c>
      <c r="B456" t="s">
        <v>1126</v>
      </c>
      <c r="C456">
        <v>199</v>
      </c>
      <c r="D456" t="s">
        <v>28</v>
      </c>
      <c r="E456" t="s">
        <v>3457</v>
      </c>
      <c r="F456" t="s">
        <v>608</v>
      </c>
      <c r="G456" t="s">
        <v>4</v>
      </c>
      <c r="H456">
        <v>0</v>
      </c>
      <c r="I456">
        <v>0</v>
      </c>
      <c r="J456">
        <v>2006</v>
      </c>
      <c r="K456" t="str">
        <f>IF(Books[[#This Row],[AVERAGE RATING]]&gt;=4,"High",IF(Books[[#This Row],[AVERAGE RATING]]&gt;=3,"Medium","Low"))</f>
        <v>Low</v>
      </c>
      <c r="L456" t="str">
        <f>IF(Books[[#This Row],[AVERAGE RATING]]&gt;10000,"Popular","Average")</f>
        <v>Average</v>
      </c>
      <c r="M456">
        <f>Books[[#This Row],[AVERAGE RATING]]*Books[[#This Row],[RATINGS COUNT]]</f>
        <v>0</v>
      </c>
    </row>
    <row r="457" spans="1:13" x14ac:dyDescent="0.25">
      <c r="A457" t="s">
        <v>1127</v>
      </c>
      <c r="B457" t="s">
        <v>1042</v>
      </c>
      <c r="C457">
        <v>258</v>
      </c>
      <c r="D457" t="s">
        <v>2</v>
      </c>
      <c r="E457" t="s">
        <v>3390</v>
      </c>
      <c r="F457" t="s">
        <v>433</v>
      </c>
      <c r="G457" t="s">
        <v>4</v>
      </c>
      <c r="H457">
        <v>0</v>
      </c>
      <c r="I457">
        <v>0</v>
      </c>
      <c r="J457">
        <v>2021</v>
      </c>
      <c r="K457" t="str">
        <f>IF(Books[[#This Row],[AVERAGE RATING]]&gt;=4,"High",IF(Books[[#This Row],[AVERAGE RATING]]&gt;=3,"Medium","Low"))</f>
        <v>Low</v>
      </c>
      <c r="L457" t="str">
        <f>IF(Books[[#This Row],[AVERAGE RATING]]&gt;10000,"Popular","Average")</f>
        <v>Average</v>
      </c>
      <c r="M457">
        <f>Books[[#This Row],[AVERAGE RATING]]*Books[[#This Row],[RATINGS COUNT]]</f>
        <v>0</v>
      </c>
    </row>
    <row r="458" spans="1:13" x14ac:dyDescent="0.25">
      <c r="A458" t="s">
        <v>1128</v>
      </c>
      <c r="B458" t="s">
        <v>1129</v>
      </c>
      <c r="C458">
        <v>156</v>
      </c>
      <c r="D458" t="s">
        <v>94</v>
      </c>
      <c r="E458" t="s">
        <v>3067</v>
      </c>
      <c r="F458" t="s">
        <v>171</v>
      </c>
      <c r="G458" t="s">
        <v>4</v>
      </c>
      <c r="H458">
        <v>0</v>
      </c>
      <c r="I458">
        <v>0</v>
      </c>
      <c r="J458">
        <v>2003</v>
      </c>
      <c r="K458" t="str">
        <f>IF(Books[[#This Row],[AVERAGE RATING]]&gt;=4,"High",IF(Books[[#This Row],[AVERAGE RATING]]&gt;=3,"Medium","Low"))</f>
        <v>Low</v>
      </c>
      <c r="L458" t="str">
        <f>IF(Books[[#This Row],[AVERAGE RATING]]&gt;10000,"Popular","Average")</f>
        <v>Average</v>
      </c>
      <c r="M458">
        <f>Books[[#This Row],[AVERAGE RATING]]*Books[[#This Row],[RATINGS COUNT]]</f>
        <v>0</v>
      </c>
    </row>
    <row r="459" spans="1:13" x14ac:dyDescent="0.25">
      <c r="A459" t="s">
        <v>1130</v>
      </c>
      <c r="B459" t="s">
        <v>1131</v>
      </c>
      <c r="C459">
        <v>171</v>
      </c>
      <c r="D459" t="s">
        <v>28</v>
      </c>
      <c r="E459" t="s">
        <v>3458</v>
      </c>
      <c r="F459" t="s">
        <v>35</v>
      </c>
      <c r="G459" t="s">
        <v>4</v>
      </c>
      <c r="H459">
        <v>0</v>
      </c>
      <c r="I459">
        <v>0</v>
      </c>
      <c r="J459">
        <v>2016</v>
      </c>
      <c r="K459" t="str">
        <f>IF(Books[[#This Row],[AVERAGE RATING]]&gt;=4,"High",IF(Books[[#This Row],[AVERAGE RATING]]&gt;=3,"Medium","Low"))</f>
        <v>Low</v>
      </c>
      <c r="L459" t="str">
        <f>IF(Books[[#This Row],[AVERAGE RATING]]&gt;10000,"Popular","Average")</f>
        <v>Average</v>
      </c>
      <c r="M459">
        <f>Books[[#This Row],[AVERAGE RATING]]*Books[[#This Row],[RATINGS COUNT]]</f>
        <v>0</v>
      </c>
    </row>
    <row r="460" spans="1:13" x14ac:dyDescent="0.25">
      <c r="A460" t="s">
        <v>1132</v>
      </c>
      <c r="B460" t="s">
        <v>1133</v>
      </c>
      <c r="C460">
        <v>272</v>
      </c>
      <c r="D460" t="s">
        <v>28</v>
      </c>
      <c r="E460" t="s">
        <v>3459</v>
      </c>
      <c r="F460" t="s">
        <v>460</v>
      </c>
      <c r="G460" t="s">
        <v>4</v>
      </c>
      <c r="H460">
        <v>0</v>
      </c>
      <c r="I460">
        <v>0</v>
      </c>
      <c r="J460">
        <v>2011</v>
      </c>
      <c r="K460" t="str">
        <f>IF(Books[[#This Row],[AVERAGE RATING]]&gt;=4,"High",IF(Books[[#This Row],[AVERAGE RATING]]&gt;=3,"Medium","Low"))</f>
        <v>Low</v>
      </c>
      <c r="L460" t="str">
        <f>IF(Books[[#This Row],[AVERAGE RATING]]&gt;10000,"Popular","Average")</f>
        <v>Average</v>
      </c>
      <c r="M460">
        <f>Books[[#This Row],[AVERAGE RATING]]*Books[[#This Row],[RATINGS COUNT]]</f>
        <v>0</v>
      </c>
    </row>
    <row r="461" spans="1:13" x14ac:dyDescent="0.25">
      <c r="A461" t="s">
        <v>1134</v>
      </c>
      <c r="B461" t="s">
        <v>1135</v>
      </c>
      <c r="C461">
        <v>364</v>
      </c>
      <c r="D461" t="s">
        <v>63</v>
      </c>
      <c r="E461" t="s">
        <v>3460</v>
      </c>
      <c r="F461" t="s">
        <v>1136</v>
      </c>
      <c r="G461" t="s">
        <v>4</v>
      </c>
      <c r="H461">
        <v>0</v>
      </c>
      <c r="I461">
        <v>0</v>
      </c>
      <c r="J461">
        <v>2009</v>
      </c>
      <c r="K461" t="str">
        <f>IF(Books[[#This Row],[AVERAGE RATING]]&gt;=4,"High",IF(Books[[#This Row],[AVERAGE RATING]]&gt;=3,"Medium","Low"))</f>
        <v>Low</v>
      </c>
      <c r="L461" t="str">
        <f>IF(Books[[#This Row],[AVERAGE RATING]]&gt;10000,"Popular","Average")</f>
        <v>Average</v>
      </c>
      <c r="M461">
        <f>Books[[#This Row],[AVERAGE RATING]]*Books[[#This Row],[RATINGS COUNT]]</f>
        <v>0</v>
      </c>
    </row>
    <row r="462" spans="1:13" x14ac:dyDescent="0.25">
      <c r="A462" t="s">
        <v>1137</v>
      </c>
      <c r="B462" t="s">
        <v>1138</v>
      </c>
      <c r="C462">
        <v>497</v>
      </c>
      <c r="D462" t="s">
        <v>28</v>
      </c>
      <c r="E462" t="s">
        <v>3461</v>
      </c>
      <c r="F462" t="s">
        <v>119</v>
      </c>
      <c r="G462" t="s">
        <v>4</v>
      </c>
      <c r="H462">
        <v>0</v>
      </c>
      <c r="I462">
        <v>0</v>
      </c>
      <c r="J462">
        <v>2022</v>
      </c>
      <c r="K462" t="str">
        <f>IF(Books[[#This Row],[AVERAGE RATING]]&gt;=4,"High",IF(Books[[#This Row],[AVERAGE RATING]]&gt;=3,"Medium","Low"))</f>
        <v>Low</v>
      </c>
      <c r="L462" t="str">
        <f>IF(Books[[#This Row],[AVERAGE RATING]]&gt;10000,"Popular","Average")</f>
        <v>Average</v>
      </c>
      <c r="M462">
        <f>Books[[#This Row],[AVERAGE RATING]]*Books[[#This Row],[RATINGS COUNT]]</f>
        <v>0</v>
      </c>
    </row>
    <row r="463" spans="1:13" x14ac:dyDescent="0.25">
      <c r="A463" t="s">
        <v>1139</v>
      </c>
      <c r="B463" t="s">
        <v>1140</v>
      </c>
      <c r="C463">
        <v>261</v>
      </c>
      <c r="D463" t="s">
        <v>28</v>
      </c>
      <c r="E463" t="s">
        <v>3462</v>
      </c>
      <c r="F463" t="s">
        <v>1141</v>
      </c>
      <c r="G463" t="s">
        <v>4</v>
      </c>
      <c r="H463">
        <v>0</v>
      </c>
      <c r="I463">
        <v>0</v>
      </c>
      <c r="J463">
        <v>2023</v>
      </c>
      <c r="K463" t="str">
        <f>IF(Books[[#This Row],[AVERAGE RATING]]&gt;=4,"High",IF(Books[[#This Row],[AVERAGE RATING]]&gt;=3,"Medium","Low"))</f>
        <v>Low</v>
      </c>
      <c r="L463" t="str">
        <f>IF(Books[[#This Row],[AVERAGE RATING]]&gt;10000,"Popular","Average")</f>
        <v>Average</v>
      </c>
      <c r="M463">
        <f>Books[[#This Row],[AVERAGE RATING]]*Books[[#This Row],[RATINGS COUNT]]</f>
        <v>0</v>
      </c>
    </row>
    <row r="464" spans="1:13" x14ac:dyDescent="0.25">
      <c r="A464" t="s">
        <v>1142</v>
      </c>
      <c r="B464" t="s">
        <v>1143</v>
      </c>
      <c r="C464">
        <v>249</v>
      </c>
      <c r="D464" t="s">
        <v>180</v>
      </c>
      <c r="E464" t="s">
        <v>3463</v>
      </c>
      <c r="F464" t="s">
        <v>998</v>
      </c>
      <c r="G464" t="s">
        <v>4</v>
      </c>
      <c r="H464">
        <v>0</v>
      </c>
      <c r="I464">
        <v>0</v>
      </c>
      <c r="J464">
        <v>2012</v>
      </c>
      <c r="K464" t="str">
        <f>IF(Books[[#This Row],[AVERAGE RATING]]&gt;=4,"High",IF(Books[[#This Row],[AVERAGE RATING]]&gt;=3,"Medium","Low"))</f>
        <v>Low</v>
      </c>
      <c r="L464" t="str">
        <f>IF(Books[[#This Row],[AVERAGE RATING]]&gt;10000,"Popular","Average")</f>
        <v>Average</v>
      </c>
      <c r="M464">
        <f>Books[[#This Row],[AVERAGE RATING]]*Books[[#This Row],[RATINGS COUNT]]</f>
        <v>0</v>
      </c>
    </row>
    <row r="465" spans="1:13" x14ac:dyDescent="0.25">
      <c r="A465" t="s">
        <v>1144</v>
      </c>
      <c r="B465" t="s">
        <v>1145</v>
      </c>
      <c r="C465">
        <v>297</v>
      </c>
      <c r="D465" t="s">
        <v>144</v>
      </c>
      <c r="E465" t="s">
        <v>3464</v>
      </c>
      <c r="F465" t="s">
        <v>603</v>
      </c>
      <c r="G465" t="s">
        <v>4</v>
      </c>
      <c r="H465">
        <v>0</v>
      </c>
      <c r="I465">
        <v>0</v>
      </c>
      <c r="J465">
        <v>2017</v>
      </c>
      <c r="K465" t="str">
        <f>IF(Books[[#This Row],[AVERAGE RATING]]&gt;=4,"High",IF(Books[[#This Row],[AVERAGE RATING]]&gt;=3,"Medium","Low"))</f>
        <v>Low</v>
      </c>
      <c r="L465" t="str">
        <f>IF(Books[[#This Row],[AVERAGE RATING]]&gt;10000,"Popular","Average")</f>
        <v>Average</v>
      </c>
      <c r="M465">
        <f>Books[[#This Row],[AVERAGE RATING]]*Books[[#This Row],[RATINGS COUNT]]</f>
        <v>0</v>
      </c>
    </row>
    <row r="466" spans="1:13" x14ac:dyDescent="0.25">
      <c r="A466" t="s">
        <v>1146</v>
      </c>
      <c r="B466" t="s">
        <v>1147</v>
      </c>
      <c r="C466">
        <v>309</v>
      </c>
      <c r="D466" t="s">
        <v>144</v>
      </c>
      <c r="E466" t="s">
        <v>3465</v>
      </c>
      <c r="F466" t="s">
        <v>132</v>
      </c>
      <c r="G466" t="s">
        <v>4</v>
      </c>
      <c r="H466">
        <v>0</v>
      </c>
      <c r="I466">
        <v>0</v>
      </c>
      <c r="J466">
        <v>2023</v>
      </c>
      <c r="K466" t="str">
        <f>IF(Books[[#This Row],[AVERAGE RATING]]&gt;=4,"High",IF(Books[[#This Row],[AVERAGE RATING]]&gt;=3,"Medium","Low"))</f>
        <v>Low</v>
      </c>
      <c r="L466" t="str">
        <f>IF(Books[[#This Row],[AVERAGE RATING]]&gt;10000,"Popular","Average")</f>
        <v>Average</v>
      </c>
      <c r="M466">
        <f>Books[[#This Row],[AVERAGE RATING]]*Books[[#This Row],[RATINGS COUNT]]</f>
        <v>0</v>
      </c>
    </row>
    <row r="467" spans="1:13" x14ac:dyDescent="0.25">
      <c r="A467" t="s">
        <v>1148</v>
      </c>
      <c r="B467" t="s">
        <v>1149</v>
      </c>
      <c r="C467">
        <v>212</v>
      </c>
      <c r="D467" t="s">
        <v>32</v>
      </c>
      <c r="E467" t="s">
        <v>3068</v>
      </c>
      <c r="F467" t="s">
        <v>1150</v>
      </c>
      <c r="G467" t="s">
        <v>4</v>
      </c>
      <c r="H467">
        <v>0</v>
      </c>
      <c r="I467">
        <v>0</v>
      </c>
      <c r="J467">
        <v>1988</v>
      </c>
      <c r="K467" t="str">
        <f>IF(Books[[#This Row],[AVERAGE RATING]]&gt;=4,"High",IF(Books[[#This Row],[AVERAGE RATING]]&gt;=3,"Medium","Low"))</f>
        <v>Low</v>
      </c>
      <c r="L467" t="str">
        <f>IF(Books[[#This Row],[AVERAGE RATING]]&gt;10000,"Popular","Average")</f>
        <v>Average</v>
      </c>
      <c r="M467">
        <f>Books[[#This Row],[AVERAGE RATING]]*Books[[#This Row],[RATINGS COUNT]]</f>
        <v>0</v>
      </c>
    </row>
    <row r="468" spans="1:13" x14ac:dyDescent="0.25">
      <c r="A468" t="s">
        <v>1151</v>
      </c>
      <c r="B468" t="s">
        <v>1152</v>
      </c>
      <c r="C468">
        <v>245</v>
      </c>
      <c r="D468" t="s">
        <v>328</v>
      </c>
      <c r="E468" t="s">
        <v>3466</v>
      </c>
      <c r="F468" t="s">
        <v>460</v>
      </c>
      <c r="G468" t="s">
        <v>4</v>
      </c>
      <c r="H468">
        <v>0</v>
      </c>
      <c r="I468">
        <v>0</v>
      </c>
      <c r="J468">
        <v>1992</v>
      </c>
      <c r="K468" t="str">
        <f>IF(Books[[#This Row],[AVERAGE RATING]]&gt;=4,"High",IF(Books[[#This Row],[AVERAGE RATING]]&gt;=3,"Medium","Low"))</f>
        <v>Low</v>
      </c>
      <c r="L468" t="str">
        <f>IF(Books[[#This Row],[AVERAGE RATING]]&gt;10000,"Popular","Average")</f>
        <v>Average</v>
      </c>
      <c r="M468">
        <f>Books[[#This Row],[AVERAGE RATING]]*Books[[#This Row],[RATINGS COUNT]]</f>
        <v>0</v>
      </c>
    </row>
    <row r="469" spans="1:13" x14ac:dyDescent="0.25">
      <c r="A469" t="s">
        <v>1153</v>
      </c>
      <c r="B469" t="s">
        <v>1154</v>
      </c>
      <c r="C469">
        <v>876</v>
      </c>
      <c r="D469" t="s">
        <v>144</v>
      </c>
      <c r="E469" t="s">
        <v>3056</v>
      </c>
      <c r="F469" t="s">
        <v>603</v>
      </c>
      <c r="G469" t="s">
        <v>4</v>
      </c>
      <c r="H469">
        <v>0</v>
      </c>
      <c r="I469">
        <v>0</v>
      </c>
      <c r="J469">
        <v>2007</v>
      </c>
      <c r="K469" t="str">
        <f>IF(Books[[#This Row],[AVERAGE RATING]]&gt;=4,"High",IF(Books[[#This Row],[AVERAGE RATING]]&gt;=3,"Medium","Low"))</f>
        <v>Low</v>
      </c>
      <c r="L469" t="str">
        <f>IF(Books[[#This Row],[AVERAGE RATING]]&gt;10000,"Popular","Average")</f>
        <v>Average</v>
      </c>
      <c r="M469">
        <f>Books[[#This Row],[AVERAGE RATING]]*Books[[#This Row],[RATINGS COUNT]]</f>
        <v>0</v>
      </c>
    </row>
    <row r="470" spans="1:13" x14ac:dyDescent="0.25">
      <c r="A470" t="s">
        <v>1155</v>
      </c>
      <c r="B470" t="s">
        <v>1156</v>
      </c>
      <c r="C470">
        <v>308</v>
      </c>
      <c r="D470" t="s">
        <v>63</v>
      </c>
      <c r="E470" t="s">
        <v>3056</v>
      </c>
      <c r="F470" t="s">
        <v>1157</v>
      </c>
      <c r="G470" t="s">
        <v>4</v>
      </c>
      <c r="H470">
        <v>0</v>
      </c>
      <c r="I470">
        <v>0</v>
      </c>
      <c r="J470">
        <v>2007</v>
      </c>
      <c r="K470" t="str">
        <f>IF(Books[[#This Row],[AVERAGE RATING]]&gt;=4,"High",IF(Books[[#This Row],[AVERAGE RATING]]&gt;=3,"Medium","Low"))</f>
        <v>Low</v>
      </c>
      <c r="L470" t="str">
        <f>IF(Books[[#This Row],[AVERAGE RATING]]&gt;10000,"Popular","Average")</f>
        <v>Average</v>
      </c>
      <c r="M470">
        <f>Books[[#This Row],[AVERAGE RATING]]*Books[[#This Row],[RATINGS COUNT]]</f>
        <v>0</v>
      </c>
    </row>
    <row r="471" spans="1:13" x14ac:dyDescent="0.25">
      <c r="A471" t="s">
        <v>1158</v>
      </c>
      <c r="B471" t="s">
        <v>1159</v>
      </c>
      <c r="C471">
        <v>219</v>
      </c>
      <c r="D471" t="s">
        <v>28</v>
      </c>
      <c r="E471" t="s">
        <v>3467</v>
      </c>
      <c r="F471" t="s">
        <v>299</v>
      </c>
      <c r="G471" t="s">
        <v>4</v>
      </c>
      <c r="H471">
        <v>0</v>
      </c>
      <c r="I471">
        <v>0</v>
      </c>
      <c r="J471">
        <v>2023</v>
      </c>
      <c r="K471" t="str">
        <f>IF(Books[[#This Row],[AVERAGE RATING]]&gt;=4,"High",IF(Books[[#This Row],[AVERAGE RATING]]&gt;=3,"Medium","Low"))</f>
        <v>Low</v>
      </c>
      <c r="L471" t="str">
        <f>IF(Books[[#This Row],[AVERAGE RATING]]&gt;10000,"Popular","Average")</f>
        <v>Average</v>
      </c>
      <c r="M471">
        <f>Books[[#This Row],[AVERAGE RATING]]*Books[[#This Row],[RATINGS COUNT]]</f>
        <v>0</v>
      </c>
    </row>
    <row r="472" spans="1:13" x14ac:dyDescent="0.25">
      <c r="A472" t="s">
        <v>1160</v>
      </c>
      <c r="B472" t="s">
        <v>1161</v>
      </c>
      <c r="C472">
        <v>775</v>
      </c>
      <c r="D472" t="s">
        <v>144</v>
      </c>
      <c r="E472" t="s">
        <v>3468</v>
      </c>
      <c r="F472" t="s">
        <v>603</v>
      </c>
      <c r="G472" t="s">
        <v>4</v>
      </c>
      <c r="H472">
        <v>0</v>
      </c>
      <c r="I472">
        <v>0</v>
      </c>
      <c r="J472">
        <v>2010</v>
      </c>
      <c r="K472" t="str">
        <f>IF(Books[[#This Row],[AVERAGE RATING]]&gt;=4,"High",IF(Books[[#This Row],[AVERAGE RATING]]&gt;=3,"Medium","Low"))</f>
        <v>Low</v>
      </c>
      <c r="L472" t="str">
        <f>IF(Books[[#This Row],[AVERAGE RATING]]&gt;10000,"Popular","Average")</f>
        <v>Average</v>
      </c>
      <c r="M472">
        <f>Books[[#This Row],[AVERAGE RATING]]*Books[[#This Row],[RATINGS COUNT]]</f>
        <v>0</v>
      </c>
    </row>
    <row r="473" spans="1:13" x14ac:dyDescent="0.25">
      <c r="A473" t="s">
        <v>1162</v>
      </c>
      <c r="B473" t="s">
        <v>1163</v>
      </c>
      <c r="C473">
        <v>106</v>
      </c>
      <c r="D473" t="s">
        <v>63</v>
      </c>
      <c r="E473" t="s">
        <v>3055</v>
      </c>
      <c r="F473" t="s">
        <v>1164</v>
      </c>
      <c r="G473" t="s">
        <v>4</v>
      </c>
      <c r="H473">
        <v>5</v>
      </c>
      <c r="I473">
        <v>1</v>
      </c>
      <c r="J473">
        <v>2004</v>
      </c>
      <c r="K473" t="str">
        <f>IF(Books[[#This Row],[AVERAGE RATING]]&gt;=4,"High",IF(Books[[#This Row],[AVERAGE RATING]]&gt;=3,"Medium","Low"))</f>
        <v>High</v>
      </c>
      <c r="L473" t="str">
        <f>IF(Books[[#This Row],[AVERAGE RATING]]&gt;10000,"Popular","Average")</f>
        <v>Average</v>
      </c>
      <c r="M473">
        <f>Books[[#This Row],[AVERAGE RATING]]*Books[[#This Row],[RATINGS COUNT]]</f>
        <v>5</v>
      </c>
    </row>
    <row r="474" spans="1:13" x14ac:dyDescent="0.25">
      <c r="A474" t="s">
        <v>1165</v>
      </c>
      <c r="B474" t="s">
        <v>1166</v>
      </c>
      <c r="C474">
        <v>212</v>
      </c>
      <c r="D474" t="s">
        <v>63</v>
      </c>
      <c r="E474" t="s">
        <v>3153</v>
      </c>
      <c r="F474" t="s">
        <v>46</v>
      </c>
      <c r="G474" t="s">
        <v>4</v>
      </c>
      <c r="H474">
        <v>0</v>
      </c>
      <c r="I474">
        <v>0</v>
      </c>
      <c r="J474">
        <v>2001</v>
      </c>
      <c r="K474" t="str">
        <f>IF(Books[[#This Row],[AVERAGE RATING]]&gt;=4,"High",IF(Books[[#This Row],[AVERAGE RATING]]&gt;=3,"Medium","Low"))</f>
        <v>Low</v>
      </c>
      <c r="L474" t="str">
        <f>IF(Books[[#This Row],[AVERAGE RATING]]&gt;10000,"Popular","Average")</f>
        <v>Average</v>
      </c>
      <c r="M474">
        <f>Books[[#This Row],[AVERAGE RATING]]*Books[[#This Row],[RATINGS COUNT]]</f>
        <v>0</v>
      </c>
    </row>
    <row r="475" spans="1:13" x14ac:dyDescent="0.25">
      <c r="A475" t="s">
        <v>1167</v>
      </c>
      <c r="B475" t="s">
        <v>1168</v>
      </c>
      <c r="C475">
        <v>210</v>
      </c>
      <c r="D475" t="s">
        <v>28</v>
      </c>
      <c r="E475" t="s">
        <v>3469</v>
      </c>
      <c r="F475" t="s">
        <v>1169</v>
      </c>
      <c r="G475" t="s">
        <v>4</v>
      </c>
      <c r="H475">
        <v>0</v>
      </c>
      <c r="I475">
        <v>0</v>
      </c>
      <c r="J475">
        <v>2008</v>
      </c>
      <c r="K475" t="str">
        <f>IF(Books[[#This Row],[AVERAGE RATING]]&gt;=4,"High",IF(Books[[#This Row],[AVERAGE RATING]]&gt;=3,"Medium","Low"))</f>
        <v>Low</v>
      </c>
      <c r="L475" t="str">
        <f>IF(Books[[#This Row],[AVERAGE RATING]]&gt;10000,"Popular","Average")</f>
        <v>Average</v>
      </c>
      <c r="M475">
        <f>Books[[#This Row],[AVERAGE RATING]]*Books[[#This Row],[RATINGS COUNT]]</f>
        <v>0</v>
      </c>
    </row>
    <row r="476" spans="1:13" x14ac:dyDescent="0.25">
      <c r="A476" t="s">
        <v>1170</v>
      </c>
      <c r="B476" t="s">
        <v>1171</v>
      </c>
      <c r="C476">
        <v>160</v>
      </c>
      <c r="D476" t="s">
        <v>63</v>
      </c>
      <c r="E476" t="s">
        <v>3069</v>
      </c>
      <c r="F476" t="s">
        <v>1172</v>
      </c>
      <c r="G476" t="s">
        <v>4</v>
      </c>
      <c r="H476">
        <v>0</v>
      </c>
      <c r="I476">
        <v>0</v>
      </c>
      <c r="J476">
        <v>1971</v>
      </c>
      <c r="K476" t="str">
        <f>IF(Books[[#This Row],[AVERAGE RATING]]&gt;=4,"High",IF(Books[[#This Row],[AVERAGE RATING]]&gt;=3,"Medium","Low"))</f>
        <v>Low</v>
      </c>
      <c r="L476" t="str">
        <f>IF(Books[[#This Row],[AVERAGE RATING]]&gt;10000,"Popular","Average")</f>
        <v>Average</v>
      </c>
      <c r="M476">
        <f>Books[[#This Row],[AVERAGE RATING]]*Books[[#This Row],[RATINGS COUNT]]</f>
        <v>0</v>
      </c>
    </row>
    <row r="477" spans="1:13" x14ac:dyDescent="0.25">
      <c r="A477" t="s">
        <v>1173</v>
      </c>
      <c r="B477" t="s">
        <v>1174</v>
      </c>
      <c r="C477">
        <v>212</v>
      </c>
      <c r="D477" t="s">
        <v>356</v>
      </c>
      <c r="E477" t="s">
        <v>3260</v>
      </c>
      <c r="F477" t="s">
        <v>46</v>
      </c>
      <c r="G477" t="s">
        <v>4</v>
      </c>
      <c r="H477">
        <v>5</v>
      </c>
      <c r="I477">
        <v>1</v>
      </c>
      <c r="J477">
        <v>1982</v>
      </c>
      <c r="K477" t="str">
        <f>IF(Books[[#This Row],[AVERAGE RATING]]&gt;=4,"High",IF(Books[[#This Row],[AVERAGE RATING]]&gt;=3,"Medium","Low"))</f>
        <v>High</v>
      </c>
      <c r="L477" t="str">
        <f>IF(Books[[#This Row],[AVERAGE RATING]]&gt;10000,"Popular","Average")</f>
        <v>Average</v>
      </c>
      <c r="M477">
        <f>Books[[#This Row],[AVERAGE RATING]]*Books[[#This Row],[RATINGS COUNT]]</f>
        <v>5</v>
      </c>
    </row>
    <row r="478" spans="1:13" x14ac:dyDescent="0.25">
      <c r="A478" t="s">
        <v>1175</v>
      </c>
      <c r="B478" t="s">
        <v>1176</v>
      </c>
      <c r="C478">
        <v>122</v>
      </c>
      <c r="D478" t="s">
        <v>63</v>
      </c>
      <c r="E478" t="s">
        <v>3099</v>
      </c>
      <c r="F478" t="s">
        <v>1177</v>
      </c>
      <c r="G478" t="s">
        <v>4</v>
      </c>
      <c r="H478">
        <v>0</v>
      </c>
      <c r="I478">
        <v>0</v>
      </c>
      <c r="J478">
        <v>2005</v>
      </c>
      <c r="K478" t="str">
        <f>IF(Books[[#This Row],[AVERAGE RATING]]&gt;=4,"High",IF(Books[[#This Row],[AVERAGE RATING]]&gt;=3,"Medium","Low"))</f>
        <v>Low</v>
      </c>
      <c r="L478" t="str">
        <f>IF(Books[[#This Row],[AVERAGE RATING]]&gt;10000,"Popular","Average")</f>
        <v>Average</v>
      </c>
      <c r="M478">
        <f>Books[[#This Row],[AVERAGE RATING]]*Books[[#This Row],[RATINGS COUNT]]</f>
        <v>0</v>
      </c>
    </row>
    <row r="479" spans="1:13" x14ac:dyDescent="0.25">
      <c r="A479" t="s">
        <v>1178</v>
      </c>
      <c r="B479" t="s">
        <v>1179</v>
      </c>
      <c r="C479">
        <v>656</v>
      </c>
      <c r="D479" t="s">
        <v>328</v>
      </c>
      <c r="E479" t="s">
        <v>3470</v>
      </c>
      <c r="F479" t="s">
        <v>1180</v>
      </c>
      <c r="G479" t="s">
        <v>4</v>
      </c>
      <c r="H479">
        <v>0</v>
      </c>
      <c r="I479">
        <v>0</v>
      </c>
      <c r="J479">
        <v>2008</v>
      </c>
      <c r="K479" t="str">
        <f>IF(Books[[#This Row],[AVERAGE RATING]]&gt;=4,"High",IF(Books[[#This Row],[AVERAGE RATING]]&gt;=3,"Medium","Low"))</f>
        <v>Low</v>
      </c>
      <c r="L479" t="str">
        <f>IF(Books[[#This Row],[AVERAGE RATING]]&gt;10000,"Popular","Average")</f>
        <v>Average</v>
      </c>
      <c r="M479">
        <f>Books[[#This Row],[AVERAGE RATING]]*Books[[#This Row],[RATINGS COUNT]]</f>
        <v>0</v>
      </c>
    </row>
    <row r="480" spans="1:13" x14ac:dyDescent="0.25">
      <c r="A480" t="s">
        <v>1181</v>
      </c>
      <c r="B480" t="s">
        <v>1182</v>
      </c>
      <c r="C480">
        <v>194</v>
      </c>
      <c r="D480" t="s">
        <v>263</v>
      </c>
      <c r="E480" t="s">
        <v>3471</v>
      </c>
      <c r="F480" t="s">
        <v>1169</v>
      </c>
      <c r="G480" t="s">
        <v>4</v>
      </c>
      <c r="H480">
        <v>0</v>
      </c>
      <c r="I480">
        <v>0</v>
      </c>
      <c r="J480">
        <v>2008</v>
      </c>
      <c r="K480" t="str">
        <f>IF(Books[[#This Row],[AVERAGE RATING]]&gt;=4,"High",IF(Books[[#This Row],[AVERAGE RATING]]&gt;=3,"Medium","Low"))</f>
        <v>Low</v>
      </c>
      <c r="L480" t="str">
        <f>IF(Books[[#This Row],[AVERAGE RATING]]&gt;10000,"Popular","Average")</f>
        <v>Average</v>
      </c>
      <c r="M480">
        <f>Books[[#This Row],[AVERAGE RATING]]*Books[[#This Row],[RATINGS COUNT]]</f>
        <v>0</v>
      </c>
    </row>
    <row r="481" spans="1:13" x14ac:dyDescent="0.25">
      <c r="A481" t="s">
        <v>1183</v>
      </c>
      <c r="B481" t="s">
        <v>1184</v>
      </c>
      <c r="C481">
        <v>126</v>
      </c>
      <c r="D481" t="s">
        <v>28</v>
      </c>
      <c r="E481" t="s">
        <v>3155</v>
      </c>
      <c r="F481" t="s">
        <v>1185</v>
      </c>
      <c r="G481" t="s">
        <v>4</v>
      </c>
      <c r="H481">
        <v>0</v>
      </c>
      <c r="I481">
        <v>0</v>
      </c>
      <c r="J481">
        <v>2006</v>
      </c>
      <c r="K481" t="str">
        <f>IF(Books[[#This Row],[AVERAGE RATING]]&gt;=4,"High",IF(Books[[#This Row],[AVERAGE RATING]]&gt;=3,"Medium","Low"))</f>
        <v>Low</v>
      </c>
      <c r="L481" t="str">
        <f>IF(Books[[#This Row],[AVERAGE RATING]]&gt;10000,"Popular","Average")</f>
        <v>Average</v>
      </c>
      <c r="M481">
        <f>Books[[#This Row],[AVERAGE RATING]]*Books[[#This Row],[RATINGS COUNT]]</f>
        <v>0</v>
      </c>
    </row>
    <row r="482" spans="1:13" x14ac:dyDescent="0.25">
      <c r="A482" t="s">
        <v>1186</v>
      </c>
      <c r="B482" t="s">
        <v>1187</v>
      </c>
      <c r="C482">
        <v>32</v>
      </c>
      <c r="D482" t="s">
        <v>63</v>
      </c>
      <c r="E482" t="s">
        <v>3472</v>
      </c>
      <c r="F482" t="s">
        <v>1187</v>
      </c>
      <c r="G482" t="s">
        <v>4</v>
      </c>
      <c r="H482">
        <v>0</v>
      </c>
      <c r="I482">
        <v>0</v>
      </c>
      <c r="J482">
        <v>2007</v>
      </c>
      <c r="K482" t="str">
        <f>IF(Books[[#This Row],[AVERAGE RATING]]&gt;=4,"High",IF(Books[[#This Row],[AVERAGE RATING]]&gt;=3,"Medium","Low"))</f>
        <v>Low</v>
      </c>
      <c r="L482" t="str">
        <f>IF(Books[[#This Row],[AVERAGE RATING]]&gt;10000,"Popular","Average")</f>
        <v>Average</v>
      </c>
      <c r="M482">
        <f>Books[[#This Row],[AVERAGE RATING]]*Books[[#This Row],[RATINGS COUNT]]</f>
        <v>0</v>
      </c>
    </row>
    <row r="483" spans="1:13" x14ac:dyDescent="0.25">
      <c r="A483" t="s">
        <v>1188</v>
      </c>
      <c r="B483" t="s">
        <v>1189</v>
      </c>
      <c r="C483">
        <v>278</v>
      </c>
      <c r="D483" t="s">
        <v>2</v>
      </c>
      <c r="E483" t="s">
        <v>3116</v>
      </c>
      <c r="F483" t="s">
        <v>67</v>
      </c>
      <c r="G483" t="s">
        <v>4</v>
      </c>
      <c r="H483">
        <v>0</v>
      </c>
      <c r="I483">
        <v>0</v>
      </c>
      <c r="J483">
        <v>2002</v>
      </c>
      <c r="K483" t="str">
        <f>IF(Books[[#This Row],[AVERAGE RATING]]&gt;=4,"High",IF(Books[[#This Row],[AVERAGE RATING]]&gt;=3,"Medium","Low"))</f>
        <v>Low</v>
      </c>
      <c r="L483" t="str">
        <f>IF(Books[[#This Row],[AVERAGE RATING]]&gt;10000,"Popular","Average")</f>
        <v>Average</v>
      </c>
      <c r="M483">
        <f>Books[[#This Row],[AVERAGE RATING]]*Books[[#This Row],[RATINGS COUNT]]</f>
        <v>0</v>
      </c>
    </row>
    <row r="484" spans="1:13" x14ac:dyDescent="0.25">
      <c r="A484" t="s">
        <v>1190</v>
      </c>
      <c r="B484" t="s">
        <v>1191</v>
      </c>
      <c r="C484">
        <v>128</v>
      </c>
      <c r="D484" t="s">
        <v>63</v>
      </c>
      <c r="E484" t="s">
        <v>3473</v>
      </c>
      <c r="F484" t="s">
        <v>299</v>
      </c>
      <c r="G484" t="s">
        <v>4</v>
      </c>
      <c r="H484">
        <v>0</v>
      </c>
      <c r="I484">
        <v>0</v>
      </c>
      <c r="J484">
        <v>1995</v>
      </c>
      <c r="K484" t="str">
        <f>IF(Books[[#This Row],[AVERAGE RATING]]&gt;=4,"High",IF(Books[[#This Row],[AVERAGE RATING]]&gt;=3,"Medium","Low"))</f>
        <v>Low</v>
      </c>
      <c r="L484" t="str">
        <f>IF(Books[[#This Row],[AVERAGE RATING]]&gt;10000,"Popular","Average")</f>
        <v>Average</v>
      </c>
      <c r="M484">
        <f>Books[[#This Row],[AVERAGE RATING]]*Books[[#This Row],[RATINGS COUNT]]</f>
        <v>0</v>
      </c>
    </row>
    <row r="485" spans="1:13" x14ac:dyDescent="0.25">
      <c r="A485" t="s">
        <v>1192</v>
      </c>
      <c r="B485" t="s">
        <v>1193</v>
      </c>
      <c r="C485">
        <v>136</v>
      </c>
      <c r="D485" t="s">
        <v>28</v>
      </c>
      <c r="E485" t="s">
        <v>3055</v>
      </c>
      <c r="F485" t="s">
        <v>1194</v>
      </c>
      <c r="G485" t="s">
        <v>4</v>
      </c>
      <c r="H485">
        <v>0</v>
      </c>
      <c r="I485">
        <v>0</v>
      </c>
      <c r="J485">
        <v>2004</v>
      </c>
      <c r="K485" t="str">
        <f>IF(Books[[#This Row],[AVERAGE RATING]]&gt;=4,"High",IF(Books[[#This Row],[AVERAGE RATING]]&gt;=3,"Medium","Low"))</f>
        <v>Low</v>
      </c>
      <c r="L485" t="str">
        <f>IF(Books[[#This Row],[AVERAGE RATING]]&gt;10000,"Popular","Average")</f>
        <v>Average</v>
      </c>
      <c r="M485">
        <f>Books[[#This Row],[AVERAGE RATING]]*Books[[#This Row],[RATINGS COUNT]]</f>
        <v>0</v>
      </c>
    </row>
    <row r="486" spans="1:13" x14ac:dyDescent="0.25">
      <c r="A486" t="s">
        <v>1195</v>
      </c>
      <c r="B486" t="s">
        <v>1196</v>
      </c>
      <c r="C486">
        <v>306</v>
      </c>
      <c r="D486" t="s">
        <v>63</v>
      </c>
      <c r="E486" t="s">
        <v>3116</v>
      </c>
      <c r="F486" t="s">
        <v>46</v>
      </c>
      <c r="G486" t="s">
        <v>4</v>
      </c>
      <c r="H486">
        <v>0</v>
      </c>
      <c r="I486">
        <v>0</v>
      </c>
      <c r="J486">
        <v>2002</v>
      </c>
      <c r="K486" t="str">
        <f>IF(Books[[#This Row],[AVERAGE RATING]]&gt;=4,"High",IF(Books[[#This Row],[AVERAGE RATING]]&gt;=3,"Medium","Low"))</f>
        <v>Low</v>
      </c>
      <c r="L486" t="str">
        <f>IF(Books[[#This Row],[AVERAGE RATING]]&gt;10000,"Popular","Average")</f>
        <v>Average</v>
      </c>
      <c r="M486">
        <f>Books[[#This Row],[AVERAGE RATING]]*Books[[#This Row],[RATINGS COUNT]]</f>
        <v>0</v>
      </c>
    </row>
    <row r="487" spans="1:13" x14ac:dyDescent="0.25">
      <c r="A487" t="s">
        <v>1197</v>
      </c>
      <c r="B487" t="s">
        <v>1198</v>
      </c>
      <c r="C487">
        <v>128</v>
      </c>
      <c r="D487" t="s">
        <v>59</v>
      </c>
      <c r="E487" t="s">
        <v>3284</v>
      </c>
      <c r="F487" t="s">
        <v>1199</v>
      </c>
      <c r="G487" t="s">
        <v>4</v>
      </c>
      <c r="H487">
        <v>0</v>
      </c>
      <c r="I487">
        <v>0</v>
      </c>
      <c r="J487">
        <v>1997</v>
      </c>
      <c r="K487" t="str">
        <f>IF(Books[[#This Row],[AVERAGE RATING]]&gt;=4,"High",IF(Books[[#This Row],[AVERAGE RATING]]&gt;=3,"Medium","Low"))</f>
        <v>Low</v>
      </c>
      <c r="L487" t="str">
        <f>IF(Books[[#This Row],[AVERAGE RATING]]&gt;10000,"Popular","Average")</f>
        <v>Average</v>
      </c>
      <c r="M487">
        <f>Books[[#This Row],[AVERAGE RATING]]*Books[[#This Row],[RATINGS COUNT]]</f>
        <v>0</v>
      </c>
    </row>
    <row r="488" spans="1:13" x14ac:dyDescent="0.25">
      <c r="A488" t="s">
        <v>1201</v>
      </c>
      <c r="B488" t="s">
        <v>1202</v>
      </c>
      <c r="C488">
        <v>269</v>
      </c>
      <c r="D488" t="s">
        <v>11</v>
      </c>
      <c r="E488" t="s">
        <v>3475</v>
      </c>
      <c r="F488" t="s">
        <v>1203</v>
      </c>
      <c r="G488" t="s">
        <v>4</v>
      </c>
      <c r="H488">
        <v>4.5</v>
      </c>
      <c r="I488">
        <v>2</v>
      </c>
      <c r="J488">
        <v>2000</v>
      </c>
      <c r="K488" t="str">
        <f>IF(Books[[#This Row],[AVERAGE RATING]]&gt;=4,"High",IF(Books[[#This Row],[AVERAGE RATING]]&gt;=3,"Medium","Low"))</f>
        <v>High</v>
      </c>
      <c r="L488" t="str">
        <f>IF(Books[[#This Row],[AVERAGE RATING]]&gt;10000,"Popular","Average")</f>
        <v>Average</v>
      </c>
      <c r="M488">
        <f>Books[[#This Row],[AVERAGE RATING]]*Books[[#This Row],[RATINGS COUNT]]</f>
        <v>9</v>
      </c>
    </row>
    <row r="489" spans="1:13" x14ac:dyDescent="0.25">
      <c r="A489" t="s">
        <v>1204</v>
      </c>
      <c r="B489" t="s">
        <v>1205</v>
      </c>
      <c r="C489">
        <v>116</v>
      </c>
      <c r="D489" t="s">
        <v>32</v>
      </c>
      <c r="E489" t="s">
        <v>3476</v>
      </c>
      <c r="F489" t="s">
        <v>1027</v>
      </c>
      <c r="G489" t="s">
        <v>4</v>
      </c>
      <c r="H489">
        <v>0</v>
      </c>
      <c r="I489">
        <v>0</v>
      </c>
      <c r="J489">
        <v>2008</v>
      </c>
      <c r="K489" t="str">
        <f>IF(Books[[#This Row],[AVERAGE RATING]]&gt;=4,"High",IF(Books[[#This Row],[AVERAGE RATING]]&gt;=3,"Medium","Low"))</f>
        <v>Low</v>
      </c>
      <c r="L489" t="str">
        <f>IF(Books[[#This Row],[AVERAGE RATING]]&gt;10000,"Popular","Average")</f>
        <v>Average</v>
      </c>
      <c r="M489">
        <f>Books[[#This Row],[AVERAGE RATING]]*Books[[#This Row],[RATINGS COUNT]]</f>
        <v>0</v>
      </c>
    </row>
    <row r="490" spans="1:13" x14ac:dyDescent="0.25">
      <c r="A490" t="s">
        <v>1206</v>
      </c>
      <c r="B490" t="s">
        <v>1207</v>
      </c>
      <c r="C490">
        <v>339</v>
      </c>
      <c r="D490" t="s">
        <v>180</v>
      </c>
      <c r="E490" t="s">
        <v>3477</v>
      </c>
      <c r="F490" t="s">
        <v>1208</v>
      </c>
      <c r="G490" t="s">
        <v>4</v>
      </c>
      <c r="H490">
        <v>0</v>
      </c>
      <c r="I490">
        <v>0</v>
      </c>
      <c r="J490">
        <v>2024</v>
      </c>
      <c r="K490" t="str">
        <f>IF(Books[[#This Row],[AVERAGE RATING]]&gt;=4,"High",IF(Books[[#This Row],[AVERAGE RATING]]&gt;=3,"Medium","Low"))</f>
        <v>Low</v>
      </c>
      <c r="L490" t="str">
        <f>IF(Books[[#This Row],[AVERAGE RATING]]&gt;10000,"Popular","Average")</f>
        <v>Average</v>
      </c>
      <c r="M490">
        <f>Books[[#This Row],[AVERAGE RATING]]*Books[[#This Row],[RATINGS COUNT]]</f>
        <v>0</v>
      </c>
    </row>
    <row r="491" spans="1:13" x14ac:dyDescent="0.25">
      <c r="A491" t="s">
        <v>1209</v>
      </c>
      <c r="B491" t="s">
        <v>1210</v>
      </c>
      <c r="C491">
        <v>276</v>
      </c>
      <c r="D491" t="s">
        <v>328</v>
      </c>
      <c r="E491" t="s">
        <v>3478</v>
      </c>
      <c r="F491" t="s">
        <v>119</v>
      </c>
      <c r="G491" t="s">
        <v>4</v>
      </c>
      <c r="H491">
        <v>0</v>
      </c>
      <c r="I491">
        <v>0</v>
      </c>
      <c r="J491">
        <v>2023</v>
      </c>
      <c r="K491" t="str">
        <f>IF(Books[[#This Row],[AVERAGE RATING]]&gt;=4,"High",IF(Books[[#This Row],[AVERAGE RATING]]&gt;=3,"Medium","Low"))</f>
        <v>Low</v>
      </c>
      <c r="L491" t="str">
        <f>IF(Books[[#This Row],[AVERAGE RATING]]&gt;10000,"Popular","Average")</f>
        <v>Average</v>
      </c>
      <c r="M491">
        <f>Books[[#This Row],[AVERAGE RATING]]*Books[[#This Row],[RATINGS COUNT]]</f>
        <v>0</v>
      </c>
    </row>
    <row r="492" spans="1:13" x14ac:dyDescent="0.25">
      <c r="A492" t="s">
        <v>1211</v>
      </c>
      <c r="B492" t="s">
        <v>1212</v>
      </c>
      <c r="C492">
        <v>385</v>
      </c>
      <c r="D492" t="s">
        <v>144</v>
      </c>
      <c r="E492" t="s">
        <v>3479</v>
      </c>
      <c r="F492" t="s">
        <v>1213</v>
      </c>
      <c r="G492" t="s">
        <v>4</v>
      </c>
      <c r="H492">
        <v>0</v>
      </c>
      <c r="I492">
        <v>0</v>
      </c>
      <c r="J492">
        <v>2024</v>
      </c>
      <c r="K492" t="str">
        <f>IF(Books[[#This Row],[AVERAGE RATING]]&gt;=4,"High",IF(Books[[#This Row],[AVERAGE RATING]]&gt;=3,"Medium","Low"))</f>
        <v>Low</v>
      </c>
      <c r="L492" t="str">
        <f>IF(Books[[#This Row],[AVERAGE RATING]]&gt;10000,"Popular","Average")</f>
        <v>Average</v>
      </c>
      <c r="M492">
        <f>Books[[#This Row],[AVERAGE RATING]]*Books[[#This Row],[RATINGS COUNT]]</f>
        <v>0</v>
      </c>
    </row>
    <row r="493" spans="1:13" x14ac:dyDescent="0.25">
      <c r="A493" t="s">
        <v>1214</v>
      </c>
      <c r="B493" t="s">
        <v>1215</v>
      </c>
      <c r="C493">
        <v>195</v>
      </c>
      <c r="D493" t="s">
        <v>79</v>
      </c>
      <c r="E493" t="s">
        <v>3480</v>
      </c>
      <c r="F493" t="s">
        <v>80</v>
      </c>
      <c r="G493" t="s">
        <v>4</v>
      </c>
      <c r="H493">
        <v>0</v>
      </c>
      <c r="I493">
        <v>0</v>
      </c>
      <c r="J493">
        <v>2020</v>
      </c>
      <c r="K493" t="str">
        <f>IF(Books[[#This Row],[AVERAGE RATING]]&gt;=4,"High",IF(Books[[#This Row],[AVERAGE RATING]]&gt;=3,"Medium","Low"))</f>
        <v>Low</v>
      </c>
      <c r="L493" t="str">
        <f>IF(Books[[#This Row],[AVERAGE RATING]]&gt;10000,"Popular","Average")</f>
        <v>Average</v>
      </c>
      <c r="M493">
        <f>Books[[#This Row],[AVERAGE RATING]]*Books[[#This Row],[RATINGS COUNT]]</f>
        <v>0</v>
      </c>
    </row>
    <row r="494" spans="1:13" x14ac:dyDescent="0.25">
      <c r="A494" t="s">
        <v>1216</v>
      </c>
      <c r="B494" t="s">
        <v>1217</v>
      </c>
      <c r="C494">
        <v>336</v>
      </c>
      <c r="D494" t="s">
        <v>597</v>
      </c>
      <c r="E494" t="s">
        <v>3481</v>
      </c>
      <c r="F494" t="s">
        <v>35</v>
      </c>
      <c r="G494" t="s">
        <v>4</v>
      </c>
      <c r="H494">
        <v>0</v>
      </c>
      <c r="I494">
        <v>0</v>
      </c>
      <c r="J494">
        <v>2006</v>
      </c>
      <c r="K494" t="str">
        <f>IF(Books[[#This Row],[AVERAGE RATING]]&gt;=4,"High",IF(Books[[#This Row],[AVERAGE RATING]]&gt;=3,"Medium","Low"))</f>
        <v>Low</v>
      </c>
      <c r="L494" t="str">
        <f>IF(Books[[#This Row],[AVERAGE RATING]]&gt;10000,"Popular","Average")</f>
        <v>Average</v>
      </c>
      <c r="M494">
        <f>Books[[#This Row],[AVERAGE RATING]]*Books[[#This Row],[RATINGS COUNT]]</f>
        <v>0</v>
      </c>
    </row>
    <row r="495" spans="1:13" x14ac:dyDescent="0.25">
      <c r="A495" t="s">
        <v>1218</v>
      </c>
      <c r="B495" t="s">
        <v>1219</v>
      </c>
      <c r="C495">
        <v>425</v>
      </c>
      <c r="D495" t="s">
        <v>597</v>
      </c>
      <c r="E495" t="s">
        <v>3482</v>
      </c>
      <c r="F495" t="s">
        <v>35</v>
      </c>
      <c r="G495" t="s">
        <v>4</v>
      </c>
      <c r="H495">
        <v>0</v>
      </c>
      <c r="I495">
        <v>0</v>
      </c>
      <c r="J495">
        <v>2006</v>
      </c>
      <c r="K495" t="str">
        <f>IF(Books[[#This Row],[AVERAGE RATING]]&gt;=4,"High",IF(Books[[#This Row],[AVERAGE RATING]]&gt;=3,"Medium","Low"))</f>
        <v>Low</v>
      </c>
      <c r="L495" t="str">
        <f>IF(Books[[#This Row],[AVERAGE RATING]]&gt;10000,"Popular","Average")</f>
        <v>Average</v>
      </c>
      <c r="M495">
        <f>Books[[#This Row],[AVERAGE RATING]]*Books[[#This Row],[RATINGS COUNT]]</f>
        <v>0</v>
      </c>
    </row>
    <row r="496" spans="1:13" x14ac:dyDescent="0.25">
      <c r="A496" t="s">
        <v>1220</v>
      </c>
      <c r="B496" t="s">
        <v>1221</v>
      </c>
      <c r="C496">
        <v>498</v>
      </c>
      <c r="D496" t="s">
        <v>328</v>
      </c>
      <c r="E496" t="s">
        <v>3483</v>
      </c>
      <c r="F496" t="s">
        <v>1222</v>
      </c>
      <c r="G496" t="s">
        <v>4</v>
      </c>
      <c r="H496">
        <v>0</v>
      </c>
      <c r="I496">
        <v>0</v>
      </c>
      <c r="J496">
        <v>2012</v>
      </c>
      <c r="K496" t="str">
        <f>IF(Books[[#This Row],[AVERAGE RATING]]&gt;=4,"High",IF(Books[[#This Row],[AVERAGE RATING]]&gt;=3,"Medium","Low"))</f>
        <v>Low</v>
      </c>
      <c r="L496" t="str">
        <f>IF(Books[[#This Row],[AVERAGE RATING]]&gt;10000,"Popular","Average")</f>
        <v>Average</v>
      </c>
      <c r="M496">
        <f>Books[[#This Row],[AVERAGE RATING]]*Books[[#This Row],[RATINGS COUNT]]</f>
        <v>0</v>
      </c>
    </row>
    <row r="497" spans="1:13" x14ac:dyDescent="0.25">
      <c r="A497" t="s">
        <v>1223</v>
      </c>
      <c r="B497" t="s">
        <v>1224</v>
      </c>
      <c r="C497">
        <v>569</v>
      </c>
      <c r="D497" t="s">
        <v>420</v>
      </c>
      <c r="E497" t="s">
        <v>3484</v>
      </c>
      <c r="F497" t="s">
        <v>460</v>
      </c>
      <c r="G497" t="s">
        <v>4</v>
      </c>
      <c r="H497">
        <v>5</v>
      </c>
      <c r="I497">
        <v>1</v>
      </c>
      <c r="J497">
        <v>2010</v>
      </c>
      <c r="K497" t="str">
        <f>IF(Books[[#This Row],[AVERAGE RATING]]&gt;=4,"High",IF(Books[[#This Row],[AVERAGE RATING]]&gt;=3,"Medium","Low"))</f>
        <v>High</v>
      </c>
      <c r="L497" t="str">
        <f>IF(Books[[#This Row],[AVERAGE RATING]]&gt;10000,"Popular","Average")</f>
        <v>Average</v>
      </c>
      <c r="M497">
        <f>Books[[#This Row],[AVERAGE RATING]]*Books[[#This Row],[RATINGS COUNT]]</f>
        <v>5</v>
      </c>
    </row>
    <row r="498" spans="1:13" x14ac:dyDescent="0.25">
      <c r="A498" t="s">
        <v>1225</v>
      </c>
      <c r="B498" t="s">
        <v>1226</v>
      </c>
      <c r="C498">
        <v>386</v>
      </c>
      <c r="D498" t="s">
        <v>263</v>
      </c>
      <c r="E498" t="s">
        <v>3373</v>
      </c>
      <c r="F498" t="s">
        <v>39</v>
      </c>
      <c r="G498" t="s">
        <v>4</v>
      </c>
      <c r="H498">
        <v>0</v>
      </c>
      <c r="I498">
        <v>0</v>
      </c>
      <c r="J498">
        <v>1998</v>
      </c>
      <c r="K498" t="str">
        <f>IF(Books[[#This Row],[AVERAGE RATING]]&gt;=4,"High",IF(Books[[#This Row],[AVERAGE RATING]]&gt;=3,"Medium","Low"))</f>
        <v>Low</v>
      </c>
      <c r="L498" t="str">
        <f>IF(Books[[#This Row],[AVERAGE RATING]]&gt;10000,"Popular","Average")</f>
        <v>Average</v>
      </c>
      <c r="M498">
        <f>Books[[#This Row],[AVERAGE RATING]]*Books[[#This Row],[RATINGS COUNT]]</f>
        <v>0</v>
      </c>
    </row>
    <row r="499" spans="1:13" x14ac:dyDescent="0.25">
      <c r="A499" t="s">
        <v>1227</v>
      </c>
      <c r="B499" t="s">
        <v>1228</v>
      </c>
      <c r="C499">
        <v>336</v>
      </c>
      <c r="D499" t="s">
        <v>17</v>
      </c>
      <c r="E499" t="s">
        <v>3485</v>
      </c>
      <c r="F499" t="s">
        <v>1229</v>
      </c>
      <c r="G499" t="s">
        <v>4</v>
      </c>
      <c r="H499">
        <v>0</v>
      </c>
      <c r="I499">
        <v>0</v>
      </c>
      <c r="J499">
        <v>2019</v>
      </c>
      <c r="K499" t="str">
        <f>IF(Books[[#This Row],[AVERAGE RATING]]&gt;=4,"High",IF(Books[[#This Row],[AVERAGE RATING]]&gt;=3,"Medium","Low"))</f>
        <v>Low</v>
      </c>
      <c r="L499" t="str">
        <f>IF(Books[[#This Row],[AVERAGE RATING]]&gt;10000,"Popular","Average")</f>
        <v>Average</v>
      </c>
      <c r="M499">
        <f>Books[[#This Row],[AVERAGE RATING]]*Books[[#This Row],[RATINGS COUNT]]</f>
        <v>0</v>
      </c>
    </row>
    <row r="500" spans="1:13" x14ac:dyDescent="0.25">
      <c r="A500" t="s">
        <v>1230</v>
      </c>
      <c r="B500" t="s">
        <v>1231</v>
      </c>
      <c r="C500">
        <v>372</v>
      </c>
      <c r="D500" t="s">
        <v>298</v>
      </c>
      <c r="E500" t="s">
        <v>3067</v>
      </c>
      <c r="F500" t="s">
        <v>264</v>
      </c>
      <c r="G500" t="s">
        <v>4</v>
      </c>
      <c r="H500">
        <v>0</v>
      </c>
      <c r="I500">
        <v>0</v>
      </c>
      <c r="J500">
        <v>2003</v>
      </c>
      <c r="K500" t="str">
        <f>IF(Books[[#This Row],[AVERAGE RATING]]&gt;=4,"High",IF(Books[[#This Row],[AVERAGE RATING]]&gt;=3,"Medium","Low"))</f>
        <v>Low</v>
      </c>
      <c r="L500" t="str">
        <f>IF(Books[[#This Row],[AVERAGE RATING]]&gt;10000,"Popular","Average")</f>
        <v>Average</v>
      </c>
      <c r="M500">
        <f>Books[[#This Row],[AVERAGE RATING]]*Books[[#This Row],[RATINGS COUNT]]</f>
        <v>0</v>
      </c>
    </row>
    <row r="501" spans="1:13" x14ac:dyDescent="0.25">
      <c r="A501" t="s">
        <v>1232</v>
      </c>
      <c r="B501" t="s">
        <v>1233</v>
      </c>
      <c r="C501">
        <v>272</v>
      </c>
      <c r="D501" t="s">
        <v>144</v>
      </c>
      <c r="E501" t="s">
        <v>3486</v>
      </c>
      <c r="F501" t="s">
        <v>460</v>
      </c>
      <c r="G501" t="s">
        <v>4</v>
      </c>
      <c r="H501">
        <v>0</v>
      </c>
      <c r="I501">
        <v>0</v>
      </c>
      <c r="J501">
        <v>2012</v>
      </c>
      <c r="K501" t="str">
        <f>IF(Books[[#This Row],[AVERAGE RATING]]&gt;=4,"High",IF(Books[[#This Row],[AVERAGE RATING]]&gt;=3,"Medium","Low"))</f>
        <v>Low</v>
      </c>
      <c r="L501" t="str">
        <f>IF(Books[[#This Row],[AVERAGE RATING]]&gt;10000,"Popular","Average")</f>
        <v>Average</v>
      </c>
      <c r="M501">
        <f>Books[[#This Row],[AVERAGE RATING]]*Books[[#This Row],[RATINGS COUNT]]</f>
        <v>0</v>
      </c>
    </row>
    <row r="502" spans="1:13" x14ac:dyDescent="0.25">
      <c r="A502" t="s">
        <v>1234</v>
      </c>
      <c r="B502" t="s">
        <v>1235</v>
      </c>
      <c r="C502">
        <v>92</v>
      </c>
      <c r="D502" t="s">
        <v>63</v>
      </c>
      <c r="E502" t="s">
        <v>3269</v>
      </c>
      <c r="F502" t="s">
        <v>791</v>
      </c>
      <c r="G502" t="s">
        <v>4</v>
      </c>
      <c r="H502">
        <v>0</v>
      </c>
      <c r="I502">
        <v>0</v>
      </c>
      <c r="J502">
        <v>2008</v>
      </c>
      <c r="K502" t="str">
        <f>IF(Books[[#This Row],[AVERAGE RATING]]&gt;=4,"High",IF(Books[[#This Row],[AVERAGE RATING]]&gt;=3,"Medium","Low"))</f>
        <v>Low</v>
      </c>
      <c r="L502" t="str">
        <f>IF(Books[[#This Row],[AVERAGE RATING]]&gt;10000,"Popular","Average")</f>
        <v>Average</v>
      </c>
      <c r="M502">
        <f>Books[[#This Row],[AVERAGE RATING]]*Books[[#This Row],[RATINGS COUNT]]</f>
        <v>0</v>
      </c>
    </row>
    <row r="503" spans="1:13" x14ac:dyDescent="0.25">
      <c r="A503" t="s">
        <v>1236</v>
      </c>
      <c r="B503" t="s">
        <v>1237</v>
      </c>
      <c r="C503">
        <v>210</v>
      </c>
      <c r="D503" t="s">
        <v>328</v>
      </c>
      <c r="E503" t="s">
        <v>3487</v>
      </c>
      <c r="F503" t="s">
        <v>42</v>
      </c>
      <c r="G503" t="s">
        <v>4</v>
      </c>
      <c r="H503">
        <v>0</v>
      </c>
      <c r="I503">
        <v>0</v>
      </c>
      <c r="J503">
        <v>2014</v>
      </c>
      <c r="K503" t="str">
        <f>IF(Books[[#This Row],[AVERAGE RATING]]&gt;=4,"High",IF(Books[[#This Row],[AVERAGE RATING]]&gt;=3,"Medium","Low"))</f>
        <v>Low</v>
      </c>
      <c r="L503" t="str">
        <f>IF(Books[[#This Row],[AVERAGE RATING]]&gt;10000,"Popular","Average")</f>
        <v>Average</v>
      </c>
      <c r="M503">
        <f>Books[[#This Row],[AVERAGE RATING]]*Books[[#This Row],[RATINGS COUNT]]</f>
        <v>0</v>
      </c>
    </row>
    <row r="504" spans="1:13" x14ac:dyDescent="0.25">
      <c r="A504" t="s">
        <v>1238</v>
      </c>
      <c r="B504" t="s">
        <v>1239</v>
      </c>
      <c r="C504">
        <v>516</v>
      </c>
      <c r="D504" t="s">
        <v>32</v>
      </c>
      <c r="E504" t="s">
        <v>3488</v>
      </c>
      <c r="F504" t="s">
        <v>39</v>
      </c>
      <c r="G504" t="s">
        <v>4</v>
      </c>
      <c r="H504">
        <v>0</v>
      </c>
      <c r="I504">
        <v>0</v>
      </c>
      <c r="J504">
        <v>2010</v>
      </c>
      <c r="K504" t="str">
        <f>IF(Books[[#This Row],[AVERAGE RATING]]&gt;=4,"High",IF(Books[[#This Row],[AVERAGE RATING]]&gt;=3,"Medium","Low"))</f>
        <v>Low</v>
      </c>
      <c r="L504" t="str">
        <f>IF(Books[[#This Row],[AVERAGE RATING]]&gt;10000,"Popular","Average")</f>
        <v>Average</v>
      </c>
      <c r="M504">
        <f>Books[[#This Row],[AVERAGE RATING]]*Books[[#This Row],[RATINGS COUNT]]</f>
        <v>0</v>
      </c>
    </row>
    <row r="505" spans="1:13" x14ac:dyDescent="0.25">
      <c r="A505" t="s">
        <v>1240</v>
      </c>
      <c r="B505" t="s">
        <v>1241</v>
      </c>
      <c r="C505">
        <v>203</v>
      </c>
      <c r="D505" t="s">
        <v>32</v>
      </c>
      <c r="E505" t="s">
        <v>3489</v>
      </c>
      <c r="F505" t="s">
        <v>334</v>
      </c>
      <c r="G505" t="s">
        <v>4</v>
      </c>
      <c r="H505">
        <v>0</v>
      </c>
      <c r="I505">
        <v>0</v>
      </c>
      <c r="J505">
        <v>2020</v>
      </c>
      <c r="K505" t="str">
        <f>IF(Books[[#This Row],[AVERAGE RATING]]&gt;=4,"High",IF(Books[[#This Row],[AVERAGE RATING]]&gt;=3,"Medium","Low"))</f>
        <v>Low</v>
      </c>
      <c r="L505" t="str">
        <f>IF(Books[[#This Row],[AVERAGE RATING]]&gt;10000,"Popular","Average")</f>
        <v>Average</v>
      </c>
      <c r="M505">
        <f>Books[[#This Row],[AVERAGE RATING]]*Books[[#This Row],[RATINGS COUNT]]</f>
        <v>0</v>
      </c>
    </row>
    <row r="506" spans="1:13" x14ac:dyDescent="0.25">
      <c r="A506" t="s">
        <v>1242</v>
      </c>
      <c r="B506" t="s">
        <v>1243</v>
      </c>
      <c r="C506">
        <v>637</v>
      </c>
      <c r="D506" t="s">
        <v>144</v>
      </c>
      <c r="E506" t="s">
        <v>3490</v>
      </c>
      <c r="F506" t="s">
        <v>35</v>
      </c>
      <c r="G506" t="s">
        <v>4</v>
      </c>
      <c r="H506">
        <v>0</v>
      </c>
      <c r="I506">
        <v>0</v>
      </c>
      <c r="J506">
        <v>2013</v>
      </c>
      <c r="K506" t="str">
        <f>IF(Books[[#This Row],[AVERAGE RATING]]&gt;=4,"High",IF(Books[[#This Row],[AVERAGE RATING]]&gt;=3,"Medium","Low"))</f>
        <v>Low</v>
      </c>
      <c r="L506" t="str">
        <f>IF(Books[[#This Row],[AVERAGE RATING]]&gt;10000,"Popular","Average")</f>
        <v>Average</v>
      </c>
      <c r="M506">
        <f>Books[[#This Row],[AVERAGE RATING]]*Books[[#This Row],[RATINGS COUNT]]</f>
        <v>0</v>
      </c>
    </row>
    <row r="507" spans="1:13" x14ac:dyDescent="0.25">
      <c r="A507" t="s">
        <v>1244</v>
      </c>
      <c r="B507" t="s">
        <v>1245</v>
      </c>
      <c r="C507">
        <v>216</v>
      </c>
      <c r="D507" t="s">
        <v>38</v>
      </c>
      <c r="E507" t="s">
        <v>3491</v>
      </c>
      <c r="F507" t="s">
        <v>1213</v>
      </c>
      <c r="G507" t="s">
        <v>4</v>
      </c>
      <c r="H507">
        <v>0</v>
      </c>
      <c r="I507">
        <v>0</v>
      </c>
      <c r="J507">
        <v>2012</v>
      </c>
      <c r="K507" t="str">
        <f>IF(Books[[#This Row],[AVERAGE RATING]]&gt;=4,"High",IF(Books[[#This Row],[AVERAGE RATING]]&gt;=3,"Medium","Low"))</f>
        <v>Low</v>
      </c>
      <c r="L507" t="str">
        <f>IF(Books[[#This Row],[AVERAGE RATING]]&gt;10000,"Popular","Average")</f>
        <v>Average</v>
      </c>
      <c r="M507">
        <f>Books[[#This Row],[AVERAGE RATING]]*Books[[#This Row],[RATINGS COUNT]]</f>
        <v>0</v>
      </c>
    </row>
    <row r="508" spans="1:13" x14ac:dyDescent="0.25">
      <c r="A508" t="s">
        <v>1246</v>
      </c>
      <c r="B508" t="s">
        <v>1247</v>
      </c>
      <c r="C508">
        <v>351</v>
      </c>
      <c r="D508" t="s">
        <v>28</v>
      </c>
      <c r="E508" t="s">
        <v>3492</v>
      </c>
      <c r="F508" t="s">
        <v>1248</v>
      </c>
      <c r="G508" t="s">
        <v>4</v>
      </c>
      <c r="H508">
        <v>4</v>
      </c>
      <c r="I508">
        <v>1</v>
      </c>
      <c r="J508">
        <v>2010</v>
      </c>
      <c r="K508" t="str">
        <f>IF(Books[[#This Row],[AVERAGE RATING]]&gt;=4,"High",IF(Books[[#This Row],[AVERAGE RATING]]&gt;=3,"Medium","Low"))</f>
        <v>High</v>
      </c>
      <c r="L508" t="str">
        <f>IF(Books[[#This Row],[AVERAGE RATING]]&gt;10000,"Popular","Average")</f>
        <v>Average</v>
      </c>
      <c r="M508">
        <f>Books[[#This Row],[AVERAGE RATING]]*Books[[#This Row],[RATINGS COUNT]]</f>
        <v>4</v>
      </c>
    </row>
    <row r="509" spans="1:13" x14ac:dyDescent="0.25">
      <c r="A509" t="s">
        <v>1249</v>
      </c>
      <c r="B509" t="s">
        <v>1250</v>
      </c>
      <c r="C509">
        <v>396</v>
      </c>
      <c r="D509" t="s">
        <v>1251</v>
      </c>
      <c r="E509" t="s">
        <v>3287</v>
      </c>
      <c r="F509" t="s">
        <v>264</v>
      </c>
      <c r="G509" t="s">
        <v>4</v>
      </c>
      <c r="H509">
        <v>0</v>
      </c>
      <c r="I509">
        <v>0</v>
      </c>
      <c r="J509">
        <v>2010</v>
      </c>
      <c r="K509" t="str">
        <f>IF(Books[[#This Row],[AVERAGE RATING]]&gt;=4,"High",IF(Books[[#This Row],[AVERAGE RATING]]&gt;=3,"Medium","Low"))</f>
        <v>Low</v>
      </c>
      <c r="L509" t="str">
        <f>IF(Books[[#This Row],[AVERAGE RATING]]&gt;10000,"Popular","Average")</f>
        <v>Average</v>
      </c>
      <c r="M509">
        <f>Books[[#This Row],[AVERAGE RATING]]*Books[[#This Row],[RATINGS COUNT]]</f>
        <v>0</v>
      </c>
    </row>
    <row r="510" spans="1:13" x14ac:dyDescent="0.25">
      <c r="A510" t="s">
        <v>1252</v>
      </c>
      <c r="B510" t="s">
        <v>1253</v>
      </c>
      <c r="C510">
        <v>212</v>
      </c>
      <c r="D510" t="s">
        <v>328</v>
      </c>
      <c r="E510" t="s">
        <v>3493</v>
      </c>
      <c r="F510" t="s">
        <v>132</v>
      </c>
      <c r="G510" t="s">
        <v>4</v>
      </c>
      <c r="H510">
        <v>0</v>
      </c>
      <c r="I510">
        <v>0</v>
      </c>
      <c r="J510">
        <v>2010</v>
      </c>
      <c r="K510" t="str">
        <f>IF(Books[[#This Row],[AVERAGE RATING]]&gt;=4,"High",IF(Books[[#This Row],[AVERAGE RATING]]&gt;=3,"Medium","Low"))</f>
        <v>Low</v>
      </c>
      <c r="L510" t="str">
        <f>IF(Books[[#This Row],[AVERAGE RATING]]&gt;10000,"Popular","Average")</f>
        <v>Average</v>
      </c>
      <c r="M510">
        <f>Books[[#This Row],[AVERAGE RATING]]*Books[[#This Row],[RATINGS COUNT]]</f>
        <v>0</v>
      </c>
    </row>
    <row r="511" spans="1:13" x14ac:dyDescent="0.25">
      <c r="A511" t="s">
        <v>1254</v>
      </c>
      <c r="B511" t="s">
        <v>1255</v>
      </c>
      <c r="C511">
        <v>296</v>
      </c>
      <c r="D511" t="s">
        <v>79</v>
      </c>
      <c r="E511" t="s">
        <v>3494</v>
      </c>
      <c r="F511" t="s">
        <v>39</v>
      </c>
      <c r="G511" t="s">
        <v>4</v>
      </c>
      <c r="H511">
        <v>3</v>
      </c>
      <c r="I511">
        <v>2</v>
      </c>
      <c r="J511">
        <v>2009</v>
      </c>
      <c r="K511" t="str">
        <f>IF(Books[[#This Row],[AVERAGE RATING]]&gt;=4,"High",IF(Books[[#This Row],[AVERAGE RATING]]&gt;=3,"Medium","Low"))</f>
        <v>Medium</v>
      </c>
      <c r="L511" t="str">
        <f>IF(Books[[#This Row],[AVERAGE RATING]]&gt;10000,"Popular","Average")</f>
        <v>Average</v>
      </c>
      <c r="M511">
        <f>Books[[#This Row],[AVERAGE RATING]]*Books[[#This Row],[RATINGS COUNT]]</f>
        <v>6</v>
      </c>
    </row>
    <row r="512" spans="1:13" x14ac:dyDescent="0.25">
      <c r="A512" t="s">
        <v>1256</v>
      </c>
      <c r="B512" t="s">
        <v>1257</v>
      </c>
      <c r="C512">
        <v>270</v>
      </c>
      <c r="D512" t="s">
        <v>79</v>
      </c>
      <c r="E512" t="s">
        <v>3065</v>
      </c>
      <c r="F512" t="s">
        <v>39</v>
      </c>
      <c r="G512" t="s">
        <v>4</v>
      </c>
      <c r="H512">
        <v>0</v>
      </c>
      <c r="I512">
        <v>0</v>
      </c>
      <c r="J512">
        <v>2017</v>
      </c>
      <c r="K512" t="str">
        <f>IF(Books[[#This Row],[AVERAGE RATING]]&gt;=4,"High",IF(Books[[#This Row],[AVERAGE RATING]]&gt;=3,"Medium","Low"))</f>
        <v>Low</v>
      </c>
      <c r="L512" t="str">
        <f>IF(Books[[#This Row],[AVERAGE RATING]]&gt;10000,"Popular","Average")</f>
        <v>Average</v>
      </c>
      <c r="M512">
        <f>Books[[#This Row],[AVERAGE RATING]]*Books[[#This Row],[RATINGS COUNT]]</f>
        <v>0</v>
      </c>
    </row>
    <row r="513" spans="1:13" x14ac:dyDescent="0.25">
      <c r="A513" t="s">
        <v>1258</v>
      </c>
      <c r="B513" t="s">
        <v>1259</v>
      </c>
      <c r="C513">
        <v>344</v>
      </c>
      <c r="D513" t="s">
        <v>79</v>
      </c>
      <c r="E513" t="s">
        <v>3495</v>
      </c>
      <c r="F513" t="s">
        <v>80</v>
      </c>
      <c r="G513" t="s">
        <v>4</v>
      </c>
      <c r="H513">
        <v>0</v>
      </c>
      <c r="I513">
        <v>0</v>
      </c>
      <c r="J513">
        <v>2014</v>
      </c>
      <c r="K513" t="str">
        <f>IF(Books[[#This Row],[AVERAGE RATING]]&gt;=4,"High",IF(Books[[#This Row],[AVERAGE RATING]]&gt;=3,"Medium","Low"))</f>
        <v>Low</v>
      </c>
      <c r="L513" t="str">
        <f>IF(Books[[#This Row],[AVERAGE RATING]]&gt;10000,"Popular","Average")</f>
        <v>Average</v>
      </c>
      <c r="M513">
        <f>Books[[#This Row],[AVERAGE RATING]]*Books[[#This Row],[RATINGS COUNT]]</f>
        <v>0</v>
      </c>
    </row>
    <row r="514" spans="1:13" x14ac:dyDescent="0.25">
      <c r="A514" t="s">
        <v>1260</v>
      </c>
      <c r="B514" t="s">
        <v>1261</v>
      </c>
      <c r="C514">
        <v>221</v>
      </c>
      <c r="D514" t="s">
        <v>59</v>
      </c>
      <c r="E514" t="s">
        <v>3496</v>
      </c>
      <c r="F514" t="s">
        <v>3</v>
      </c>
      <c r="G514" t="s">
        <v>4</v>
      </c>
      <c r="H514">
        <v>0</v>
      </c>
      <c r="I514">
        <v>0</v>
      </c>
      <c r="J514">
        <v>2023</v>
      </c>
      <c r="K514" t="str">
        <f>IF(Books[[#This Row],[AVERAGE RATING]]&gt;=4,"High",IF(Books[[#This Row],[AVERAGE RATING]]&gt;=3,"Medium","Low"))</f>
        <v>Low</v>
      </c>
      <c r="L514" t="str">
        <f>IF(Books[[#This Row],[AVERAGE RATING]]&gt;10000,"Popular","Average")</f>
        <v>Average</v>
      </c>
      <c r="M514">
        <f>Books[[#This Row],[AVERAGE RATING]]*Books[[#This Row],[RATINGS COUNT]]</f>
        <v>0</v>
      </c>
    </row>
    <row r="515" spans="1:13" x14ac:dyDescent="0.25">
      <c r="A515" t="s">
        <v>1262</v>
      </c>
      <c r="B515" t="s">
        <v>1263</v>
      </c>
      <c r="C515">
        <v>287</v>
      </c>
      <c r="D515" t="s">
        <v>28</v>
      </c>
      <c r="E515" t="s">
        <v>3497</v>
      </c>
      <c r="F515" t="s">
        <v>35</v>
      </c>
      <c r="G515" t="s">
        <v>4</v>
      </c>
      <c r="H515">
        <v>0</v>
      </c>
      <c r="I515">
        <v>0</v>
      </c>
      <c r="J515">
        <v>2013</v>
      </c>
      <c r="K515" t="str">
        <f>IF(Books[[#This Row],[AVERAGE RATING]]&gt;=4,"High",IF(Books[[#This Row],[AVERAGE RATING]]&gt;=3,"Medium","Low"))</f>
        <v>Low</v>
      </c>
      <c r="L515" t="str">
        <f>IF(Books[[#This Row],[AVERAGE RATING]]&gt;10000,"Popular","Average")</f>
        <v>Average</v>
      </c>
      <c r="M515">
        <f>Books[[#This Row],[AVERAGE RATING]]*Books[[#This Row],[RATINGS COUNT]]</f>
        <v>0</v>
      </c>
    </row>
    <row r="516" spans="1:13" x14ac:dyDescent="0.25">
      <c r="A516" t="s">
        <v>1264</v>
      </c>
      <c r="B516" t="s">
        <v>1265</v>
      </c>
      <c r="C516">
        <v>353</v>
      </c>
      <c r="D516" t="s">
        <v>79</v>
      </c>
      <c r="E516" t="s">
        <v>3228</v>
      </c>
      <c r="F516" t="s">
        <v>270</v>
      </c>
      <c r="G516" t="s">
        <v>4</v>
      </c>
      <c r="H516">
        <v>0</v>
      </c>
      <c r="I516">
        <v>0</v>
      </c>
      <c r="J516">
        <v>2014</v>
      </c>
      <c r="K516" t="str">
        <f>IF(Books[[#This Row],[AVERAGE RATING]]&gt;=4,"High",IF(Books[[#This Row],[AVERAGE RATING]]&gt;=3,"Medium","Low"))</f>
        <v>Low</v>
      </c>
      <c r="L516" t="str">
        <f>IF(Books[[#This Row],[AVERAGE RATING]]&gt;10000,"Popular","Average")</f>
        <v>Average</v>
      </c>
      <c r="M516">
        <f>Books[[#This Row],[AVERAGE RATING]]*Books[[#This Row],[RATINGS COUNT]]</f>
        <v>0</v>
      </c>
    </row>
    <row r="517" spans="1:13" x14ac:dyDescent="0.25">
      <c r="A517" t="s">
        <v>1266</v>
      </c>
      <c r="B517" t="s">
        <v>1267</v>
      </c>
      <c r="C517">
        <v>340</v>
      </c>
      <c r="D517" t="s">
        <v>79</v>
      </c>
      <c r="E517" t="s">
        <v>3498</v>
      </c>
      <c r="F517" t="s">
        <v>132</v>
      </c>
      <c r="G517" t="s">
        <v>4</v>
      </c>
      <c r="H517">
        <v>0</v>
      </c>
      <c r="I517">
        <v>0</v>
      </c>
      <c r="J517">
        <v>2013</v>
      </c>
      <c r="K517" t="str">
        <f>IF(Books[[#This Row],[AVERAGE RATING]]&gt;=4,"High",IF(Books[[#This Row],[AVERAGE RATING]]&gt;=3,"Medium","Low"))</f>
        <v>Low</v>
      </c>
      <c r="L517" t="str">
        <f>IF(Books[[#This Row],[AVERAGE RATING]]&gt;10000,"Popular","Average")</f>
        <v>Average</v>
      </c>
      <c r="M517">
        <f>Books[[#This Row],[AVERAGE RATING]]*Books[[#This Row],[RATINGS COUNT]]</f>
        <v>0</v>
      </c>
    </row>
    <row r="518" spans="1:13" x14ac:dyDescent="0.25">
      <c r="A518" t="s">
        <v>1268</v>
      </c>
      <c r="B518" t="s">
        <v>1269</v>
      </c>
      <c r="C518">
        <v>271</v>
      </c>
      <c r="D518" t="s">
        <v>85</v>
      </c>
      <c r="E518" t="s">
        <v>3499</v>
      </c>
      <c r="F518" t="s">
        <v>122</v>
      </c>
      <c r="G518" t="s">
        <v>4</v>
      </c>
      <c r="H518">
        <v>0</v>
      </c>
      <c r="I518">
        <v>0</v>
      </c>
      <c r="J518">
        <v>2015</v>
      </c>
      <c r="K518" t="str">
        <f>IF(Books[[#This Row],[AVERAGE RATING]]&gt;=4,"High",IF(Books[[#This Row],[AVERAGE RATING]]&gt;=3,"Medium","Low"))</f>
        <v>Low</v>
      </c>
      <c r="L518" t="str">
        <f>IF(Books[[#This Row],[AVERAGE RATING]]&gt;10000,"Popular","Average")</f>
        <v>Average</v>
      </c>
      <c r="M518">
        <f>Books[[#This Row],[AVERAGE RATING]]*Books[[#This Row],[RATINGS COUNT]]</f>
        <v>0</v>
      </c>
    </row>
    <row r="519" spans="1:13" x14ac:dyDescent="0.25">
      <c r="A519" t="s">
        <v>1270</v>
      </c>
      <c r="B519" t="s">
        <v>1271</v>
      </c>
      <c r="C519">
        <v>245</v>
      </c>
      <c r="D519" t="s">
        <v>79</v>
      </c>
      <c r="E519" t="s">
        <v>3192</v>
      </c>
      <c r="F519" t="s">
        <v>80</v>
      </c>
      <c r="G519" t="s">
        <v>4</v>
      </c>
      <c r="H519">
        <v>0</v>
      </c>
      <c r="I519">
        <v>0</v>
      </c>
      <c r="J519">
        <v>2009</v>
      </c>
      <c r="K519" t="str">
        <f>IF(Books[[#This Row],[AVERAGE RATING]]&gt;=4,"High",IF(Books[[#This Row],[AVERAGE RATING]]&gt;=3,"Medium","Low"))</f>
        <v>Low</v>
      </c>
      <c r="L519" t="str">
        <f>IF(Books[[#This Row],[AVERAGE RATING]]&gt;10000,"Popular","Average")</f>
        <v>Average</v>
      </c>
      <c r="M519">
        <f>Books[[#This Row],[AVERAGE RATING]]*Books[[#This Row],[RATINGS COUNT]]</f>
        <v>0</v>
      </c>
    </row>
    <row r="520" spans="1:13" x14ac:dyDescent="0.25">
      <c r="A520" t="s">
        <v>1274</v>
      </c>
      <c r="B520" t="s">
        <v>1275</v>
      </c>
      <c r="C520">
        <v>100</v>
      </c>
      <c r="D520" t="s">
        <v>11</v>
      </c>
      <c r="E520" t="s">
        <v>3290</v>
      </c>
      <c r="F520" t="s">
        <v>1276</v>
      </c>
      <c r="G520" t="s">
        <v>4</v>
      </c>
      <c r="H520">
        <v>4</v>
      </c>
      <c r="I520">
        <v>134</v>
      </c>
      <c r="J520">
        <v>1970</v>
      </c>
      <c r="K520" t="str">
        <f>IF(Books[[#This Row],[AVERAGE RATING]]&gt;=4,"High",IF(Books[[#This Row],[AVERAGE RATING]]&gt;=3,"Medium","Low"))</f>
        <v>High</v>
      </c>
      <c r="L520" t="str">
        <f>IF(Books[[#This Row],[AVERAGE RATING]]&gt;10000,"Popular","Average")</f>
        <v>Average</v>
      </c>
      <c r="M520">
        <f>Books[[#This Row],[AVERAGE RATING]]*Books[[#This Row],[RATINGS COUNT]]</f>
        <v>536</v>
      </c>
    </row>
    <row r="521" spans="1:13" x14ac:dyDescent="0.25">
      <c r="A521" t="s">
        <v>1277</v>
      </c>
      <c r="B521" t="s">
        <v>1278</v>
      </c>
      <c r="C521">
        <v>387</v>
      </c>
      <c r="D521" t="s">
        <v>453</v>
      </c>
      <c r="E521" t="s">
        <v>3192</v>
      </c>
      <c r="F521" t="s">
        <v>1279</v>
      </c>
      <c r="G521" t="s">
        <v>4</v>
      </c>
      <c r="H521">
        <v>4</v>
      </c>
      <c r="I521">
        <v>5900</v>
      </c>
      <c r="J521">
        <v>2009</v>
      </c>
      <c r="K521" t="str">
        <f>IF(Books[[#This Row],[AVERAGE RATING]]&gt;=4,"High",IF(Books[[#This Row],[AVERAGE RATING]]&gt;=3,"Medium","Low"))</f>
        <v>High</v>
      </c>
      <c r="L521" t="str">
        <f>IF(Books[[#This Row],[AVERAGE RATING]]&gt;10000,"Popular","Average")</f>
        <v>Average</v>
      </c>
      <c r="M521">
        <f>Books[[#This Row],[AVERAGE RATING]]*Books[[#This Row],[RATINGS COUNT]]</f>
        <v>23600</v>
      </c>
    </row>
    <row r="522" spans="1:13" x14ac:dyDescent="0.25">
      <c r="A522" t="s">
        <v>1281</v>
      </c>
      <c r="B522" t="s">
        <v>1273</v>
      </c>
      <c r="C522">
        <v>306</v>
      </c>
      <c r="D522" t="s">
        <v>11</v>
      </c>
      <c r="E522" t="s">
        <v>3500</v>
      </c>
      <c r="F522" t="s">
        <v>1282</v>
      </c>
      <c r="G522" t="s">
        <v>4</v>
      </c>
      <c r="H522">
        <v>0</v>
      </c>
      <c r="I522">
        <v>0</v>
      </c>
      <c r="J522">
        <v>2016</v>
      </c>
      <c r="K522" t="str">
        <f>IF(Books[[#This Row],[AVERAGE RATING]]&gt;=4,"High",IF(Books[[#This Row],[AVERAGE RATING]]&gt;=3,"Medium","Low"))</f>
        <v>Low</v>
      </c>
      <c r="L522" t="str">
        <f>IF(Books[[#This Row],[AVERAGE RATING]]&gt;10000,"Popular","Average")</f>
        <v>Average</v>
      </c>
      <c r="M522">
        <f>Books[[#This Row],[AVERAGE RATING]]*Books[[#This Row],[RATINGS COUNT]]</f>
        <v>0</v>
      </c>
    </row>
    <row r="523" spans="1:13" x14ac:dyDescent="0.25">
      <c r="A523" t="s">
        <v>1283</v>
      </c>
      <c r="B523" t="s">
        <v>1273</v>
      </c>
      <c r="C523">
        <v>174</v>
      </c>
      <c r="D523" t="s">
        <v>11</v>
      </c>
      <c r="E523" t="s">
        <v>3501</v>
      </c>
      <c r="F523" t="s">
        <v>1284</v>
      </c>
      <c r="G523" t="s">
        <v>4</v>
      </c>
      <c r="H523">
        <v>0</v>
      </c>
      <c r="I523">
        <v>0</v>
      </c>
      <c r="J523">
        <v>2017</v>
      </c>
      <c r="K523" t="str">
        <f>IF(Books[[#This Row],[AVERAGE RATING]]&gt;=4,"High",IF(Books[[#This Row],[AVERAGE RATING]]&gt;=3,"Medium","Low"))</f>
        <v>Low</v>
      </c>
      <c r="L523" t="str">
        <f>IF(Books[[#This Row],[AVERAGE RATING]]&gt;10000,"Popular","Average")</f>
        <v>Average</v>
      </c>
      <c r="M523">
        <f>Books[[#This Row],[AVERAGE RATING]]*Books[[#This Row],[RATINGS COUNT]]</f>
        <v>0</v>
      </c>
    </row>
    <row r="524" spans="1:13" x14ac:dyDescent="0.25">
      <c r="A524" t="s">
        <v>1285</v>
      </c>
      <c r="B524" t="s">
        <v>1273</v>
      </c>
      <c r="C524">
        <v>691</v>
      </c>
      <c r="D524" t="s">
        <v>11</v>
      </c>
      <c r="E524" t="s">
        <v>3502</v>
      </c>
      <c r="F524" t="s">
        <v>924</v>
      </c>
      <c r="G524" t="s">
        <v>4</v>
      </c>
      <c r="H524">
        <v>0</v>
      </c>
      <c r="I524">
        <v>0</v>
      </c>
      <c r="J524">
        <v>2018</v>
      </c>
      <c r="K524" t="str">
        <f>IF(Books[[#This Row],[AVERAGE RATING]]&gt;=4,"High",IF(Books[[#This Row],[AVERAGE RATING]]&gt;=3,"Medium","Low"))</f>
        <v>Low</v>
      </c>
      <c r="L524" t="str">
        <f>IF(Books[[#This Row],[AVERAGE RATING]]&gt;10000,"Popular","Average")</f>
        <v>Average</v>
      </c>
      <c r="M524">
        <f>Books[[#This Row],[AVERAGE RATING]]*Books[[#This Row],[RATINGS COUNT]]</f>
        <v>0</v>
      </c>
    </row>
    <row r="525" spans="1:13" x14ac:dyDescent="0.25">
      <c r="A525" t="s">
        <v>1272</v>
      </c>
      <c r="B525" t="s">
        <v>1286</v>
      </c>
      <c r="C525">
        <v>553</v>
      </c>
      <c r="D525" t="s">
        <v>453</v>
      </c>
      <c r="E525" t="s">
        <v>3503</v>
      </c>
      <c r="F525" t="s">
        <v>1287</v>
      </c>
      <c r="G525" t="s">
        <v>4</v>
      </c>
      <c r="H525">
        <v>0</v>
      </c>
      <c r="I525">
        <v>0</v>
      </c>
      <c r="J525">
        <v>2021</v>
      </c>
      <c r="K525" t="str">
        <f>IF(Books[[#This Row],[AVERAGE RATING]]&gt;=4,"High",IF(Books[[#This Row],[AVERAGE RATING]]&gt;=3,"Medium","Low"))</f>
        <v>Low</v>
      </c>
      <c r="L525" t="str">
        <f>IF(Books[[#This Row],[AVERAGE RATING]]&gt;10000,"Popular","Average")</f>
        <v>Average</v>
      </c>
      <c r="M525">
        <f>Books[[#This Row],[AVERAGE RATING]]*Books[[#This Row],[RATINGS COUNT]]</f>
        <v>0</v>
      </c>
    </row>
    <row r="526" spans="1:13" x14ac:dyDescent="0.25">
      <c r="A526" t="s">
        <v>1288</v>
      </c>
      <c r="B526" t="s">
        <v>1275</v>
      </c>
      <c r="C526">
        <v>266</v>
      </c>
      <c r="D526" t="s">
        <v>11</v>
      </c>
      <c r="E526" t="s">
        <v>3504</v>
      </c>
      <c r="F526" t="s">
        <v>1289</v>
      </c>
      <c r="G526" t="s">
        <v>4</v>
      </c>
      <c r="H526">
        <v>3</v>
      </c>
      <c r="I526">
        <v>4</v>
      </c>
      <c r="J526">
        <v>2014</v>
      </c>
      <c r="K526" t="str">
        <f>IF(Books[[#This Row],[AVERAGE RATING]]&gt;=4,"High",IF(Books[[#This Row],[AVERAGE RATING]]&gt;=3,"Medium","Low"))</f>
        <v>Medium</v>
      </c>
      <c r="L526" t="str">
        <f>IF(Books[[#This Row],[AVERAGE RATING]]&gt;10000,"Popular","Average")</f>
        <v>Average</v>
      </c>
      <c r="M526">
        <f>Books[[#This Row],[AVERAGE RATING]]*Books[[#This Row],[RATINGS COUNT]]</f>
        <v>12</v>
      </c>
    </row>
    <row r="527" spans="1:13" x14ac:dyDescent="0.25">
      <c r="A527" t="s">
        <v>1290</v>
      </c>
      <c r="B527" t="s">
        <v>1291</v>
      </c>
      <c r="C527">
        <v>208</v>
      </c>
      <c r="D527" t="s">
        <v>11</v>
      </c>
      <c r="E527" t="s">
        <v>3505</v>
      </c>
      <c r="F527" t="s">
        <v>1292</v>
      </c>
      <c r="G527" t="s">
        <v>4</v>
      </c>
      <c r="H527">
        <v>0</v>
      </c>
      <c r="I527">
        <v>0</v>
      </c>
      <c r="J527">
        <v>2020</v>
      </c>
      <c r="K527" t="str">
        <f>IF(Books[[#This Row],[AVERAGE RATING]]&gt;=4,"High",IF(Books[[#This Row],[AVERAGE RATING]]&gt;=3,"Medium","Low"))</f>
        <v>Low</v>
      </c>
      <c r="L527" t="str">
        <f>IF(Books[[#This Row],[AVERAGE RATING]]&gt;10000,"Popular","Average")</f>
        <v>Average</v>
      </c>
      <c r="M527">
        <f>Books[[#This Row],[AVERAGE RATING]]*Books[[#This Row],[RATINGS COUNT]]</f>
        <v>0</v>
      </c>
    </row>
    <row r="528" spans="1:13" x14ac:dyDescent="0.25">
      <c r="A528" t="s">
        <v>1290</v>
      </c>
      <c r="B528" t="s">
        <v>1293</v>
      </c>
      <c r="C528">
        <v>337</v>
      </c>
      <c r="D528" t="s">
        <v>11</v>
      </c>
      <c r="E528" t="s">
        <v>3122</v>
      </c>
      <c r="F528" t="s">
        <v>1294</v>
      </c>
      <c r="G528" t="s">
        <v>4</v>
      </c>
      <c r="H528">
        <v>0</v>
      </c>
      <c r="I528">
        <v>0</v>
      </c>
      <c r="J528">
        <v>2018</v>
      </c>
      <c r="K528" t="str">
        <f>IF(Books[[#This Row],[AVERAGE RATING]]&gt;=4,"High",IF(Books[[#This Row],[AVERAGE RATING]]&gt;=3,"Medium","Low"))</f>
        <v>Low</v>
      </c>
      <c r="L528" t="str">
        <f>IF(Books[[#This Row],[AVERAGE RATING]]&gt;10000,"Popular","Average")</f>
        <v>Average</v>
      </c>
      <c r="M528">
        <f>Books[[#This Row],[AVERAGE RATING]]*Books[[#This Row],[RATINGS COUNT]]</f>
        <v>0</v>
      </c>
    </row>
    <row r="529" spans="1:13" x14ac:dyDescent="0.25">
      <c r="A529" t="s">
        <v>1295</v>
      </c>
      <c r="B529" t="s">
        <v>1291</v>
      </c>
      <c r="C529">
        <v>128</v>
      </c>
      <c r="D529" t="s">
        <v>339</v>
      </c>
      <c r="E529" t="s">
        <v>3325</v>
      </c>
      <c r="F529" t="s">
        <v>1203</v>
      </c>
      <c r="G529" t="s">
        <v>4</v>
      </c>
      <c r="H529">
        <v>0</v>
      </c>
      <c r="I529">
        <v>0</v>
      </c>
      <c r="J529">
        <v>2022</v>
      </c>
      <c r="K529" t="str">
        <f>IF(Books[[#This Row],[AVERAGE RATING]]&gt;=4,"High",IF(Books[[#This Row],[AVERAGE RATING]]&gt;=3,"Medium","Low"))</f>
        <v>Low</v>
      </c>
      <c r="L529" t="str">
        <f>IF(Books[[#This Row],[AVERAGE RATING]]&gt;10000,"Popular","Average")</f>
        <v>Average</v>
      </c>
      <c r="M529">
        <f>Books[[#This Row],[AVERAGE RATING]]*Books[[#This Row],[RATINGS COUNT]]</f>
        <v>0</v>
      </c>
    </row>
    <row r="530" spans="1:13" x14ac:dyDescent="0.25">
      <c r="A530" t="s">
        <v>1296</v>
      </c>
      <c r="B530" t="s">
        <v>1291</v>
      </c>
      <c r="C530">
        <v>166</v>
      </c>
      <c r="D530" t="s">
        <v>11</v>
      </c>
      <c r="E530" t="s">
        <v>3506</v>
      </c>
      <c r="F530" t="s">
        <v>1297</v>
      </c>
      <c r="G530" t="s">
        <v>4</v>
      </c>
      <c r="H530">
        <v>0</v>
      </c>
      <c r="I530">
        <v>0</v>
      </c>
      <c r="J530">
        <v>2024</v>
      </c>
      <c r="K530" t="str">
        <f>IF(Books[[#This Row],[AVERAGE RATING]]&gt;=4,"High",IF(Books[[#This Row],[AVERAGE RATING]]&gt;=3,"Medium","Low"))</f>
        <v>Low</v>
      </c>
      <c r="L530" t="str">
        <f>IF(Books[[#This Row],[AVERAGE RATING]]&gt;10000,"Popular","Average")</f>
        <v>Average</v>
      </c>
      <c r="M530">
        <f>Books[[#This Row],[AVERAGE RATING]]*Books[[#This Row],[RATINGS COUNT]]</f>
        <v>0</v>
      </c>
    </row>
    <row r="531" spans="1:13" x14ac:dyDescent="0.25">
      <c r="A531" t="s">
        <v>1298</v>
      </c>
      <c r="B531" t="s">
        <v>1291</v>
      </c>
      <c r="C531">
        <v>22</v>
      </c>
      <c r="D531" t="s">
        <v>11</v>
      </c>
      <c r="E531" t="s">
        <v>3507</v>
      </c>
      <c r="F531" t="s">
        <v>924</v>
      </c>
      <c r="G531" t="s">
        <v>4</v>
      </c>
      <c r="H531">
        <v>0</v>
      </c>
      <c r="I531">
        <v>0</v>
      </c>
      <c r="J531">
        <v>2013</v>
      </c>
      <c r="K531" t="str">
        <f>IF(Books[[#This Row],[AVERAGE RATING]]&gt;=4,"High",IF(Books[[#This Row],[AVERAGE RATING]]&gt;=3,"Medium","Low"))</f>
        <v>Low</v>
      </c>
      <c r="L531" t="str">
        <f>IF(Books[[#This Row],[AVERAGE RATING]]&gt;10000,"Popular","Average")</f>
        <v>Average</v>
      </c>
      <c r="M531">
        <f>Books[[#This Row],[AVERAGE RATING]]*Books[[#This Row],[RATINGS COUNT]]</f>
        <v>0</v>
      </c>
    </row>
    <row r="532" spans="1:13" x14ac:dyDescent="0.25">
      <c r="A532" t="s">
        <v>1299</v>
      </c>
      <c r="B532" t="s">
        <v>1300</v>
      </c>
      <c r="C532">
        <v>936</v>
      </c>
      <c r="D532" t="s">
        <v>11</v>
      </c>
      <c r="E532" t="s">
        <v>3508</v>
      </c>
      <c r="F532" t="s">
        <v>922</v>
      </c>
      <c r="G532" t="s">
        <v>4</v>
      </c>
      <c r="H532">
        <v>0</v>
      </c>
      <c r="I532">
        <v>0</v>
      </c>
      <c r="J532">
        <v>2023</v>
      </c>
      <c r="K532" t="str">
        <f>IF(Books[[#This Row],[AVERAGE RATING]]&gt;=4,"High",IF(Books[[#This Row],[AVERAGE RATING]]&gt;=3,"Medium","Low"))</f>
        <v>Low</v>
      </c>
      <c r="L532" t="str">
        <f>IF(Books[[#This Row],[AVERAGE RATING]]&gt;10000,"Popular","Average")</f>
        <v>Average</v>
      </c>
      <c r="M532">
        <f>Books[[#This Row],[AVERAGE RATING]]*Books[[#This Row],[RATINGS COUNT]]</f>
        <v>0</v>
      </c>
    </row>
    <row r="533" spans="1:13" x14ac:dyDescent="0.25">
      <c r="A533" t="s">
        <v>1301</v>
      </c>
      <c r="B533" t="s">
        <v>1302</v>
      </c>
      <c r="C533">
        <v>681</v>
      </c>
      <c r="D533" t="s">
        <v>11</v>
      </c>
      <c r="E533" t="s">
        <v>3509</v>
      </c>
      <c r="F533" t="s">
        <v>1303</v>
      </c>
      <c r="G533" t="s">
        <v>1304</v>
      </c>
      <c r="H533">
        <v>0</v>
      </c>
      <c r="I533">
        <v>0</v>
      </c>
      <c r="J533">
        <v>2018</v>
      </c>
      <c r="K533" t="str">
        <f>IF(Books[[#This Row],[AVERAGE RATING]]&gt;=4,"High",IF(Books[[#This Row],[AVERAGE RATING]]&gt;=3,"Medium","Low"))</f>
        <v>Low</v>
      </c>
      <c r="L533" t="str">
        <f>IF(Books[[#This Row],[AVERAGE RATING]]&gt;10000,"Popular","Average")</f>
        <v>Average</v>
      </c>
      <c r="M533">
        <f>Books[[#This Row],[AVERAGE RATING]]*Books[[#This Row],[RATINGS COUNT]]</f>
        <v>0</v>
      </c>
    </row>
    <row r="534" spans="1:13" x14ac:dyDescent="0.25">
      <c r="A534" t="s">
        <v>1305</v>
      </c>
      <c r="B534" t="s">
        <v>1306</v>
      </c>
      <c r="C534">
        <v>9</v>
      </c>
      <c r="D534" t="s">
        <v>384</v>
      </c>
      <c r="E534" t="s">
        <v>3510</v>
      </c>
      <c r="F534" t="s">
        <v>1307</v>
      </c>
      <c r="G534" t="s">
        <v>1308</v>
      </c>
      <c r="H534">
        <v>0</v>
      </c>
      <c r="I534">
        <v>0</v>
      </c>
      <c r="J534">
        <v>2022</v>
      </c>
      <c r="K534" t="str">
        <f>IF(Books[[#This Row],[AVERAGE RATING]]&gt;=4,"High",IF(Books[[#This Row],[AVERAGE RATING]]&gt;=3,"Medium","Low"))</f>
        <v>Low</v>
      </c>
      <c r="L534" t="str">
        <f>IF(Books[[#This Row],[AVERAGE RATING]]&gt;10000,"Popular","Average")</f>
        <v>Average</v>
      </c>
      <c r="M534">
        <f>Books[[#This Row],[AVERAGE RATING]]*Books[[#This Row],[RATINGS COUNT]]</f>
        <v>0</v>
      </c>
    </row>
    <row r="535" spans="1:13" x14ac:dyDescent="0.25">
      <c r="A535" t="s">
        <v>1311</v>
      </c>
      <c r="B535" t="s">
        <v>1278</v>
      </c>
      <c r="C535">
        <v>386</v>
      </c>
      <c r="D535" t="s">
        <v>54</v>
      </c>
      <c r="E535" t="s">
        <v>3144</v>
      </c>
      <c r="F535" t="s">
        <v>1279</v>
      </c>
      <c r="G535" t="s">
        <v>4</v>
      </c>
      <c r="H535">
        <v>4.5</v>
      </c>
      <c r="I535">
        <v>333</v>
      </c>
      <c r="J535">
        <v>2008</v>
      </c>
      <c r="K535" t="str">
        <f>IF(Books[[#This Row],[AVERAGE RATING]]&gt;=4,"High",IF(Books[[#This Row],[AVERAGE RATING]]&gt;=3,"Medium","Low"))</f>
        <v>High</v>
      </c>
      <c r="L535" t="str">
        <f>IF(Books[[#This Row],[AVERAGE RATING]]&gt;10000,"Popular","Average")</f>
        <v>Average</v>
      </c>
      <c r="M535">
        <f>Books[[#This Row],[AVERAGE RATING]]*Books[[#This Row],[RATINGS COUNT]]</f>
        <v>1498.5</v>
      </c>
    </row>
    <row r="536" spans="1:13" x14ac:dyDescent="0.25">
      <c r="A536" t="s">
        <v>1312</v>
      </c>
      <c r="B536" t="s">
        <v>1278</v>
      </c>
      <c r="C536">
        <v>329</v>
      </c>
      <c r="D536" t="s">
        <v>11</v>
      </c>
      <c r="E536" t="s">
        <v>3511</v>
      </c>
      <c r="F536" t="s">
        <v>1313</v>
      </c>
      <c r="G536" t="s">
        <v>1314</v>
      </c>
      <c r="H536">
        <v>3.5</v>
      </c>
      <c r="I536">
        <v>352</v>
      </c>
      <c r="J536">
        <v>2012</v>
      </c>
      <c r="K536" t="str">
        <f>IF(Books[[#This Row],[AVERAGE RATING]]&gt;=4,"High",IF(Books[[#This Row],[AVERAGE RATING]]&gt;=3,"Medium","Low"))</f>
        <v>Medium</v>
      </c>
      <c r="L536" t="str">
        <f>IF(Books[[#This Row],[AVERAGE RATING]]&gt;10000,"Popular","Average")</f>
        <v>Average</v>
      </c>
      <c r="M536">
        <f>Books[[#This Row],[AVERAGE RATING]]*Books[[#This Row],[RATINGS COUNT]]</f>
        <v>1232</v>
      </c>
    </row>
    <row r="537" spans="1:13" x14ac:dyDescent="0.25">
      <c r="A537" t="s">
        <v>1316</v>
      </c>
      <c r="B537" t="s">
        <v>1317</v>
      </c>
      <c r="C537">
        <v>311</v>
      </c>
      <c r="D537" t="s">
        <v>38</v>
      </c>
      <c r="E537" t="s">
        <v>3512</v>
      </c>
      <c r="F537" t="s">
        <v>132</v>
      </c>
      <c r="G537" t="s">
        <v>4</v>
      </c>
      <c r="H537">
        <v>3.5</v>
      </c>
      <c r="I537">
        <v>18</v>
      </c>
      <c r="J537">
        <v>2010</v>
      </c>
      <c r="K537" t="str">
        <f>IF(Books[[#This Row],[AVERAGE RATING]]&gt;=4,"High",IF(Books[[#This Row],[AVERAGE RATING]]&gt;=3,"Medium","Low"))</f>
        <v>Medium</v>
      </c>
      <c r="L537" t="str">
        <f>IF(Books[[#This Row],[AVERAGE RATING]]&gt;10000,"Popular","Average")</f>
        <v>Average</v>
      </c>
      <c r="M537">
        <f>Books[[#This Row],[AVERAGE RATING]]*Books[[#This Row],[RATINGS COUNT]]</f>
        <v>63</v>
      </c>
    </row>
    <row r="538" spans="1:13" x14ac:dyDescent="0.25">
      <c r="A538" t="s">
        <v>1290</v>
      </c>
      <c r="B538" t="s">
        <v>1318</v>
      </c>
      <c r="C538">
        <v>148</v>
      </c>
      <c r="D538" t="s">
        <v>11</v>
      </c>
      <c r="E538" t="s">
        <v>3075</v>
      </c>
      <c r="F538" t="s">
        <v>1319</v>
      </c>
      <c r="G538" t="s">
        <v>4</v>
      </c>
      <c r="H538">
        <v>3.5</v>
      </c>
      <c r="I538">
        <v>88</v>
      </c>
      <c r="J538">
        <v>1993</v>
      </c>
      <c r="K538" t="str">
        <f>IF(Books[[#This Row],[AVERAGE RATING]]&gt;=4,"High",IF(Books[[#This Row],[AVERAGE RATING]]&gt;=3,"Medium","Low"))</f>
        <v>Medium</v>
      </c>
      <c r="L538" t="str">
        <f>IF(Books[[#This Row],[AVERAGE RATING]]&gt;10000,"Popular","Average")</f>
        <v>Average</v>
      </c>
      <c r="M538">
        <f>Books[[#This Row],[AVERAGE RATING]]*Books[[#This Row],[RATINGS COUNT]]</f>
        <v>308</v>
      </c>
    </row>
    <row r="539" spans="1:13" x14ac:dyDescent="0.25">
      <c r="A539" t="s">
        <v>1320</v>
      </c>
      <c r="B539" t="s">
        <v>921</v>
      </c>
      <c r="C539">
        <v>168</v>
      </c>
      <c r="D539" t="s">
        <v>11</v>
      </c>
      <c r="E539" t="s">
        <v>3099</v>
      </c>
      <c r="F539" t="s">
        <v>1321</v>
      </c>
      <c r="G539" t="s">
        <v>4</v>
      </c>
      <c r="H539">
        <v>4</v>
      </c>
      <c r="I539">
        <v>71</v>
      </c>
      <c r="J539">
        <v>2005</v>
      </c>
      <c r="K539" t="str">
        <f>IF(Books[[#This Row],[AVERAGE RATING]]&gt;=4,"High",IF(Books[[#This Row],[AVERAGE RATING]]&gt;=3,"Medium","Low"))</f>
        <v>High</v>
      </c>
      <c r="L539" t="str">
        <f>IF(Books[[#This Row],[AVERAGE RATING]]&gt;10000,"Popular","Average")</f>
        <v>Average</v>
      </c>
      <c r="M539">
        <f>Books[[#This Row],[AVERAGE RATING]]*Books[[#This Row],[RATINGS COUNT]]</f>
        <v>284</v>
      </c>
    </row>
    <row r="540" spans="1:13" x14ac:dyDescent="0.25">
      <c r="A540" t="s">
        <v>1323</v>
      </c>
      <c r="B540" t="s">
        <v>1324</v>
      </c>
      <c r="C540">
        <v>326</v>
      </c>
      <c r="D540" t="s">
        <v>38</v>
      </c>
      <c r="E540" t="s">
        <v>3181</v>
      </c>
      <c r="F540" t="s">
        <v>132</v>
      </c>
      <c r="G540" t="s">
        <v>4</v>
      </c>
      <c r="H540">
        <v>3.5</v>
      </c>
      <c r="I540">
        <v>38</v>
      </c>
      <c r="J540">
        <v>2012</v>
      </c>
      <c r="K540" t="str">
        <f>IF(Books[[#This Row],[AVERAGE RATING]]&gt;=4,"High",IF(Books[[#This Row],[AVERAGE RATING]]&gt;=3,"Medium","Low"))</f>
        <v>Medium</v>
      </c>
      <c r="L540" t="str">
        <f>IF(Books[[#This Row],[AVERAGE RATING]]&gt;10000,"Popular","Average")</f>
        <v>Average</v>
      </c>
      <c r="M540">
        <f>Books[[#This Row],[AVERAGE RATING]]*Books[[#This Row],[RATINGS COUNT]]</f>
        <v>133</v>
      </c>
    </row>
    <row r="541" spans="1:13" x14ac:dyDescent="0.25">
      <c r="A541" t="s">
        <v>1325</v>
      </c>
      <c r="B541" t="s">
        <v>1326</v>
      </c>
      <c r="C541">
        <v>136</v>
      </c>
      <c r="D541" t="s">
        <v>453</v>
      </c>
      <c r="E541" t="s">
        <v>3513</v>
      </c>
      <c r="F541" t="s">
        <v>1279</v>
      </c>
      <c r="G541" t="s">
        <v>4</v>
      </c>
      <c r="H541">
        <v>3.5</v>
      </c>
      <c r="I541">
        <v>43</v>
      </c>
      <c r="J541">
        <v>2012</v>
      </c>
      <c r="K541" t="str">
        <f>IF(Books[[#This Row],[AVERAGE RATING]]&gt;=4,"High",IF(Books[[#This Row],[AVERAGE RATING]]&gt;=3,"Medium","Low"))</f>
        <v>Medium</v>
      </c>
      <c r="L541" t="str">
        <f>IF(Books[[#This Row],[AVERAGE RATING]]&gt;10000,"Popular","Average")</f>
        <v>Average</v>
      </c>
      <c r="M541">
        <f>Books[[#This Row],[AVERAGE RATING]]*Books[[#This Row],[RATINGS COUNT]]</f>
        <v>150.5</v>
      </c>
    </row>
    <row r="542" spans="1:13" x14ac:dyDescent="0.25">
      <c r="A542" t="s">
        <v>1328</v>
      </c>
      <c r="B542" t="s">
        <v>1329</v>
      </c>
      <c r="C542">
        <v>338</v>
      </c>
      <c r="D542" t="s">
        <v>2</v>
      </c>
      <c r="E542" t="s">
        <v>3514</v>
      </c>
      <c r="F542" t="s">
        <v>1330</v>
      </c>
      <c r="G542" t="s">
        <v>4</v>
      </c>
      <c r="H542">
        <v>3.5</v>
      </c>
      <c r="I542">
        <v>4</v>
      </c>
      <c r="J542">
        <v>2007</v>
      </c>
      <c r="K542" t="str">
        <f>IF(Books[[#This Row],[AVERAGE RATING]]&gt;=4,"High",IF(Books[[#This Row],[AVERAGE RATING]]&gt;=3,"Medium","Low"))</f>
        <v>Medium</v>
      </c>
      <c r="L542" t="str">
        <f>IF(Books[[#This Row],[AVERAGE RATING]]&gt;10000,"Popular","Average")</f>
        <v>Average</v>
      </c>
      <c r="M542">
        <f>Books[[#This Row],[AVERAGE RATING]]*Books[[#This Row],[RATINGS COUNT]]</f>
        <v>14</v>
      </c>
    </row>
    <row r="543" spans="1:13" x14ac:dyDescent="0.25">
      <c r="A543" t="s">
        <v>1331</v>
      </c>
      <c r="B543" t="s">
        <v>1332</v>
      </c>
      <c r="C543">
        <v>25</v>
      </c>
      <c r="D543" t="s">
        <v>7</v>
      </c>
      <c r="E543" t="s">
        <v>3515</v>
      </c>
      <c r="F543" t="s">
        <v>935</v>
      </c>
      <c r="G543" t="s">
        <v>4</v>
      </c>
      <c r="H543">
        <v>0</v>
      </c>
      <c r="I543">
        <v>0</v>
      </c>
      <c r="J543">
        <v>2012</v>
      </c>
      <c r="K543" t="str">
        <f>IF(Books[[#This Row],[AVERAGE RATING]]&gt;=4,"High",IF(Books[[#This Row],[AVERAGE RATING]]&gt;=3,"Medium","Low"))</f>
        <v>Low</v>
      </c>
      <c r="L543" t="str">
        <f>IF(Books[[#This Row],[AVERAGE RATING]]&gt;10000,"Popular","Average")</f>
        <v>Average</v>
      </c>
      <c r="M543">
        <f>Books[[#This Row],[AVERAGE RATING]]*Books[[#This Row],[RATINGS COUNT]]</f>
        <v>0</v>
      </c>
    </row>
    <row r="544" spans="1:13" x14ac:dyDescent="0.25">
      <c r="A544" t="s">
        <v>1333</v>
      </c>
      <c r="B544" t="s">
        <v>1334</v>
      </c>
      <c r="C544">
        <v>162</v>
      </c>
      <c r="D544" t="s">
        <v>1335</v>
      </c>
      <c r="E544" t="s">
        <v>3099</v>
      </c>
      <c r="F544" t="s">
        <v>1336</v>
      </c>
      <c r="G544" t="s">
        <v>4</v>
      </c>
      <c r="H544">
        <v>5</v>
      </c>
      <c r="I544">
        <v>2</v>
      </c>
      <c r="J544">
        <v>2005</v>
      </c>
      <c r="K544" t="str">
        <f>IF(Books[[#This Row],[AVERAGE RATING]]&gt;=4,"High",IF(Books[[#This Row],[AVERAGE RATING]]&gt;=3,"Medium","Low"))</f>
        <v>High</v>
      </c>
      <c r="L544" t="str">
        <f>IF(Books[[#This Row],[AVERAGE RATING]]&gt;10000,"Popular","Average")</f>
        <v>Average</v>
      </c>
      <c r="M544">
        <f>Books[[#This Row],[AVERAGE RATING]]*Books[[#This Row],[RATINGS COUNT]]</f>
        <v>10</v>
      </c>
    </row>
    <row r="545" spans="1:13" x14ac:dyDescent="0.25">
      <c r="A545" t="s">
        <v>1337</v>
      </c>
      <c r="B545" t="s">
        <v>1338</v>
      </c>
      <c r="C545">
        <v>66</v>
      </c>
      <c r="D545" t="s">
        <v>54</v>
      </c>
      <c r="E545" t="s">
        <v>3516</v>
      </c>
      <c r="F545" t="s">
        <v>1339</v>
      </c>
      <c r="G545" t="s">
        <v>4</v>
      </c>
      <c r="H545">
        <v>0</v>
      </c>
      <c r="I545">
        <v>0</v>
      </c>
      <c r="J545">
        <v>2017</v>
      </c>
      <c r="K545" t="str">
        <f>IF(Books[[#This Row],[AVERAGE RATING]]&gt;=4,"High",IF(Books[[#This Row],[AVERAGE RATING]]&gt;=3,"Medium","Low"))</f>
        <v>Low</v>
      </c>
      <c r="L545" t="str">
        <f>IF(Books[[#This Row],[AVERAGE RATING]]&gt;10000,"Popular","Average")</f>
        <v>Average</v>
      </c>
      <c r="M545">
        <f>Books[[#This Row],[AVERAGE RATING]]*Books[[#This Row],[RATINGS COUNT]]</f>
        <v>0</v>
      </c>
    </row>
    <row r="546" spans="1:13" x14ac:dyDescent="0.25">
      <c r="A546" t="s">
        <v>1340</v>
      </c>
      <c r="B546" t="s">
        <v>1341</v>
      </c>
      <c r="C546">
        <v>136</v>
      </c>
      <c r="D546" t="s">
        <v>1342</v>
      </c>
      <c r="E546" t="s">
        <v>3185</v>
      </c>
      <c r="F546" t="s">
        <v>1203</v>
      </c>
      <c r="G546" t="s">
        <v>4</v>
      </c>
      <c r="H546">
        <v>0</v>
      </c>
      <c r="I546">
        <v>0</v>
      </c>
      <c r="J546">
        <v>2024</v>
      </c>
      <c r="K546" t="str">
        <f>IF(Books[[#This Row],[AVERAGE RATING]]&gt;=4,"High",IF(Books[[#This Row],[AVERAGE RATING]]&gt;=3,"Medium","Low"))</f>
        <v>Low</v>
      </c>
      <c r="L546" t="str">
        <f>IF(Books[[#This Row],[AVERAGE RATING]]&gt;10000,"Popular","Average")</f>
        <v>Average</v>
      </c>
      <c r="M546">
        <f>Books[[#This Row],[AVERAGE RATING]]*Books[[#This Row],[RATINGS COUNT]]</f>
        <v>0</v>
      </c>
    </row>
    <row r="547" spans="1:13" x14ac:dyDescent="0.25">
      <c r="A547" t="s">
        <v>1343</v>
      </c>
      <c r="B547" t="s">
        <v>1344</v>
      </c>
      <c r="C547">
        <v>325</v>
      </c>
      <c r="D547" t="s">
        <v>2</v>
      </c>
      <c r="E547" t="s">
        <v>3517</v>
      </c>
      <c r="F547" t="s">
        <v>76</v>
      </c>
      <c r="G547" t="s">
        <v>4</v>
      </c>
      <c r="H547">
        <v>2</v>
      </c>
      <c r="I547">
        <v>2</v>
      </c>
      <c r="J547">
        <v>2015</v>
      </c>
      <c r="K547" t="str">
        <f>IF(Books[[#This Row],[AVERAGE RATING]]&gt;=4,"High",IF(Books[[#This Row],[AVERAGE RATING]]&gt;=3,"Medium","Low"))</f>
        <v>Low</v>
      </c>
      <c r="L547" t="str">
        <f>IF(Books[[#This Row],[AVERAGE RATING]]&gt;10000,"Popular","Average")</f>
        <v>Average</v>
      </c>
      <c r="M547">
        <f>Books[[#This Row],[AVERAGE RATING]]*Books[[#This Row],[RATINGS COUNT]]</f>
        <v>4</v>
      </c>
    </row>
    <row r="548" spans="1:13" x14ac:dyDescent="0.25">
      <c r="A548" t="s">
        <v>1345</v>
      </c>
      <c r="B548" t="s">
        <v>1346</v>
      </c>
      <c r="C548">
        <v>38</v>
      </c>
      <c r="D548" t="s">
        <v>207</v>
      </c>
      <c r="E548" t="s">
        <v>3518</v>
      </c>
      <c r="F548" t="s">
        <v>1347</v>
      </c>
      <c r="G548" t="s">
        <v>4</v>
      </c>
      <c r="H548">
        <v>0</v>
      </c>
      <c r="I548">
        <v>0</v>
      </c>
      <c r="J548">
        <v>2023</v>
      </c>
      <c r="K548" t="str">
        <f>IF(Books[[#This Row],[AVERAGE RATING]]&gt;=4,"High",IF(Books[[#This Row],[AVERAGE RATING]]&gt;=3,"Medium","Low"))</f>
        <v>Low</v>
      </c>
      <c r="L548" t="str">
        <f>IF(Books[[#This Row],[AVERAGE RATING]]&gt;10000,"Popular","Average")</f>
        <v>Average</v>
      </c>
      <c r="M548">
        <f>Books[[#This Row],[AVERAGE RATING]]*Books[[#This Row],[RATINGS COUNT]]</f>
        <v>0</v>
      </c>
    </row>
    <row r="549" spans="1:13" x14ac:dyDescent="0.25">
      <c r="A549" t="s">
        <v>1348</v>
      </c>
      <c r="B549" t="s">
        <v>1349</v>
      </c>
      <c r="C549">
        <v>36</v>
      </c>
      <c r="D549" t="s">
        <v>11</v>
      </c>
      <c r="E549" t="s">
        <v>3519</v>
      </c>
      <c r="F549" t="s">
        <v>1350</v>
      </c>
      <c r="G549" t="s">
        <v>4</v>
      </c>
      <c r="H549">
        <v>0</v>
      </c>
      <c r="I549">
        <v>0</v>
      </c>
      <c r="J549">
        <v>2021</v>
      </c>
      <c r="K549" t="str">
        <f>IF(Books[[#This Row],[AVERAGE RATING]]&gt;=4,"High",IF(Books[[#This Row],[AVERAGE RATING]]&gt;=3,"Medium","Low"))</f>
        <v>Low</v>
      </c>
      <c r="L549" t="str">
        <f>IF(Books[[#This Row],[AVERAGE RATING]]&gt;10000,"Popular","Average")</f>
        <v>Average</v>
      </c>
      <c r="M549">
        <f>Books[[#This Row],[AVERAGE RATING]]*Books[[#This Row],[RATINGS COUNT]]</f>
        <v>0</v>
      </c>
    </row>
    <row r="550" spans="1:13" x14ac:dyDescent="0.25">
      <c r="A550" t="s">
        <v>1351</v>
      </c>
      <c r="B550" t="s">
        <v>1352</v>
      </c>
      <c r="C550">
        <v>109</v>
      </c>
      <c r="D550" t="s">
        <v>11</v>
      </c>
      <c r="E550" t="s">
        <v>3520</v>
      </c>
      <c r="F550" t="s">
        <v>100</v>
      </c>
      <c r="G550" t="s">
        <v>4</v>
      </c>
      <c r="H550">
        <v>0</v>
      </c>
      <c r="I550">
        <v>0</v>
      </c>
      <c r="J550">
        <v>2007</v>
      </c>
      <c r="K550" t="str">
        <f>IF(Books[[#This Row],[AVERAGE RATING]]&gt;=4,"High",IF(Books[[#This Row],[AVERAGE RATING]]&gt;=3,"Medium","Low"))</f>
        <v>Low</v>
      </c>
      <c r="L550" t="str">
        <f>IF(Books[[#This Row],[AVERAGE RATING]]&gt;10000,"Popular","Average")</f>
        <v>Average</v>
      </c>
      <c r="M550">
        <f>Books[[#This Row],[AVERAGE RATING]]*Books[[#This Row],[RATINGS COUNT]]</f>
        <v>0</v>
      </c>
    </row>
    <row r="551" spans="1:13" x14ac:dyDescent="0.25">
      <c r="A551" t="s">
        <v>1353</v>
      </c>
      <c r="B551" t="s">
        <v>1354</v>
      </c>
      <c r="C551">
        <v>437</v>
      </c>
      <c r="D551" t="s">
        <v>2</v>
      </c>
      <c r="E551" t="s">
        <v>3521</v>
      </c>
      <c r="F551" t="s">
        <v>1355</v>
      </c>
      <c r="G551" t="s">
        <v>4</v>
      </c>
      <c r="H551">
        <v>0</v>
      </c>
      <c r="I551">
        <v>0</v>
      </c>
      <c r="J551">
        <v>2024</v>
      </c>
      <c r="K551" t="str">
        <f>IF(Books[[#This Row],[AVERAGE RATING]]&gt;=4,"High",IF(Books[[#This Row],[AVERAGE RATING]]&gt;=3,"Medium","Low"))</f>
        <v>Low</v>
      </c>
      <c r="L551" t="str">
        <f>IF(Books[[#This Row],[AVERAGE RATING]]&gt;10000,"Popular","Average")</f>
        <v>Average</v>
      </c>
      <c r="M551">
        <f>Books[[#This Row],[AVERAGE RATING]]*Books[[#This Row],[RATINGS COUNT]]</f>
        <v>0</v>
      </c>
    </row>
    <row r="552" spans="1:13" x14ac:dyDescent="0.25">
      <c r="A552" t="s">
        <v>1356</v>
      </c>
      <c r="B552" t="s">
        <v>1357</v>
      </c>
      <c r="C552">
        <v>241</v>
      </c>
      <c r="D552" t="s">
        <v>1200</v>
      </c>
      <c r="E552" t="s">
        <v>3287</v>
      </c>
      <c r="F552" t="s">
        <v>1358</v>
      </c>
      <c r="G552" t="s">
        <v>4</v>
      </c>
      <c r="H552">
        <v>3</v>
      </c>
      <c r="I552">
        <v>3</v>
      </c>
      <c r="J552">
        <v>2010</v>
      </c>
      <c r="K552" t="str">
        <f>IF(Books[[#This Row],[AVERAGE RATING]]&gt;=4,"High",IF(Books[[#This Row],[AVERAGE RATING]]&gt;=3,"Medium","Low"))</f>
        <v>Medium</v>
      </c>
      <c r="L552" t="str">
        <f>IF(Books[[#This Row],[AVERAGE RATING]]&gt;10000,"Popular","Average")</f>
        <v>Average</v>
      </c>
      <c r="M552">
        <f>Books[[#This Row],[AVERAGE RATING]]*Books[[#This Row],[RATINGS COUNT]]</f>
        <v>9</v>
      </c>
    </row>
    <row r="553" spans="1:13" x14ac:dyDescent="0.25">
      <c r="A553" t="s">
        <v>1359</v>
      </c>
      <c r="B553" t="s">
        <v>1360</v>
      </c>
      <c r="C553">
        <v>192</v>
      </c>
      <c r="D553" t="s">
        <v>356</v>
      </c>
      <c r="E553" t="s">
        <v>3522</v>
      </c>
      <c r="F553" t="s">
        <v>1203</v>
      </c>
      <c r="G553" t="s">
        <v>4</v>
      </c>
      <c r="H553">
        <v>0</v>
      </c>
      <c r="I553">
        <v>0</v>
      </c>
      <c r="J553">
        <v>2020</v>
      </c>
      <c r="K553" t="str">
        <f>IF(Books[[#This Row],[AVERAGE RATING]]&gt;=4,"High",IF(Books[[#This Row],[AVERAGE RATING]]&gt;=3,"Medium","Low"))</f>
        <v>Low</v>
      </c>
      <c r="L553" t="str">
        <f>IF(Books[[#This Row],[AVERAGE RATING]]&gt;10000,"Popular","Average")</f>
        <v>Average</v>
      </c>
      <c r="M553">
        <f>Books[[#This Row],[AVERAGE RATING]]*Books[[#This Row],[RATINGS COUNT]]</f>
        <v>0</v>
      </c>
    </row>
    <row r="554" spans="1:13" x14ac:dyDescent="0.25">
      <c r="A554" t="s">
        <v>1361</v>
      </c>
      <c r="B554" t="s">
        <v>1362</v>
      </c>
      <c r="C554">
        <v>192</v>
      </c>
      <c r="D554" t="s">
        <v>28</v>
      </c>
      <c r="E554" t="s">
        <v>3271</v>
      </c>
      <c r="F554" t="s">
        <v>76</v>
      </c>
      <c r="G554" t="s">
        <v>4</v>
      </c>
      <c r="H554">
        <v>0</v>
      </c>
      <c r="I554">
        <v>0</v>
      </c>
      <c r="J554">
        <v>2018</v>
      </c>
      <c r="K554" t="str">
        <f>IF(Books[[#This Row],[AVERAGE RATING]]&gt;=4,"High",IF(Books[[#This Row],[AVERAGE RATING]]&gt;=3,"Medium","Low"))</f>
        <v>Low</v>
      </c>
      <c r="L554" t="str">
        <f>IF(Books[[#This Row],[AVERAGE RATING]]&gt;10000,"Popular","Average")</f>
        <v>Average</v>
      </c>
      <c r="M554">
        <f>Books[[#This Row],[AVERAGE RATING]]*Books[[#This Row],[RATINGS COUNT]]</f>
        <v>0</v>
      </c>
    </row>
    <row r="555" spans="1:13" x14ac:dyDescent="0.25">
      <c r="A555" t="s">
        <v>1363</v>
      </c>
      <c r="B555" t="s">
        <v>1364</v>
      </c>
      <c r="C555">
        <v>26</v>
      </c>
      <c r="D555" t="s">
        <v>45</v>
      </c>
      <c r="E555" t="s">
        <v>3523</v>
      </c>
      <c r="F555" t="s">
        <v>935</v>
      </c>
      <c r="G555" t="s">
        <v>4</v>
      </c>
      <c r="H555">
        <v>0</v>
      </c>
      <c r="I555">
        <v>0</v>
      </c>
      <c r="J555">
        <v>2019</v>
      </c>
      <c r="K555" t="str">
        <f>IF(Books[[#This Row],[AVERAGE RATING]]&gt;=4,"High",IF(Books[[#This Row],[AVERAGE RATING]]&gt;=3,"Medium","Low"))</f>
        <v>Low</v>
      </c>
      <c r="L555" t="str">
        <f>IF(Books[[#This Row],[AVERAGE RATING]]&gt;10000,"Popular","Average")</f>
        <v>Average</v>
      </c>
      <c r="M555">
        <f>Books[[#This Row],[AVERAGE RATING]]*Books[[#This Row],[RATINGS COUNT]]</f>
        <v>0</v>
      </c>
    </row>
    <row r="556" spans="1:13" x14ac:dyDescent="0.25">
      <c r="A556" t="s">
        <v>1365</v>
      </c>
      <c r="B556" t="s">
        <v>1366</v>
      </c>
      <c r="C556">
        <v>367</v>
      </c>
      <c r="D556" t="s">
        <v>63</v>
      </c>
      <c r="E556" t="s">
        <v>3524</v>
      </c>
      <c r="F556" t="s">
        <v>35</v>
      </c>
      <c r="G556" t="s">
        <v>4</v>
      </c>
      <c r="H556">
        <v>0</v>
      </c>
      <c r="I556">
        <v>0</v>
      </c>
      <c r="J556">
        <v>2008</v>
      </c>
      <c r="K556" t="str">
        <f>IF(Books[[#This Row],[AVERAGE RATING]]&gt;=4,"High",IF(Books[[#This Row],[AVERAGE RATING]]&gt;=3,"Medium","Low"))</f>
        <v>Low</v>
      </c>
      <c r="L556" t="str">
        <f>IF(Books[[#This Row],[AVERAGE RATING]]&gt;10000,"Popular","Average")</f>
        <v>Average</v>
      </c>
      <c r="M556">
        <f>Books[[#This Row],[AVERAGE RATING]]*Books[[#This Row],[RATINGS COUNT]]</f>
        <v>0</v>
      </c>
    </row>
    <row r="557" spans="1:13" x14ac:dyDescent="0.25">
      <c r="A557" t="s">
        <v>1367</v>
      </c>
      <c r="B557" t="s">
        <v>1368</v>
      </c>
      <c r="C557">
        <v>219</v>
      </c>
      <c r="D557" t="s">
        <v>383</v>
      </c>
      <c r="E557" t="s">
        <v>3335</v>
      </c>
      <c r="F557" t="s">
        <v>76</v>
      </c>
      <c r="G557" t="s">
        <v>4</v>
      </c>
      <c r="H557">
        <v>0</v>
      </c>
      <c r="I557">
        <v>0</v>
      </c>
      <c r="J557">
        <v>2019</v>
      </c>
      <c r="K557" t="str">
        <f>IF(Books[[#This Row],[AVERAGE RATING]]&gt;=4,"High",IF(Books[[#This Row],[AVERAGE RATING]]&gt;=3,"Medium","Low"))</f>
        <v>Low</v>
      </c>
      <c r="L557" t="str">
        <f>IF(Books[[#This Row],[AVERAGE RATING]]&gt;10000,"Popular","Average")</f>
        <v>Average</v>
      </c>
      <c r="M557">
        <f>Books[[#This Row],[AVERAGE RATING]]*Books[[#This Row],[RATINGS COUNT]]</f>
        <v>0</v>
      </c>
    </row>
    <row r="558" spans="1:13" x14ac:dyDescent="0.25">
      <c r="A558" t="s">
        <v>1369</v>
      </c>
      <c r="B558" t="s">
        <v>1370</v>
      </c>
      <c r="C558">
        <v>104</v>
      </c>
      <c r="D558" t="s">
        <v>207</v>
      </c>
      <c r="E558" t="s">
        <v>3525</v>
      </c>
      <c r="F558" t="s">
        <v>1279</v>
      </c>
      <c r="G558" t="s">
        <v>4</v>
      </c>
      <c r="H558">
        <v>0</v>
      </c>
      <c r="I558">
        <v>0</v>
      </c>
      <c r="J558">
        <v>2024</v>
      </c>
      <c r="K558" t="str">
        <f>IF(Books[[#This Row],[AVERAGE RATING]]&gt;=4,"High",IF(Books[[#This Row],[AVERAGE RATING]]&gt;=3,"Medium","Low"))</f>
        <v>Low</v>
      </c>
      <c r="L558" t="str">
        <f>IF(Books[[#This Row],[AVERAGE RATING]]&gt;10000,"Popular","Average")</f>
        <v>Average</v>
      </c>
      <c r="M558">
        <f>Books[[#This Row],[AVERAGE RATING]]*Books[[#This Row],[RATINGS COUNT]]</f>
        <v>0</v>
      </c>
    </row>
    <row r="559" spans="1:13" x14ac:dyDescent="0.25">
      <c r="A559" t="s">
        <v>1371</v>
      </c>
      <c r="B559" t="s">
        <v>1372</v>
      </c>
      <c r="C559">
        <v>156</v>
      </c>
      <c r="D559" t="s">
        <v>356</v>
      </c>
      <c r="E559" t="s">
        <v>3526</v>
      </c>
      <c r="F559" t="s">
        <v>1203</v>
      </c>
      <c r="G559" t="s">
        <v>4</v>
      </c>
      <c r="H559">
        <v>0</v>
      </c>
      <c r="I559">
        <v>0</v>
      </c>
      <c r="J559">
        <v>2022</v>
      </c>
      <c r="K559" t="str">
        <f>IF(Books[[#This Row],[AVERAGE RATING]]&gt;=4,"High",IF(Books[[#This Row],[AVERAGE RATING]]&gt;=3,"Medium","Low"))</f>
        <v>Low</v>
      </c>
      <c r="L559" t="str">
        <f>IF(Books[[#This Row],[AVERAGE RATING]]&gt;10000,"Popular","Average")</f>
        <v>Average</v>
      </c>
      <c r="M559">
        <f>Books[[#This Row],[AVERAGE RATING]]*Books[[#This Row],[RATINGS COUNT]]</f>
        <v>0</v>
      </c>
    </row>
    <row r="560" spans="1:13" x14ac:dyDescent="0.25">
      <c r="A560" t="s">
        <v>1306</v>
      </c>
      <c r="B560" t="s">
        <v>1373</v>
      </c>
      <c r="C560">
        <v>33</v>
      </c>
      <c r="D560" t="s">
        <v>207</v>
      </c>
      <c r="E560" t="s">
        <v>3527</v>
      </c>
      <c r="F560" t="s">
        <v>1374</v>
      </c>
      <c r="G560" t="s">
        <v>4</v>
      </c>
      <c r="H560">
        <v>5</v>
      </c>
      <c r="I560">
        <v>1</v>
      </c>
      <c r="J560">
        <v>2016</v>
      </c>
      <c r="K560" t="str">
        <f>IF(Books[[#This Row],[AVERAGE RATING]]&gt;=4,"High",IF(Books[[#This Row],[AVERAGE RATING]]&gt;=3,"Medium","Low"))</f>
        <v>High</v>
      </c>
      <c r="L560" t="str">
        <f>IF(Books[[#This Row],[AVERAGE RATING]]&gt;10000,"Popular","Average")</f>
        <v>Average</v>
      </c>
      <c r="M560">
        <f>Books[[#This Row],[AVERAGE RATING]]*Books[[#This Row],[RATINGS COUNT]]</f>
        <v>5</v>
      </c>
    </row>
    <row r="561" spans="1:13" x14ac:dyDescent="0.25">
      <c r="A561" t="s">
        <v>1375</v>
      </c>
      <c r="B561" t="s">
        <v>1376</v>
      </c>
      <c r="C561">
        <v>273</v>
      </c>
      <c r="D561" t="s">
        <v>597</v>
      </c>
      <c r="E561" t="s">
        <v>3287</v>
      </c>
      <c r="F561" t="s">
        <v>1377</v>
      </c>
      <c r="G561" t="s">
        <v>4</v>
      </c>
      <c r="H561">
        <v>1</v>
      </c>
      <c r="I561">
        <v>1</v>
      </c>
      <c r="J561">
        <v>2010</v>
      </c>
      <c r="K561" t="str">
        <f>IF(Books[[#This Row],[AVERAGE RATING]]&gt;=4,"High",IF(Books[[#This Row],[AVERAGE RATING]]&gt;=3,"Medium","Low"))</f>
        <v>Low</v>
      </c>
      <c r="L561" t="str">
        <f>IF(Books[[#This Row],[AVERAGE RATING]]&gt;10000,"Popular","Average")</f>
        <v>Average</v>
      </c>
      <c r="M561">
        <f>Books[[#This Row],[AVERAGE RATING]]*Books[[#This Row],[RATINGS COUNT]]</f>
        <v>1</v>
      </c>
    </row>
    <row r="562" spans="1:13" x14ac:dyDescent="0.25">
      <c r="A562" t="s">
        <v>1378</v>
      </c>
      <c r="B562" t="s">
        <v>1379</v>
      </c>
      <c r="C562">
        <v>264</v>
      </c>
      <c r="D562" t="s">
        <v>383</v>
      </c>
      <c r="E562" t="s">
        <v>3528</v>
      </c>
      <c r="F562" t="s">
        <v>1203</v>
      </c>
      <c r="G562" t="s">
        <v>4</v>
      </c>
      <c r="H562">
        <v>0</v>
      </c>
      <c r="I562">
        <v>0</v>
      </c>
      <c r="J562">
        <v>2023</v>
      </c>
      <c r="K562" t="str">
        <f>IF(Books[[#This Row],[AVERAGE RATING]]&gt;=4,"High",IF(Books[[#This Row],[AVERAGE RATING]]&gt;=3,"Medium","Low"))</f>
        <v>Low</v>
      </c>
      <c r="L562" t="str">
        <f>IF(Books[[#This Row],[AVERAGE RATING]]&gt;10000,"Popular","Average")</f>
        <v>Average</v>
      </c>
      <c r="M562">
        <f>Books[[#This Row],[AVERAGE RATING]]*Books[[#This Row],[RATINGS COUNT]]</f>
        <v>0</v>
      </c>
    </row>
    <row r="563" spans="1:13" x14ac:dyDescent="0.25">
      <c r="A563" t="s">
        <v>1380</v>
      </c>
      <c r="B563" t="s">
        <v>1360</v>
      </c>
      <c r="C563">
        <v>64</v>
      </c>
      <c r="D563" t="s">
        <v>356</v>
      </c>
      <c r="E563" t="s">
        <v>3529</v>
      </c>
      <c r="F563" t="s">
        <v>1360</v>
      </c>
      <c r="G563" t="s">
        <v>4</v>
      </c>
      <c r="H563">
        <v>0</v>
      </c>
      <c r="I563">
        <v>0</v>
      </c>
      <c r="J563">
        <v>2020</v>
      </c>
      <c r="K563" t="str">
        <f>IF(Books[[#This Row],[AVERAGE RATING]]&gt;=4,"High",IF(Books[[#This Row],[AVERAGE RATING]]&gt;=3,"Medium","Low"))</f>
        <v>Low</v>
      </c>
      <c r="L563" t="str">
        <f>IF(Books[[#This Row],[AVERAGE RATING]]&gt;10000,"Popular","Average")</f>
        <v>Average</v>
      </c>
      <c r="M563">
        <f>Books[[#This Row],[AVERAGE RATING]]*Books[[#This Row],[RATINGS COUNT]]</f>
        <v>0</v>
      </c>
    </row>
    <row r="564" spans="1:13" x14ac:dyDescent="0.25">
      <c r="A564" t="s">
        <v>1381</v>
      </c>
      <c r="B564" t="s">
        <v>1382</v>
      </c>
      <c r="C564">
        <v>276</v>
      </c>
      <c r="D564" t="s">
        <v>2</v>
      </c>
      <c r="E564" t="s">
        <v>3055</v>
      </c>
      <c r="F564" t="s">
        <v>1383</v>
      </c>
      <c r="G564" t="s">
        <v>4</v>
      </c>
      <c r="H564">
        <v>5</v>
      </c>
      <c r="I564">
        <v>1</v>
      </c>
      <c r="J564">
        <v>2004</v>
      </c>
      <c r="K564" t="str">
        <f>IF(Books[[#This Row],[AVERAGE RATING]]&gt;=4,"High",IF(Books[[#This Row],[AVERAGE RATING]]&gt;=3,"Medium","Low"))</f>
        <v>High</v>
      </c>
      <c r="L564" t="str">
        <f>IF(Books[[#This Row],[AVERAGE RATING]]&gt;10000,"Popular","Average")</f>
        <v>Average</v>
      </c>
      <c r="M564">
        <f>Books[[#This Row],[AVERAGE RATING]]*Books[[#This Row],[RATINGS COUNT]]</f>
        <v>5</v>
      </c>
    </row>
    <row r="565" spans="1:13" x14ac:dyDescent="0.25">
      <c r="A565" t="s">
        <v>1384</v>
      </c>
      <c r="B565" t="s">
        <v>1379</v>
      </c>
      <c r="C565">
        <v>304</v>
      </c>
      <c r="D565" t="s">
        <v>356</v>
      </c>
      <c r="E565" t="s">
        <v>3530</v>
      </c>
      <c r="F565" t="s">
        <v>1203</v>
      </c>
      <c r="G565" t="s">
        <v>4</v>
      </c>
      <c r="H565">
        <v>0</v>
      </c>
      <c r="I565">
        <v>0</v>
      </c>
      <c r="J565">
        <v>2024</v>
      </c>
      <c r="K565" t="str">
        <f>IF(Books[[#This Row],[AVERAGE RATING]]&gt;=4,"High",IF(Books[[#This Row],[AVERAGE RATING]]&gt;=3,"Medium","Low"))</f>
        <v>Low</v>
      </c>
      <c r="L565" t="str">
        <f>IF(Books[[#This Row],[AVERAGE RATING]]&gt;10000,"Popular","Average")</f>
        <v>Average</v>
      </c>
      <c r="M565">
        <f>Books[[#This Row],[AVERAGE RATING]]*Books[[#This Row],[RATINGS COUNT]]</f>
        <v>0</v>
      </c>
    </row>
    <row r="566" spans="1:13" x14ac:dyDescent="0.25">
      <c r="A566" t="s">
        <v>1385</v>
      </c>
      <c r="B566" t="s">
        <v>1379</v>
      </c>
      <c r="C566">
        <v>224</v>
      </c>
      <c r="D566" t="s">
        <v>356</v>
      </c>
      <c r="E566" t="s">
        <v>3531</v>
      </c>
      <c r="F566" t="s">
        <v>1203</v>
      </c>
      <c r="G566" t="s">
        <v>4</v>
      </c>
      <c r="H566">
        <v>0</v>
      </c>
      <c r="I566">
        <v>0</v>
      </c>
      <c r="J566">
        <v>2024</v>
      </c>
      <c r="K566" t="str">
        <f>IF(Books[[#This Row],[AVERAGE RATING]]&gt;=4,"High",IF(Books[[#This Row],[AVERAGE RATING]]&gt;=3,"Medium","Low"))</f>
        <v>Low</v>
      </c>
      <c r="L566" t="str">
        <f>IF(Books[[#This Row],[AVERAGE RATING]]&gt;10000,"Popular","Average")</f>
        <v>Average</v>
      </c>
      <c r="M566">
        <f>Books[[#This Row],[AVERAGE RATING]]*Books[[#This Row],[RATINGS COUNT]]</f>
        <v>0</v>
      </c>
    </row>
    <row r="567" spans="1:13" x14ac:dyDescent="0.25">
      <c r="A567" t="s">
        <v>1386</v>
      </c>
      <c r="B567" t="s">
        <v>1387</v>
      </c>
      <c r="C567">
        <v>324</v>
      </c>
      <c r="D567" t="s">
        <v>2</v>
      </c>
      <c r="E567" t="s">
        <v>3532</v>
      </c>
      <c r="F567" t="s">
        <v>183</v>
      </c>
      <c r="G567" t="s">
        <v>4</v>
      </c>
      <c r="H567">
        <v>0</v>
      </c>
      <c r="I567">
        <v>0</v>
      </c>
      <c r="J567">
        <v>2022</v>
      </c>
      <c r="K567" t="str">
        <f>IF(Books[[#This Row],[AVERAGE RATING]]&gt;=4,"High",IF(Books[[#This Row],[AVERAGE RATING]]&gt;=3,"Medium","Low"))</f>
        <v>Low</v>
      </c>
      <c r="L567" t="str">
        <f>IF(Books[[#This Row],[AVERAGE RATING]]&gt;10000,"Popular","Average")</f>
        <v>Average</v>
      </c>
      <c r="M567">
        <f>Books[[#This Row],[AVERAGE RATING]]*Books[[#This Row],[RATINGS COUNT]]</f>
        <v>0</v>
      </c>
    </row>
    <row r="568" spans="1:13" x14ac:dyDescent="0.25">
      <c r="A568" t="s">
        <v>1388</v>
      </c>
      <c r="B568" t="s">
        <v>1389</v>
      </c>
      <c r="C568">
        <v>226</v>
      </c>
      <c r="D568" t="s">
        <v>28</v>
      </c>
      <c r="E568" t="s">
        <v>3533</v>
      </c>
      <c r="F568" t="s">
        <v>76</v>
      </c>
      <c r="G568" t="s">
        <v>4</v>
      </c>
      <c r="H568">
        <v>4.5</v>
      </c>
      <c r="I568">
        <v>2</v>
      </c>
      <c r="J568">
        <v>2018</v>
      </c>
      <c r="K568" t="str">
        <f>IF(Books[[#This Row],[AVERAGE RATING]]&gt;=4,"High",IF(Books[[#This Row],[AVERAGE RATING]]&gt;=3,"Medium","Low"))</f>
        <v>High</v>
      </c>
      <c r="L568" t="str">
        <f>IF(Books[[#This Row],[AVERAGE RATING]]&gt;10000,"Popular","Average")</f>
        <v>Average</v>
      </c>
      <c r="M568">
        <f>Books[[#This Row],[AVERAGE RATING]]*Books[[#This Row],[RATINGS COUNT]]</f>
        <v>9</v>
      </c>
    </row>
    <row r="569" spans="1:13" x14ac:dyDescent="0.25">
      <c r="A569" t="s">
        <v>1306</v>
      </c>
      <c r="B569" t="s">
        <v>1390</v>
      </c>
      <c r="C569">
        <v>40</v>
      </c>
      <c r="D569" t="s">
        <v>207</v>
      </c>
      <c r="E569" t="s">
        <v>3343</v>
      </c>
      <c r="F569" t="s">
        <v>492</v>
      </c>
      <c r="G569" t="s">
        <v>4</v>
      </c>
      <c r="H569">
        <v>0</v>
      </c>
      <c r="I569">
        <v>0</v>
      </c>
      <c r="J569">
        <v>2011</v>
      </c>
      <c r="K569" t="str">
        <f>IF(Books[[#This Row],[AVERAGE RATING]]&gt;=4,"High",IF(Books[[#This Row],[AVERAGE RATING]]&gt;=3,"Medium","Low"))</f>
        <v>Low</v>
      </c>
      <c r="L569" t="str">
        <f>IF(Books[[#This Row],[AVERAGE RATING]]&gt;10000,"Popular","Average")</f>
        <v>Average</v>
      </c>
      <c r="M569">
        <f>Books[[#This Row],[AVERAGE RATING]]*Books[[#This Row],[RATINGS COUNT]]</f>
        <v>0</v>
      </c>
    </row>
    <row r="570" spans="1:13" x14ac:dyDescent="0.25">
      <c r="A570" t="s">
        <v>1391</v>
      </c>
      <c r="B570" t="s">
        <v>1392</v>
      </c>
      <c r="C570">
        <v>368</v>
      </c>
      <c r="D570" t="s">
        <v>298</v>
      </c>
      <c r="E570" t="s">
        <v>3155</v>
      </c>
      <c r="F570" t="s">
        <v>1393</v>
      </c>
      <c r="G570" t="s">
        <v>4</v>
      </c>
      <c r="H570">
        <v>5</v>
      </c>
      <c r="I570">
        <v>1</v>
      </c>
      <c r="J570">
        <v>2006</v>
      </c>
      <c r="K570" t="str">
        <f>IF(Books[[#This Row],[AVERAGE RATING]]&gt;=4,"High",IF(Books[[#This Row],[AVERAGE RATING]]&gt;=3,"Medium","Low"))</f>
        <v>High</v>
      </c>
      <c r="L570" t="str">
        <f>IF(Books[[#This Row],[AVERAGE RATING]]&gt;10000,"Popular","Average")</f>
        <v>Average</v>
      </c>
      <c r="M570">
        <f>Books[[#This Row],[AVERAGE RATING]]*Books[[#This Row],[RATINGS COUNT]]</f>
        <v>5</v>
      </c>
    </row>
    <row r="571" spans="1:13" x14ac:dyDescent="0.25">
      <c r="A571" t="s">
        <v>1391</v>
      </c>
      <c r="B571" t="s">
        <v>1394</v>
      </c>
      <c r="C571">
        <v>217</v>
      </c>
      <c r="D571" t="s">
        <v>2</v>
      </c>
      <c r="E571" t="s">
        <v>3144</v>
      </c>
      <c r="F571" t="s">
        <v>807</v>
      </c>
      <c r="G571" t="s">
        <v>4</v>
      </c>
      <c r="H571">
        <v>3</v>
      </c>
      <c r="I571">
        <v>1</v>
      </c>
      <c r="J571">
        <v>2008</v>
      </c>
      <c r="K571" t="str">
        <f>IF(Books[[#This Row],[AVERAGE RATING]]&gt;=4,"High",IF(Books[[#This Row],[AVERAGE RATING]]&gt;=3,"Medium","Low"))</f>
        <v>Medium</v>
      </c>
      <c r="L571" t="str">
        <f>IF(Books[[#This Row],[AVERAGE RATING]]&gt;10000,"Popular","Average")</f>
        <v>Average</v>
      </c>
      <c r="M571">
        <f>Books[[#This Row],[AVERAGE RATING]]*Books[[#This Row],[RATINGS COUNT]]</f>
        <v>3</v>
      </c>
    </row>
    <row r="572" spans="1:13" x14ac:dyDescent="0.25">
      <c r="A572" t="s">
        <v>1395</v>
      </c>
      <c r="B572" t="s">
        <v>1392</v>
      </c>
      <c r="C572">
        <v>316</v>
      </c>
      <c r="D572" t="s">
        <v>2</v>
      </c>
      <c r="E572" t="s">
        <v>3144</v>
      </c>
      <c r="F572" t="s">
        <v>834</v>
      </c>
      <c r="G572" t="s">
        <v>4</v>
      </c>
      <c r="H572">
        <v>0</v>
      </c>
      <c r="I572">
        <v>0</v>
      </c>
      <c r="J572">
        <v>2008</v>
      </c>
      <c r="K572" t="str">
        <f>IF(Books[[#This Row],[AVERAGE RATING]]&gt;=4,"High",IF(Books[[#This Row],[AVERAGE RATING]]&gt;=3,"Medium","Low"))</f>
        <v>Low</v>
      </c>
      <c r="L572" t="str">
        <f>IF(Books[[#This Row],[AVERAGE RATING]]&gt;10000,"Popular","Average")</f>
        <v>Average</v>
      </c>
      <c r="M572">
        <f>Books[[#This Row],[AVERAGE RATING]]*Books[[#This Row],[RATINGS COUNT]]</f>
        <v>0</v>
      </c>
    </row>
    <row r="573" spans="1:13" x14ac:dyDescent="0.25">
      <c r="A573" t="s">
        <v>1396</v>
      </c>
      <c r="B573" t="s">
        <v>1397</v>
      </c>
      <c r="C573">
        <v>232</v>
      </c>
      <c r="D573" t="s">
        <v>2</v>
      </c>
      <c r="E573" t="s">
        <v>3534</v>
      </c>
      <c r="F573" t="s">
        <v>148</v>
      </c>
      <c r="G573" t="s">
        <v>4</v>
      </c>
      <c r="H573">
        <v>0</v>
      </c>
      <c r="I573">
        <v>0</v>
      </c>
      <c r="J573">
        <v>2006</v>
      </c>
      <c r="K573" t="str">
        <f>IF(Books[[#This Row],[AVERAGE RATING]]&gt;=4,"High",IF(Books[[#This Row],[AVERAGE RATING]]&gt;=3,"Medium","Low"))</f>
        <v>Low</v>
      </c>
      <c r="L573" t="str">
        <f>IF(Books[[#This Row],[AVERAGE RATING]]&gt;10000,"Popular","Average")</f>
        <v>Average</v>
      </c>
      <c r="M573">
        <f>Books[[#This Row],[AVERAGE RATING]]*Books[[#This Row],[RATINGS COUNT]]</f>
        <v>0</v>
      </c>
    </row>
    <row r="574" spans="1:13" x14ac:dyDescent="0.25">
      <c r="A574" t="s">
        <v>1398</v>
      </c>
      <c r="B574" t="s">
        <v>1399</v>
      </c>
      <c r="C574">
        <v>256</v>
      </c>
      <c r="D574" t="s">
        <v>38</v>
      </c>
      <c r="E574" t="s">
        <v>3535</v>
      </c>
      <c r="F574" t="s">
        <v>473</v>
      </c>
      <c r="G574" t="s">
        <v>4</v>
      </c>
      <c r="H574">
        <v>0</v>
      </c>
      <c r="I574">
        <v>0</v>
      </c>
      <c r="J574">
        <v>2013</v>
      </c>
      <c r="K574" t="str">
        <f>IF(Books[[#This Row],[AVERAGE RATING]]&gt;=4,"High",IF(Books[[#This Row],[AVERAGE RATING]]&gt;=3,"Medium","Low"))</f>
        <v>Low</v>
      </c>
      <c r="L574" t="str">
        <f>IF(Books[[#This Row],[AVERAGE RATING]]&gt;10000,"Popular","Average")</f>
        <v>Average</v>
      </c>
      <c r="M574">
        <f>Books[[#This Row],[AVERAGE RATING]]*Books[[#This Row],[RATINGS COUNT]]</f>
        <v>0</v>
      </c>
    </row>
    <row r="575" spans="1:13" x14ac:dyDescent="0.25">
      <c r="A575" t="s">
        <v>1400</v>
      </c>
      <c r="B575" t="s">
        <v>1401</v>
      </c>
      <c r="C575">
        <v>308</v>
      </c>
      <c r="D575" t="s">
        <v>2</v>
      </c>
      <c r="E575" t="s">
        <v>3067</v>
      </c>
      <c r="F575" t="s">
        <v>1402</v>
      </c>
      <c r="G575" t="s">
        <v>4</v>
      </c>
      <c r="H575">
        <v>0</v>
      </c>
      <c r="I575">
        <v>0</v>
      </c>
      <c r="J575">
        <v>2003</v>
      </c>
      <c r="K575" t="str">
        <f>IF(Books[[#This Row],[AVERAGE RATING]]&gt;=4,"High",IF(Books[[#This Row],[AVERAGE RATING]]&gt;=3,"Medium","Low"))</f>
        <v>Low</v>
      </c>
      <c r="L575" t="str">
        <f>IF(Books[[#This Row],[AVERAGE RATING]]&gt;10000,"Popular","Average")</f>
        <v>Average</v>
      </c>
      <c r="M575">
        <f>Books[[#This Row],[AVERAGE RATING]]*Books[[#This Row],[RATINGS COUNT]]</f>
        <v>0</v>
      </c>
    </row>
    <row r="576" spans="1:13" x14ac:dyDescent="0.25">
      <c r="A576" t="s">
        <v>1403</v>
      </c>
      <c r="B576" t="s">
        <v>1404</v>
      </c>
      <c r="C576">
        <v>515</v>
      </c>
      <c r="D576" t="s">
        <v>453</v>
      </c>
      <c r="E576" t="s">
        <v>3536</v>
      </c>
      <c r="F576" t="s">
        <v>1405</v>
      </c>
      <c r="G576" t="s">
        <v>1304</v>
      </c>
      <c r="H576">
        <v>0</v>
      </c>
      <c r="I576">
        <v>0</v>
      </c>
      <c r="J576">
        <v>2020</v>
      </c>
      <c r="K576" t="str">
        <f>IF(Books[[#This Row],[AVERAGE RATING]]&gt;=4,"High",IF(Books[[#This Row],[AVERAGE RATING]]&gt;=3,"Medium","Low"))</f>
        <v>Low</v>
      </c>
      <c r="L576" t="str">
        <f>IF(Books[[#This Row],[AVERAGE RATING]]&gt;10000,"Popular","Average")</f>
        <v>Average</v>
      </c>
      <c r="M576">
        <f>Books[[#This Row],[AVERAGE RATING]]*Books[[#This Row],[RATINGS COUNT]]</f>
        <v>0</v>
      </c>
    </row>
    <row r="577" spans="1:13" x14ac:dyDescent="0.25">
      <c r="A577" t="s">
        <v>1406</v>
      </c>
      <c r="B577" t="s">
        <v>1404</v>
      </c>
      <c r="C577">
        <v>516</v>
      </c>
      <c r="D577" t="s">
        <v>54</v>
      </c>
      <c r="E577" t="s">
        <v>3537</v>
      </c>
      <c r="F577" t="s">
        <v>1405</v>
      </c>
      <c r="G577" t="s">
        <v>1407</v>
      </c>
      <c r="H577">
        <v>0</v>
      </c>
      <c r="I577">
        <v>0</v>
      </c>
      <c r="J577">
        <v>2017</v>
      </c>
      <c r="K577" t="str">
        <f>IF(Books[[#This Row],[AVERAGE RATING]]&gt;=4,"High",IF(Books[[#This Row],[AVERAGE RATING]]&gt;=3,"Medium","Low"))</f>
        <v>Low</v>
      </c>
      <c r="L577" t="str">
        <f>IF(Books[[#This Row],[AVERAGE RATING]]&gt;10000,"Popular","Average")</f>
        <v>Average</v>
      </c>
      <c r="M577">
        <f>Books[[#This Row],[AVERAGE RATING]]*Books[[#This Row],[RATINGS COUNT]]</f>
        <v>0</v>
      </c>
    </row>
    <row r="578" spans="1:13" x14ac:dyDescent="0.25">
      <c r="A578" t="s">
        <v>1408</v>
      </c>
      <c r="B578" t="s">
        <v>1409</v>
      </c>
      <c r="C578">
        <v>145</v>
      </c>
      <c r="D578" t="s">
        <v>383</v>
      </c>
      <c r="E578" t="s">
        <v>3538</v>
      </c>
      <c r="F578" t="s">
        <v>861</v>
      </c>
      <c r="G578" t="s">
        <v>4</v>
      </c>
      <c r="H578">
        <v>0</v>
      </c>
      <c r="I578">
        <v>0</v>
      </c>
      <c r="J578">
        <v>2021</v>
      </c>
      <c r="K578" t="str">
        <f>IF(Books[[#This Row],[AVERAGE RATING]]&gt;=4,"High",IF(Books[[#This Row],[AVERAGE RATING]]&gt;=3,"Medium","Low"))</f>
        <v>Low</v>
      </c>
      <c r="L578" t="str">
        <f>IF(Books[[#This Row],[AVERAGE RATING]]&gt;10000,"Popular","Average")</f>
        <v>Average</v>
      </c>
      <c r="M578">
        <f>Books[[#This Row],[AVERAGE RATING]]*Books[[#This Row],[RATINGS COUNT]]</f>
        <v>0</v>
      </c>
    </row>
    <row r="579" spans="1:13" x14ac:dyDescent="0.25">
      <c r="A579" t="s">
        <v>1410</v>
      </c>
      <c r="B579" t="s">
        <v>1404</v>
      </c>
      <c r="C579">
        <v>434</v>
      </c>
      <c r="D579" t="s">
        <v>453</v>
      </c>
      <c r="E579" t="s">
        <v>3536</v>
      </c>
      <c r="F579" t="s">
        <v>1405</v>
      </c>
      <c r="G579" t="s">
        <v>1407</v>
      </c>
      <c r="H579">
        <v>0</v>
      </c>
      <c r="I579">
        <v>0</v>
      </c>
      <c r="J579">
        <v>2020</v>
      </c>
      <c r="K579" t="str">
        <f>IF(Books[[#This Row],[AVERAGE RATING]]&gt;=4,"High",IF(Books[[#This Row],[AVERAGE RATING]]&gt;=3,"Medium","Low"))</f>
        <v>Low</v>
      </c>
      <c r="L579" t="str">
        <f>IF(Books[[#This Row],[AVERAGE RATING]]&gt;10000,"Popular","Average")</f>
        <v>Average</v>
      </c>
      <c r="M579">
        <f>Books[[#This Row],[AVERAGE RATING]]*Books[[#This Row],[RATINGS COUNT]]</f>
        <v>0</v>
      </c>
    </row>
    <row r="580" spans="1:13" x14ac:dyDescent="0.25">
      <c r="A580" t="s">
        <v>1411</v>
      </c>
      <c r="B580" t="s">
        <v>1404</v>
      </c>
      <c r="C580">
        <v>436</v>
      </c>
      <c r="D580" t="s">
        <v>54</v>
      </c>
      <c r="E580" t="s">
        <v>3537</v>
      </c>
      <c r="F580" t="s">
        <v>1405</v>
      </c>
      <c r="G580" t="s">
        <v>1304</v>
      </c>
      <c r="H580">
        <v>0</v>
      </c>
      <c r="I580">
        <v>0</v>
      </c>
      <c r="J580">
        <v>2017</v>
      </c>
      <c r="K580" t="str">
        <f>IF(Books[[#This Row],[AVERAGE RATING]]&gt;=4,"High",IF(Books[[#This Row],[AVERAGE RATING]]&gt;=3,"Medium","Low"))</f>
        <v>Low</v>
      </c>
      <c r="L580" t="str">
        <f>IF(Books[[#This Row],[AVERAGE RATING]]&gt;10000,"Popular","Average")</f>
        <v>Average</v>
      </c>
      <c r="M580">
        <f>Books[[#This Row],[AVERAGE RATING]]*Books[[#This Row],[RATINGS COUNT]]</f>
        <v>0</v>
      </c>
    </row>
    <row r="581" spans="1:13" x14ac:dyDescent="0.25">
      <c r="A581" t="s">
        <v>1412</v>
      </c>
      <c r="B581" t="s">
        <v>1404</v>
      </c>
      <c r="C581">
        <v>524</v>
      </c>
      <c r="D581" t="s">
        <v>54</v>
      </c>
      <c r="E581" t="s">
        <v>3537</v>
      </c>
      <c r="F581" t="s">
        <v>1405</v>
      </c>
      <c r="G581" t="s">
        <v>1304</v>
      </c>
      <c r="H581">
        <v>0</v>
      </c>
      <c r="I581">
        <v>0</v>
      </c>
      <c r="J581">
        <v>2017</v>
      </c>
      <c r="K581" t="str">
        <f>IF(Books[[#This Row],[AVERAGE RATING]]&gt;=4,"High",IF(Books[[#This Row],[AVERAGE RATING]]&gt;=3,"Medium","Low"))</f>
        <v>Low</v>
      </c>
      <c r="L581" t="str">
        <f>IF(Books[[#This Row],[AVERAGE RATING]]&gt;10000,"Popular","Average")</f>
        <v>Average</v>
      </c>
      <c r="M581">
        <f>Books[[#This Row],[AVERAGE RATING]]*Books[[#This Row],[RATINGS COUNT]]</f>
        <v>0</v>
      </c>
    </row>
    <row r="582" spans="1:13" x14ac:dyDescent="0.25">
      <c r="A582" t="s">
        <v>1413</v>
      </c>
      <c r="B582" t="s">
        <v>1346</v>
      </c>
      <c r="C582">
        <v>32</v>
      </c>
      <c r="D582" t="s">
        <v>207</v>
      </c>
      <c r="E582" t="s">
        <v>3539</v>
      </c>
      <c r="F582" t="s">
        <v>1347</v>
      </c>
      <c r="G582" t="s">
        <v>4</v>
      </c>
      <c r="H582">
        <v>0</v>
      </c>
      <c r="I582">
        <v>0</v>
      </c>
      <c r="J582">
        <v>2023</v>
      </c>
      <c r="K582" t="str">
        <f>IF(Books[[#This Row],[AVERAGE RATING]]&gt;=4,"High",IF(Books[[#This Row],[AVERAGE RATING]]&gt;=3,"Medium","Low"))</f>
        <v>Low</v>
      </c>
      <c r="L582" t="str">
        <f>IF(Books[[#This Row],[AVERAGE RATING]]&gt;10000,"Popular","Average")</f>
        <v>Average</v>
      </c>
      <c r="M582">
        <f>Books[[#This Row],[AVERAGE RATING]]*Books[[#This Row],[RATINGS COUNT]]</f>
        <v>0</v>
      </c>
    </row>
    <row r="583" spans="1:13" x14ac:dyDescent="0.25">
      <c r="A583" t="s">
        <v>1414</v>
      </c>
      <c r="B583" t="s">
        <v>1415</v>
      </c>
      <c r="C583">
        <v>20</v>
      </c>
      <c r="D583" t="s">
        <v>2</v>
      </c>
      <c r="E583" t="s">
        <v>3540</v>
      </c>
      <c r="F583" t="s">
        <v>776</v>
      </c>
      <c r="G583" t="s">
        <v>4</v>
      </c>
      <c r="H583">
        <v>0</v>
      </c>
      <c r="I583">
        <v>0</v>
      </c>
      <c r="J583">
        <v>2005</v>
      </c>
      <c r="K583" t="str">
        <f>IF(Books[[#This Row],[AVERAGE RATING]]&gt;=4,"High",IF(Books[[#This Row],[AVERAGE RATING]]&gt;=3,"Medium","Low"))</f>
        <v>Low</v>
      </c>
      <c r="L583" t="str">
        <f>IF(Books[[#This Row],[AVERAGE RATING]]&gt;10000,"Popular","Average")</f>
        <v>Average</v>
      </c>
      <c r="M583">
        <f>Books[[#This Row],[AVERAGE RATING]]*Books[[#This Row],[RATINGS COUNT]]</f>
        <v>0</v>
      </c>
    </row>
    <row r="584" spans="1:13" x14ac:dyDescent="0.25">
      <c r="A584" t="s">
        <v>1416</v>
      </c>
      <c r="B584" t="s">
        <v>1417</v>
      </c>
      <c r="C584">
        <v>161</v>
      </c>
      <c r="D584" t="s">
        <v>2</v>
      </c>
      <c r="E584" t="s">
        <v>3156</v>
      </c>
      <c r="F584" t="s">
        <v>1418</v>
      </c>
      <c r="G584" t="s">
        <v>4</v>
      </c>
      <c r="H584">
        <v>0</v>
      </c>
      <c r="I584">
        <v>0</v>
      </c>
      <c r="J584">
        <v>2021</v>
      </c>
      <c r="K584" t="str">
        <f>IF(Books[[#This Row],[AVERAGE RATING]]&gt;=4,"High",IF(Books[[#This Row],[AVERAGE RATING]]&gt;=3,"Medium","Low"))</f>
        <v>Low</v>
      </c>
      <c r="L584" t="str">
        <f>IF(Books[[#This Row],[AVERAGE RATING]]&gt;10000,"Popular","Average")</f>
        <v>Average</v>
      </c>
      <c r="M584">
        <f>Books[[#This Row],[AVERAGE RATING]]*Books[[#This Row],[RATINGS COUNT]]</f>
        <v>0</v>
      </c>
    </row>
    <row r="585" spans="1:13" x14ac:dyDescent="0.25">
      <c r="A585" t="s">
        <v>1419</v>
      </c>
      <c r="B585" t="s">
        <v>1420</v>
      </c>
      <c r="C585">
        <v>403</v>
      </c>
      <c r="D585" t="s">
        <v>32</v>
      </c>
      <c r="E585" t="s">
        <v>3541</v>
      </c>
      <c r="F585" t="s">
        <v>1421</v>
      </c>
      <c r="G585" t="s">
        <v>4</v>
      </c>
      <c r="H585">
        <v>0</v>
      </c>
      <c r="I585">
        <v>0</v>
      </c>
      <c r="J585">
        <v>2015</v>
      </c>
      <c r="K585" t="str">
        <f>IF(Books[[#This Row],[AVERAGE RATING]]&gt;=4,"High",IF(Books[[#This Row],[AVERAGE RATING]]&gt;=3,"Medium","Low"))</f>
        <v>Low</v>
      </c>
      <c r="L585" t="str">
        <f>IF(Books[[#This Row],[AVERAGE RATING]]&gt;10000,"Popular","Average")</f>
        <v>Average</v>
      </c>
      <c r="M585">
        <f>Books[[#This Row],[AVERAGE RATING]]*Books[[#This Row],[RATINGS COUNT]]</f>
        <v>0</v>
      </c>
    </row>
    <row r="586" spans="1:13" x14ac:dyDescent="0.25">
      <c r="A586" t="s">
        <v>1422</v>
      </c>
      <c r="B586" t="s">
        <v>1423</v>
      </c>
      <c r="C586">
        <v>224</v>
      </c>
      <c r="D586" t="s">
        <v>2</v>
      </c>
      <c r="E586" t="s">
        <v>3542</v>
      </c>
      <c r="F586" t="s">
        <v>1424</v>
      </c>
      <c r="G586" t="s">
        <v>4</v>
      </c>
      <c r="H586">
        <v>0</v>
      </c>
      <c r="I586">
        <v>0</v>
      </c>
      <c r="J586">
        <v>2012</v>
      </c>
      <c r="K586" t="str">
        <f>IF(Books[[#This Row],[AVERAGE RATING]]&gt;=4,"High",IF(Books[[#This Row],[AVERAGE RATING]]&gt;=3,"Medium","Low"))</f>
        <v>Low</v>
      </c>
      <c r="L586" t="str">
        <f>IF(Books[[#This Row],[AVERAGE RATING]]&gt;10000,"Popular","Average")</f>
        <v>Average</v>
      </c>
      <c r="M586">
        <f>Books[[#This Row],[AVERAGE RATING]]*Books[[#This Row],[RATINGS COUNT]]</f>
        <v>0</v>
      </c>
    </row>
    <row r="587" spans="1:13" x14ac:dyDescent="0.25">
      <c r="A587" t="s">
        <v>1425</v>
      </c>
      <c r="B587" t="s">
        <v>1426</v>
      </c>
      <c r="C587">
        <v>64</v>
      </c>
      <c r="D587" t="s">
        <v>356</v>
      </c>
      <c r="E587" t="s">
        <v>3543</v>
      </c>
      <c r="F587" t="s">
        <v>1203</v>
      </c>
      <c r="G587" t="s">
        <v>4</v>
      </c>
      <c r="H587">
        <v>0</v>
      </c>
      <c r="I587">
        <v>0</v>
      </c>
      <c r="J587">
        <v>2023</v>
      </c>
      <c r="K587" t="str">
        <f>IF(Books[[#This Row],[AVERAGE RATING]]&gt;=4,"High",IF(Books[[#This Row],[AVERAGE RATING]]&gt;=3,"Medium","Low"))</f>
        <v>Low</v>
      </c>
      <c r="L587" t="str">
        <f>IF(Books[[#This Row],[AVERAGE RATING]]&gt;10000,"Popular","Average")</f>
        <v>Average</v>
      </c>
      <c r="M587">
        <f>Books[[#This Row],[AVERAGE RATING]]*Books[[#This Row],[RATINGS COUNT]]</f>
        <v>0</v>
      </c>
    </row>
    <row r="588" spans="1:13" x14ac:dyDescent="0.25">
      <c r="A588" t="s">
        <v>1427</v>
      </c>
      <c r="B588" t="s">
        <v>1428</v>
      </c>
      <c r="C588">
        <v>183</v>
      </c>
      <c r="D588" t="s">
        <v>2</v>
      </c>
      <c r="E588" t="s">
        <v>3544</v>
      </c>
      <c r="F588" t="s">
        <v>42</v>
      </c>
      <c r="G588" t="s">
        <v>4</v>
      </c>
      <c r="H588">
        <v>5</v>
      </c>
      <c r="I588">
        <v>1</v>
      </c>
      <c r="J588">
        <v>2010</v>
      </c>
      <c r="K588" t="str">
        <f>IF(Books[[#This Row],[AVERAGE RATING]]&gt;=4,"High",IF(Books[[#This Row],[AVERAGE RATING]]&gt;=3,"Medium","Low"))</f>
        <v>High</v>
      </c>
      <c r="L588" t="str">
        <f>IF(Books[[#This Row],[AVERAGE RATING]]&gt;10000,"Popular","Average")</f>
        <v>Average</v>
      </c>
      <c r="M588">
        <f>Books[[#This Row],[AVERAGE RATING]]*Books[[#This Row],[RATINGS COUNT]]</f>
        <v>5</v>
      </c>
    </row>
    <row r="589" spans="1:13" x14ac:dyDescent="0.25">
      <c r="A589" t="s">
        <v>1429</v>
      </c>
      <c r="B589" t="s">
        <v>1430</v>
      </c>
      <c r="C589">
        <v>308</v>
      </c>
      <c r="D589" t="s">
        <v>158</v>
      </c>
      <c r="E589" t="s">
        <v>3055</v>
      </c>
      <c r="F589" t="s">
        <v>1431</v>
      </c>
      <c r="G589" t="s">
        <v>4</v>
      </c>
      <c r="H589">
        <v>3.5</v>
      </c>
      <c r="I589">
        <v>5</v>
      </c>
      <c r="J589">
        <v>2004</v>
      </c>
      <c r="K589" t="str">
        <f>IF(Books[[#This Row],[AVERAGE RATING]]&gt;=4,"High",IF(Books[[#This Row],[AVERAGE RATING]]&gt;=3,"Medium","Low"))</f>
        <v>Medium</v>
      </c>
      <c r="L589" t="str">
        <f>IF(Books[[#This Row],[AVERAGE RATING]]&gt;10000,"Popular","Average")</f>
        <v>Average</v>
      </c>
      <c r="M589">
        <f>Books[[#This Row],[AVERAGE RATING]]*Books[[#This Row],[RATINGS COUNT]]</f>
        <v>17.5</v>
      </c>
    </row>
    <row r="590" spans="1:13" x14ac:dyDescent="0.25">
      <c r="A590" t="s">
        <v>1432</v>
      </c>
      <c r="B590" t="s">
        <v>1433</v>
      </c>
      <c r="C590">
        <v>1381</v>
      </c>
      <c r="D590" t="s">
        <v>11</v>
      </c>
      <c r="E590" t="s">
        <v>3432</v>
      </c>
      <c r="F590" t="s">
        <v>1434</v>
      </c>
      <c r="G590" t="s">
        <v>4</v>
      </c>
      <c r="H590">
        <v>0</v>
      </c>
      <c r="I590">
        <v>0</v>
      </c>
      <c r="J590">
        <v>2024</v>
      </c>
      <c r="K590" t="str">
        <f>IF(Books[[#This Row],[AVERAGE RATING]]&gt;=4,"High",IF(Books[[#This Row],[AVERAGE RATING]]&gt;=3,"Medium","Low"))</f>
        <v>Low</v>
      </c>
      <c r="L590" t="str">
        <f>IF(Books[[#This Row],[AVERAGE RATING]]&gt;10000,"Popular","Average")</f>
        <v>Average</v>
      </c>
      <c r="M590">
        <f>Books[[#This Row],[AVERAGE RATING]]*Books[[#This Row],[RATINGS COUNT]]</f>
        <v>0</v>
      </c>
    </row>
    <row r="591" spans="1:13" x14ac:dyDescent="0.25">
      <c r="A591" t="s">
        <v>1435</v>
      </c>
      <c r="B591" t="s">
        <v>1436</v>
      </c>
      <c r="C591">
        <v>432</v>
      </c>
      <c r="D591" t="s">
        <v>356</v>
      </c>
      <c r="E591" t="s">
        <v>3545</v>
      </c>
      <c r="F591" t="s">
        <v>1203</v>
      </c>
      <c r="G591" t="s">
        <v>4</v>
      </c>
      <c r="H591">
        <v>0</v>
      </c>
      <c r="I591">
        <v>0</v>
      </c>
      <c r="J591">
        <v>2019</v>
      </c>
      <c r="K591" t="str">
        <f>IF(Books[[#This Row],[AVERAGE RATING]]&gt;=4,"High",IF(Books[[#This Row],[AVERAGE RATING]]&gt;=3,"Medium","Low"))</f>
        <v>Low</v>
      </c>
      <c r="L591" t="str">
        <f>IF(Books[[#This Row],[AVERAGE RATING]]&gt;10000,"Popular","Average")</f>
        <v>Average</v>
      </c>
      <c r="M591">
        <f>Books[[#This Row],[AVERAGE RATING]]*Books[[#This Row],[RATINGS COUNT]]</f>
        <v>0</v>
      </c>
    </row>
    <row r="592" spans="1:13" x14ac:dyDescent="0.25">
      <c r="A592" t="s">
        <v>1437</v>
      </c>
      <c r="B592" t="s">
        <v>1438</v>
      </c>
      <c r="C592">
        <v>129</v>
      </c>
      <c r="D592" t="s">
        <v>59</v>
      </c>
      <c r="E592" t="s">
        <v>3546</v>
      </c>
      <c r="F592" t="s">
        <v>756</v>
      </c>
      <c r="G592" t="s">
        <v>4</v>
      </c>
      <c r="H592">
        <v>5</v>
      </c>
      <c r="I592">
        <v>1</v>
      </c>
      <c r="J592">
        <v>2019</v>
      </c>
      <c r="K592" t="str">
        <f>IF(Books[[#This Row],[AVERAGE RATING]]&gt;=4,"High",IF(Books[[#This Row],[AVERAGE RATING]]&gt;=3,"Medium","Low"))</f>
        <v>High</v>
      </c>
      <c r="L592" t="str">
        <f>IF(Books[[#This Row],[AVERAGE RATING]]&gt;10000,"Popular","Average")</f>
        <v>Average</v>
      </c>
      <c r="M592">
        <f>Books[[#This Row],[AVERAGE RATING]]*Books[[#This Row],[RATINGS COUNT]]</f>
        <v>5</v>
      </c>
    </row>
    <row r="593" spans="1:13" x14ac:dyDescent="0.25">
      <c r="A593" t="s">
        <v>1439</v>
      </c>
      <c r="B593" t="s">
        <v>1440</v>
      </c>
      <c r="C593">
        <v>195</v>
      </c>
      <c r="D593" t="s">
        <v>383</v>
      </c>
      <c r="E593" t="s">
        <v>3547</v>
      </c>
      <c r="F593" t="s">
        <v>1441</v>
      </c>
      <c r="G593" t="s">
        <v>4</v>
      </c>
      <c r="H593">
        <v>0</v>
      </c>
      <c r="I593">
        <v>0</v>
      </c>
      <c r="J593">
        <v>2012</v>
      </c>
      <c r="K593" t="str">
        <f>IF(Books[[#This Row],[AVERAGE RATING]]&gt;=4,"High",IF(Books[[#This Row],[AVERAGE RATING]]&gt;=3,"Medium","Low"))</f>
        <v>Low</v>
      </c>
      <c r="L593" t="str">
        <f>IF(Books[[#This Row],[AVERAGE RATING]]&gt;10000,"Popular","Average")</f>
        <v>Average</v>
      </c>
      <c r="M593">
        <f>Books[[#This Row],[AVERAGE RATING]]*Books[[#This Row],[RATINGS COUNT]]</f>
        <v>0</v>
      </c>
    </row>
    <row r="594" spans="1:13" x14ac:dyDescent="0.25">
      <c r="A594" t="s">
        <v>1443</v>
      </c>
      <c r="B594" t="s">
        <v>1444</v>
      </c>
      <c r="C594">
        <v>3682</v>
      </c>
      <c r="D594" t="s">
        <v>7</v>
      </c>
      <c r="E594" t="s">
        <v>3548</v>
      </c>
      <c r="F594" t="s">
        <v>1445</v>
      </c>
      <c r="G594" t="s">
        <v>4</v>
      </c>
      <c r="H594">
        <v>0</v>
      </c>
      <c r="I594">
        <v>0</v>
      </c>
      <c r="J594">
        <v>2017</v>
      </c>
      <c r="K594" t="str">
        <f>IF(Books[[#This Row],[AVERAGE RATING]]&gt;=4,"High",IF(Books[[#This Row],[AVERAGE RATING]]&gt;=3,"Medium","Low"))</f>
        <v>Low</v>
      </c>
      <c r="L594" t="str">
        <f>IF(Books[[#This Row],[AVERAGE RATING]]&gt;10000,"Popular","Average")</f>
        <v>Average</v>
      </c>
      <c r="M594">
        <f>Books[[#This Row],[AVERAGE RATING]]*Books[[#This Row],[RATINGS COUNT]]</f>
        <v>0</v>
      </c>
    </row>
    <row r="595" spans="1:13" x14ac:dyDescent="0.25">
      <c r="A595" t="s">
        <v>1446</v>
      </c>
      <c r="B595" t="s">
        <v>1447</v>
      </c>
      <c r="C595">
        <v>320</v>
      </c>
      <c r="D595" t="s">
        <v>38</v>
      </c>
      <c r="E595" t="s">
        <v>3549</v>
      </c>
      <c r="F595" t="s">
        <v>132</v>
      </c>
      <c r="G595" t="s">
        <v>4</v>
      </c>
      <c r="H595">
        <v>5</v>
      </c>
      <c r="I595">
        <v>1</v>
      </c>
      <c r="J595">
        <v>2012</v>
      </c>
      <c r="K595" t="str">
        <f>IF(Books[[#This Row],[AVERAGE RATING]]&gt;=4,"High",IF(Books[[#This Row],[AVERAGE RATING]]&gt;=3,"Medium","Low"))</f>
        <v>High</v>
      </c>
      <c r="L595" t="str">
        <f>IF(Books[[#This Row],[AVERAGE RATING]]&gt;10000,"Popular","Average")</f>
        <v>Average</v>
      </c>
      <c r="M595">
        <f>Books[[#This Row],[AVERAGE RATING]]*Books[[#This Row],[RATINGS COUNT]]</f>
        <v>5</v>
      </c>
    </row>
    <row r="596" spans="1:13" x14ac:dyDescent="0.25">
      <c r="A596" t="s">
        <v>1448</v>
      </c>
      <c r="B596" t="s">
        <v>1449</v>
      </c>
      <c r="C596">
        <v>309</v>
      </c>
      <c r="D596" t="s">
        <v>2</v>
      </c>
      <c r="E596" t="s">
        <v>3550</v>
      </c>
      <c r="F596" t="s">
        <v>76</v>
      </c>
      <c r="G596" t="s">
        <v>4</v>
      </c>
      <c r="H596">
        <v>0</v>
      </c>
      <c r="I596">
        <v>0</v>
      </c>
      <c r="J596">
        <v>2015</v>
      </c>
      <c r="K596" t="str">
        <f>IF(Books[[#This Row],[AVERAGE RATING]]&gt;=4,"High",IF(Books[[#This Row],[AVERAGE RATING]]&gt;=3,"Medium","Low"))</f>
        <v>Low</v>
      </c>
      <c r="L596" t="str">
        <f>IF(Books[[#This Row],[AVERAGE RATING]]&gt;10000,"Popular","Average")</f>
        <v>Average</v>
      </c>
      <c r="M596">
        <f>Books[[#This Row],[AVERAGE RATING]]*Books[[#This Row],[RATINGS COUNT]]</f>
        <v>0</v>
      </c>
    </row>
    <row r="597" spans="1:13" x14ac:dyDescent="0.25">
      <c r="A597" t="s">
        <v>1450</v>
      </c>
      <c r="B597" t="s">
        <v>1451</v>
      </c>
      <c r="C597">
        <v>966</v>
      </c>
      <c r="D597" t="s">
        <v>453</v>
      </c>
      <c r="E597" t="s">
        <v>3551</v>
      </c>
      <c r="F597" t="s">
        <v>1452</v>
      </c>
      <c r="G597" t="s">
        <v>1304</v>
      </c>
      <c r="H597">
        <v>0</v>
      </c>
      <c r="I597">
        <v>0</v>
      </c>
      <c r="J597">
        <v>2015</v>
      </c>
      <c r="K597" t="str">
        <f>IF(Books[[#This Row],[AVERAGE RATING]]&gt;=4,"High",IF(Books[[#This Row],[AVERAGE RATING]]&gt;=3,"Medium","Low"))</f>
        <v>Low</v>
      </c>
      <c r="L597" t="str">
        <f>IF(Books[[#This Row],[AVERAGE RATING]]&gt;10000,"Popular","Average")</f>
        <v>Average</v>
      </c>
      <c r="M597">
        <f>Books[[#This Row],[AVERAGE RATING]]*Books[[#This Row],[RATINGS COUNT]]</f>
        <v>0</v>
      </c>
    </row>
    <row r="598" spans="1:13" x14ac:dyDescent="0.25">
      <c r="A598" t="s">
        <v>1453</v>
      </c>
      <c r="B598" t="s">
        <v>1454</v>
      </c>
      <c r="C598">
        <v>248</v>
      </c>
      <c r="D598" t="s">
        <v>383</v>
      </c>
      <c r="E598" t="s">
        <v>3552</v>
      </c>
      <c r="F598" t="s">
        <v>1203</v>
      </c>
      <c r="G598" t="s">
        <v>4</v>
      </c>
      <c r="H598">
        <v>0</v>
      </c>
      <c r="I598">
        <v>0</v>
      </c>
      <c r="J598">
        <v>2024</v>
      </c>
      <c r="K598" t="str">
        <f>IF(Books[[#This Row],[AVERAGE RATING]]&gt;=4,"High",IF(Books[[#This Row],[AVERAGE RATING]]&gt;=3,"Medium","Low"))</f>
        <v>Low</v>
      </c>
      <c r="L598" t="str">
        <f>IF(Books[[#This Row],[AVERAGE RATING]]&gt;10000,"Popular","Average")</f>
        <v>Average</v>
      </c>
      <c r="M598">
        <f>Books[[#This Row],[AVERAGE RATING]]*Books[[#This Row],[RATINGS COUNT]]</f>
        <v>0</v>
      </c>
    </row>
    <row r="599" spans="1:13" x14ac:dyDescent="0.25">
      <c r="A599" t="s">
        <v>1455</v>
      </c>
      <c r="B599" t="s">
        <v>1456</v>
      </c>
      <c r="C599">
        <v>145</v>
      </c>
      <c r="D599" t="s">
        <v>383</v>
      </c>
      <c r="E599" t="s">
        <v>3553</v>
      </c>
      <c r="F599" t="s">
        <v>1457</v>
      </c>
      <c r="G599" t="s">
        <v>4</v>
      </c>
      <c r="H599">
        <v>0</v>
      </c>
      <c r="I599">
        <v>0</v>
      </c>
      <c r="J599">
        <v>2024</v>
      </c>
      <c r="K599" t="str">
        <f>IF(Books[[#This Row],[AVERAGE RATING]]&gt;=4,"High",IF(Books[[#This Row],[AVERAGE RATING]]&gt;=3,"Medium","Low"))</f>
        <v>Low</v>
      </c>
      <c r="L599" t="str">
        <f>IF(Books[[#This Row],[AVERAGE RATING]]&gt;10000,"Popular","Average")</f>
        <v>Average</v>
      </c>
      <c r="M599">
        <f>Books[[#This Row],[AVERAGE RATING]]*Books[[#This Row],[RATINGS COUNT]]</f>
        <v>0</v>
      </c>
    </row>
    <row r="600" spans="1:13" x14ac:dyDescent="0.25">
      <c r="A600" t="s">
        <v>1458</v>
      </c>
      <c r="B600" t="s">
        <v>1459</v>
      </c>
      <c r="C600">
        <v>325</v>
      </c>
      <c r="D600" t="s">
        <v>383</v>
      </c>
      <c r="E600" t="s">
        <v>3554</v>
      </c>
      <c r="F600" t="s">
        <v>1360</v>
      </c>
      <c r="G600" t="s">
        <v>4</v>
      </c>
      <c r="H600">
        <v>0</v>
      </c>
      <c r="I600">
        <v>0</v>
      </c>
      <c r="J600">
        <v>2019</v>
      </c>
      <c r="K600" t="str">
        <f>IF(Books[[#This Row],[AVERAGE RATING]]&gt;=4,"High",IF(Books[[#This Row],[AVERAGE RATING]]&gt;=3,"Medium","Low"))</f>
        <v>Low</v>
      </c>
      <c r="L600" t="str">
        <f>IF(Books[[#This Row],[AVERAGE RATING]]&gt;10000,"Popular","Average")</f>
        <v>Average</v>
      </c>
      <c r="M600">
        <f>Books[[#This Row],[AVERAGE RATING]]*Books[[#This Row],[RATINGS COUNT]]</f>
        <v>0</v>
      </c>
    </row>
    <row r="601" spans="1:13" x14ac:dyDescent="0.25">
      <c r="A601" t="s">
        <v>1460</v>
      </c>
      <c r="B601" t="s">
        <v>1454</v>
      </c>
      <c r="C601">
        <v>248</v>
      </c>
      <c r="D601" t="s">
        <v>356</v>
      </c>
      <c r="E601" t="s">
        <v>3555</v>
      </c>
      <c r="F601" t="s">
        <v>1203</v>
      </c>
      <c r="G601" t="s">
        <v>4</v>
      </c>
      <c r="H601">
        <v>0</v>
      </c>
      <c r="I601">
        <v>0</v>
      </c>
      <c r="J601">
        <v>2023</v>
      </c>
      <c r="K601" t="str">
        <f>IF(Books[[#This Row],[AVERAGE RATING]]&gt;=4,"High",IF(Books[[#This Row],[AVERAGE RATING]]&gt;=3,"Medium","Low"))</f>
        <v>Low</v>
      </c>
      <c r="L601" t="str">
        <f>IF(Books[[#This Row],[AVERAGE RATING]]&gt;10000,"Popular","Average")</f>
        <v>Average</v>
      </c>
      <c r="M601">
        <f>Books[[#This Row],[AVERAGE RATING]]*Books[[#This Row],[RATINGS COUNT]]</f>
        <v>0</v>
      </c>
    </row>
    <row r="602" spans="1:13" x14ac:dyDescent="0.25">
      <c r="A602" t="s">
        <v>1461</v>
      </c>
      <c r="B602" t="s">
        <v>1462</v>
      </c>
      <c r="C602">
        <v>384</v>
      </c>
      <c r="D602" t="s">
        <v>383</v>
      </c>
      <c r="E602" t="s">
        <v>3556</v>
      </c>
      <c r="F602" t="s">
        <v>1463</v>
      </c>
      <c r="G602" t="s">
        <v>4</v>
      </c>
      <c r="H602">
        <v>0</v>
      </c>
      <c r="I602">
        <v>0</v>
      </c>
      <c r="J602">
        <v>2019</v>
      </c>
      <c r="K602" t="str">
        <f>IF(Books[[#This Row],[AVERAGE RATING]]&gt;=4,"High",IF(Books[[#This Row],[AVERAGE RATING]]&gt;=3,"Medium","Low"))</f>
        <v>Low</v>
      </c>
      <c r="L602" t="str">
        <f>IF(Books[[#This Row],[AVERAGE RATING]]&gt;10000,"Popular","Average")</f>
        <v>Average</v>
      </c>
      <c r="M602">
        <f>Books[[#This Row],[AVERAGE RATING]]*Books[[#This Row],[RATINGS COUNT]]</f>
        <v>0</v>
      </c>
    </row>
    <row r="603" spans="1:13" x14ac:dyDescent="0.25">
      <c r="A603" t="s">
        <v>1464</v>
      </c>
      <c r="B603" t="s">
        <v>1465</v>
      </c>
      <c r="C603">
        <v>325</v>
      </c>
      <c r="D603" t="s">
        <v>28</v>
      </c>
      <c r="E603" t="s">
        <v>3557</v>
      </c>
      <c r="F603" t="s">
        <v>132</v>
      </c>
      <c r="G603" t="s">
        <v>4</v>
      </c>
      <c r="H603">
        <v>0</v>
      </c>
      <c r="I603">
        <v>0</v>
      </c>
      <c r="J603">
        <v>2017</v>
      </c>
      <c r="K603" t="str">
        <f>IF(Books[[#This Row],[AVERAGE RATING]]&gt;=4,"High",IF(Books[[#This Row],[AVERAGE RATING]]&gt;=3,"Medium","Low"))</f>
        <v>Low</v>
      </c>
      <c r="L603" t="str">
        <f>IF(Books[[#This Row],[AVERAGE RATING]]&gt;10000,"Popular","Average")</f>
        <v>Average</v>
      </c>
      <c r="M603">
        <f>Books[[#This Row],[AVERAGE RATING]]*Books[[#This Row],[RATINGS COUNT]]</f>
        <v>0</v>
      </c>
    </row>
    <row r="604" spans="1:13" x14ac:dyDescent="0.25">
      <c r="A604" t="s">
        <v>1466</v>
      </c>
      <c r="B604" t="s">
        <v>1467</v>
      </c>
      <c r="C604">
        <v>234</v>
      </c>
      <c r="D604" t="s">
        <v>15</v>
      </c>
      <c r="E604" t="s">
        <v>3558</v>
      </c>
      <c r="F604" t="s">
        <v>76</v>
      </c>
      <c r="G604" t="s">
        <v>4</v>
      </c>
      <c r="H604">
        <v>0</v>
      </c>
      <c r="I604">
        <v>0</v>
      </c>
      <c r="J604">
        <v>2017</v>
      </c>
      <c r="K604" t="str">
        <f>IF(Books[[#This Row],[AVERAGE RATING]]&gt;=4,"High",IF(Books[[#This Row],[AVERAGE RATING]]&gt;=3,"Medium","Low"))</f>
        <v>Low</v>
      </c>
      <c r="L604" t="str">
        <f>IF(Books[[#This Row],[AVERAGE RATING]]&gt;10000,"Popular","Average")</f>
        <v>Average</v>
      </c>
      <c r="M604">
        <f>Books[[#This Row],[AVERAGE RATING]]*Books[[#This Row],[RATINGS COUNT]]</f>
        <v>0</v>
      </c>
    </row>
    <row r="605" spans="1:13" x14ac:dyDescent="0.25">
      <c r="A605" t="s">
        <v>1468</v>
      </c>
      <c r="B605" t="s">
        <v>1469</v>
      </c>
      <c r="C605">
        <v>88</v>
      </c>
      <c r="D605" t="s">
        <v>1342</v>
      </c>
      <c r="E605" t="s">
        <v>3559</v>
      </c>
      <c r="F605" t="s">
        <v>1203</v>
      </c>
      <c r="G605" t="s">
        <v>4</v>
      </c>
      <c r="H605">
        <v>0</v>
      </c>
      <c r="I605">
        <v>0</v>
      </c>
      <c r="J605">
        <v>2023</v>
      </c>
      <c r="K605" t="str">
        <f>IF(Books[[#This Row],[AVERAGE RATING]]&gt;=4,"High",IF(Books[[#This Row],[AVERAGE RATING]]&gt;=3,"Medium","Low"))</f>
        <v>Low</v>
      </c>
      <c r="L605" t="str">
        <f>IF(Books[[#This Row],[AVERAGE RATING]]&gt;10000,"Popular","Average")</f>
        <v>Average</v>
      </c>
      <c r="M605">
        <f>Books[[#This Row],[AVERAGE RATING]]*Books[[#This Row],[RATINGS COUNT]]</f>
        <v>0</v>
      </c>
    </row>
    <row r="606" spans="1:13" x14ac:dyDescent="0.25">
      <c r="A606" t="s">
        <v>1470</v>
      </c>
      <c r="B606" t="s">
        <v>1469</v>
      </c>
      <c r="C606">
        <v>20</v>
      </c>
      <c r="D606" t="s">
        <v>314</v>
      </c>
      <c r="E606" t="s">
        <v>3560</v>
      </c>
      <c r="F606" t="s">
        <v>1203</v>
      </c>
      <c r="G606" t="s">
        <v>4</v>
      </c>
      <c r="H606">
        <v>0</v>
      </c>
      <c r="I606">
        <v>0</v>
      </c>
      <c r="J606">
        <v>2022</v>
      </c>
      <c r="K606" t="str">
        <f>IF(Books[[#This Row],[AVERAGE RATING]]&gt;=4,"High",IF(Books[[#This Row],[AVERAGE RATING]]&gt;=3,"Medium","Low"))</f>
        <v>Low</v>
      </c>
      <c r="L606" t="str">
        <f>IF(Books[[#This Row],[AVERAGE RATING]]&gt;10000,"Popular","Average")</f>
        <v>Average</v>
      </c>
      <c r="M606">
        <f>Books[[#This Row],[AVERAGE RATING]]*Books[[#This Row],[RATINGS COUNT]]</f>
        <v>0</v>
      </c>
    </row>
    <row r="607" spans="1:13" x14ac:dyDescent="0.25">
      <c r="A607" t="s">
        <v>1471</v>
      </c>
      <c r="B607" t="s">
        <v>1472</v>
      </c>
      <c r="C607">
        <v>145</v>
      </c>
      <c r="D607" t="s">
        <v>298</v>
      </c>
      <c r="E607" t="s">
        <v>3561</v>
      </c>
      <c r="F607" t="s">
        <v>156</v>
      </c>
      <c r="G607" t="s">
        <v>4</v>
      </c>
      <c r="H607">
        <v>0</v>
      </c>
      <c r="I607">
        <v>0</v>
      </c>
      <c r="J607">
        <v>2022</v>
      </c>
      <c r="K607" t="str">
        <f>IF(Books[[#This Row],[AVERAGE RATING]]&gt;=4,"High",IF(Books[[#This Row],[AVERAGE RATING]]&gt;=3,"Medium","Low"))</f>
        <v>Low</v>
      </c>
      <c r="L607" t="str">
        <f>IF(Books[[#This Row],[AVERAGE RATING]]&gt;10000,"Popular","Average")</f>
        <v>Average</v>
      </c>
      <c r="M607">
        <f>Books[[#This Row],[AVERAGE RATING]]*Books[[#This Row],[RATINGS COUNT]]</f>
        <v>0</v>
      </c>
    </row>
    <row r="608" spans="1:13" x14ac:dyDescent="0.25">
      <c r="A608" t="s">
        <v>1473</v>
      </c>
      <c r="B608" t="s">
        <v>1474</v>
      </c>
      <c r="C608">
        <v>192</v>
      </c>
      <c r="D608" t="s">
        <v>617</v>
      </c>
      <c r="E608" t="s">
        <v>3530</v>
      </c>
      <c r="F608" t="s">
        <v>1203</v>
      </c>
      <c r="G608" t="s">
        <v>4</v>
      </c>
      <c r="H608">
        <v>0</v>
      </c>
      <c r="I608">
        <v>0</v>
      </c>
      <c r="J608">
        <v>2024</v>
      </c>
      <c r="K608" t="str">
        <f>IF(Books[[#This Row],[AVERAGE RATING]]&gt;=4,"High",IF(Books[[#This Row],[AVERAGE RATING]]&gt;=3,"Medium","Low"))</f>
        <v>Low</v>
      </c>
      <c r="L608" t="str">
        <f>IF(Books[[#This Row],[AVERAGE RATING]]&gt;10000,"Popular","Average")</f>
        <v>Average</v>
      </c>
      <c r="M608">
        <f>Books[[#This Row],[AVERAGE RATING]]*Books[[#This Row],[RATINGS COUNT]]</f>
        <v>0</v>
      </c>
    </row>
    <row r="609" spans="1:13" x14ac:dyDescent="0.25">
      <c r="A609" t="s">
        <v>1475</v>
      </c>
      <c r="B609" t="s">
        <v>1476</v>
      </c>
      <c r="C609">
        <v>206</v>
      </c>
      <c r="D609" t="s">
        <v>356</v>
      </c>
      <c r="E609" t="s">
        <v>3562</v>
      </c>
      <c r="F609" t="s">
        <v>1477</v>
      </c>
      <c r="G609" t="s">
        <v>4</v>
      </c>
      <c r="H609">
        <v>0</v>
      </c>
      <c r="I609">
        <v>0</v>
      </c>
      <c r="J609">
        <v>2017</v>
      </c>
      <c r="K609" t="str">
        <f>IF(Books[[#This Row],[AVERAGE RATING]]&gt;=4,"High",IF(Books[[#This Row],[AVERAGE RATING]]&gt;=3,"Medium","Low"))</f>
        <v>Low</v>
      </c>
      <c r="L609" t="str">
        <f>IF(Books[[#This Row],[AVERAGE RATING]]&gt;10000,"Popular","Average")</f>
        <v>Average</v>
      </c>
      <c r="M609">
        <f>Books[[#This Row],[AVERAGE RATING]]*Books[[#This Row],[RATINGS COUNT]]</f>
        <v>0</v>
      </c>
    </row>
    <row r="610" spans="1:13" x14ac:dyDescent="0.25">
      <c r="A610" t="s">
        <v>1478</v>
      </c>
      <c r="B610" t="s">
        <v>1479</v>
      </c>
      <c r="C610">
        <v>123</v>
      </c>
      <c r="D610" t="s">
        <v>383</v>
      </c>
      <c r="E610" t="s">
        <v>3563</v>
      </c>
      <c r="F610" t="s">
        <v>119</v>
      </c>
      <c r="G610" t="s">
        <v>4</v>
      </c>
      <c r="H610">
        <v>0</v>
      </c>
      <c r="I610">
        <v>0</v>
      </c>
      <c r="J610">
        <v>2021</v>
      </c>
      <c r="K610" t="str">
        <f>IF(Books[[#This Row],[AVERAGE RATING]]&gt;=4,"High",IF(Books[[#This Row],[AVERAGE RATING]]&gt;=3,"Medium","Low"))</f>
        <v>Low</v>
      </c>
      <c r="L610" t="str">
        <f>IF(Books[[#This Row],[AVERAGE RATING]]&gt;10000,"Popular","Average")</f>
        <v>Average</v>
      </c>
      <c r="M610">
        <f>Books[[#This Row],[AVERAGE RATING]]*Books[[#This Row],[RATINGS COUNT]]</f>
        <v>0</v>
      </c>
    </row>
    <row r="611" spans="1:13" x14ac:dyDescent="0.25">
      <c r="A611" t="s">
        <v>1480</v>
      </c>
      <c r="B611" t="s">
        <v>1481</v>
      </c>
      <c r="C611">
        <v>240</v>
      </c>
      <c r="D611" t="s">
        <v>383</v>
      </c>
      <c r="E611" t="s">
        <v>3564</v>
      </c>
      <c r="F611" t="s">
        <v>119</v>
      </c>
      <c r="G611" t="s">
        <v>4</v>
      </c>
      <c r="H611">
        <v>0</v>
      </c>
      <c r="I611">
        <v>0</v>
      </c>
      <c r="J611">
        <v>2023</v>
      </c>
      <c r="K611" t="str">
        <f>IF(Books[[#This Row],[AVERAGE RATING]]&gt;=4,"High",IF(Books[[#This Row],[AVERAGE RATING]]&gt;=3,"Medium","Low"))</f>
        <v>Low</v>
      </c>
      <c r="L611" t="str">
        <f>IF(Books[[#This Row],[AVERAGE RATING]]&gt;10000,"Popular","Average")</f>
        <v>Average</v>
      </c>
      <c r="M611">
        <f>Books[[#This Row],[AVERAGE RATING]]*Books[[#This Row],[RATINGS COUNT]]</f>
        <v>0</v>
      </c>
    </row>
    <row r="612" spans="1:13" x14ac:dyDescent="0.25">
      <c r="A612" t="s">
        <v>1482</v>
      </c>
      <c r="B612" t="s">
        <v>1483</v>
      </c>
      <c r="C612">
        <v>199</v>
      </c>
      <c r="D612" t="s">
        <v>383</v>
      </c>
      <c r="E612" t="s">
        <v>3526</v>
      </c>
      <c r="F612" t="s">
        <v>76</v>
      </c>
      <c r="G612" t="s">
        <v>4</v>
      </c>
      <c r="H612">
        <v>0</v>
      </c>
      <c r="I612">
        <v>0</v>
      </c>
      <c r="J612">
        <v>2022</v>
      </c>
      <c r="K612" t="str">
        <f>IF(Books[[#This Row],[AVERAGE RATING]]&gt;=4,"High",IF(Books[[#This Row],[AVERAGE RATING]]&gt;=3,"Medium","Low"))</f>
        <v>Low</v>
      </c>
      <c r="L612" t="str">
        <f>IF(Books[[#This Row],[AVERAGE RATING]]&gt;10000,"Popular","Average")</f>
        <v>Average</v>
      </c>
      <c r="M612">
        <f>Books[[#This Row],[AVERAGE RATING]]*Books[[#This Row],[RATINGS COUNT]]</f>
        <v>0</v>
      </c>
    </row>
    <row r="613" spans="1:13" x14ac:dyDescent="0.25">
      <c r="A613" t="s">
        <v>1484</v>
      </c>
      <c r="B613" t="s">
        <v>1485</v>
      </c>
      <c r="C613">
        <v>374</v>
      </c>
      <c r="D613" t="s">
        <v>383</v>
      </c>
      <c r="E613" t="s">
        <v>3465</v>
      </c>
      <c r="F613" t="s">
        <v>119</v>
      </c>
      <c r="G613" t="s">
        <v>4</v>
      </c>
      <c r="H613">
        <v>0</v>
      </c>
      <c r="I613">
        <v>0</v>
      </c>
      <c r="J613">
        <v>2023</v>
      </c>
      <c r="K613" t="str">
        <f>IF(Books[[#This Row],[AVERAGE RATING]]&gt;=4,"High",IF(Books[[#This Row],[AVERAGE RATING]]&gt;=3,"Medium","Low"))</f>
        <v>Low</v>
      </c>
      <c r="L613" t="str">
        <f>IF(Books[[#This Row],[AVERAGE RATING]]&gt;10000,"Popular","Average")</f>
        <v>Average</v>
      </c>
      <c r="M613">
        <f>Books[[#This Row],[AVERAGE RATING]]*Books[[#This Row],[RATINGS COUNT]]</f>
        <v>0</v>
      </c>
    </row>
    <row r="614" spans="1:13" x14ac:dyDescent="0.25">
      <c r="A614" t="s">
        <v>1486</v>
      </c>
      <c r="B614" t="s">
        <v>1487</v>
      </c>
      <c r="C614">
        <v>372</v>
      </c>
      <c r="D614" t="s">
        <v>2</v>
      </c>
      <c r="E614" t="s">
        <v>3565</v>
      </c>
      <c r="F614" t="s">
        <v>1488</v>
      </c>
      <c r="G614" t="s">
        <v>4</v>
      </c>
      <c r="H614">
        <v>5</v>
      </c>
      <c r="I614">
        <v>2</v>
      </c>
      <c r="J614">
        <v>2011</v>
      </c>
      <c r="K614" t="str">
        <f>IF(Books[[#This Row],[AVERAGE RATING]]&gt;=4,"High",IF(Books[[#This Row],[AVERAGE RATING]]&gt;=3,"Medium","Low"))</f>
        <v>High</v>
      </c>
      <c r="L614" t="str">
        <f>IF(Books[[#This Row],[AVERAGE RATING]]&gt;10000,"Popular","Average")</f>
        <v>Average</v>
      </c>
      <c r="M614">
        <f>Books[[#This Row],[AVERAGE RATING]]*Books[[#This Row],[RATINGS COUNT]]</f>
        <v>10</v>
      </c>
    </row>
    <row r="615" spans="1:13" x14ac:dyDescent="0.25">
      <c r="A615" t="s">
        <v>1489</v>
      </c>
      <c r="B615" t="s">
        <v>1490</v>
      </c>
      <c r="C615">
        <v>113</v>
      </c>
      <c r="D615" t="s">
        <v>11</v>
      </c>
      <c r="E615" t="s">
        <v>3122</v>
      </c>
      <c r="F615" t="s">
        <v>1491</v>
      </c>
      <c r="G615" t="s">
        <v>4</v>
      </c>
      <c r="H615">
        <v>0</v>
      </c>
      <c r="I615">
        <v>0</v>
      </c>
      <c r="J615">
        <v>2018</v>
      </c>
      <c r="K615" t="str">
        <f>IF(Books[[#This Row],[AVERAGE RATING]]&gt;=4,"High",IF(Books[[#This Row],[AVERAGE RATING]]&gt;=3,"Medium","Low"))</f>
        <v>Low</v>
      </c>
      <c r="L615" t="str">
        <f>IF(Books[[#This Row],[AVERAGE RATING]]&gt;10000,"Popular","Average")</f>
        <v>Average</v>
      </c>
      <c r="M615">
        <f>Books[[#This Row],[AVERAGE RATING]]*Books[[#This Row],[RATINGS COUNT]]</f>
        <v>0</v>
      </c>
    </row>
    <row r="616" spans="1:13" x14ac:dyDescent="0.25">
      <c r="A616" t="s">
        <v>1492</v>
      </c>
      <c r="B616" t="s">
        <v>1493</v>
      </c>
      <c r="C616">
        <v>196</v>
      </c>
      <c r="D616" t="s">
        <v>383</v>
      </c>
      <c r="E616" t="s">
        <v>3566</v>
      </c>
      <c r="F616" t="s">
        <v>1441</v>
      </c>
      <c r="G616" t="s">
        <v>4</v>
      </c>
      <c r="H616">
        <v>0</v>
      </c>
      <c r="I616">
        <v>0</v>
      </c>
      <c r="J616">
        <v>2014</v>
      </c>
      <c r="K616" t="str">
        <f>IF(Books[[#This Row],[AVERAGE RATING]]&gt;=4,"High",IF(Books[[#This Row],[AVERAGE RATING]]&gt;=3,"Medium","Low"))</f>
        <v>Low</v>
      </c>
      <c r="L616" t="str">
        <f>IF(Books[[#This Row],[AVERAGE RATING]]&gt;10000,"Popular","Average")</f>
        <v>Average</v>
      </c>
      <c r="M616">
        <f>Books[[#This Row],[AVERAGE RATING]]*Books[[#This Row],[RATINGS COUNT]]</f>
        <v>0</v>
      </c>
    </row>
    <row r="617" spans="1:13" x14ac:dyDescent="0.25">
      <c r="A617" t="s">
        <v>1494</v>
      </c>
      <c r="B617" t="s">
        <v>1495</v>
      </c>
      <c r="C617">
        <v>338</v>
      </c>
      <c r="D617" t="s">
        <v>2</v>
      </c>
      <c r="E617" t="s">
        <v>3567</v>
      </c>
      <c r="F617" t="s">
        <v>433</v>
      </c>
      <c r="G617" t="s">
        <v>4</v>
      </c>
      <c r="H617">
        <v>0</v>
      </c>
      <c r="I617">
        <v>0</v>
      </c>
      <c r="J617">
        <v>2023</v>
      </c>
      <c r="K617" t="str">
        <f>IF(Books[[#This Row],[AVERAGE RATING]]&gt;=4,"High",IF(Books[[#This Row],[AVERAGE RATING]]&gt;=3,"Medium","Low"))</f>
        <v>Low</v>
      </c>
      <c r="L617" t="str">
        <f>IF(Books[[#This Row],[AVERAGE RATING]]&gt;10000,"Popular","Average")</f>
        <v>Average</v>
      </c>
      <c r="M617">
        <f>Books[[#This Row],[AVERAGE RATING]]*Books[[#This Row],[RATINGS COUNT]]</f>
        <v>0</v>
      </c>
    </row>
    <row r="618" spans="1:13" x14ac:dyDescent="0.25">
      <c r="A618" t="s">
        <v>1496</v>
      </c>
      <c r="B618" t="s">
        <v>1497</v>
      </c>
      <c r="C618">
        <v>60</v>
      </c>
      <c r="D618" t="s">
        <v>158</v>
      </c>
      <c r="E618" t="s">
        <v>3568</v>
      </c>
      <c r="F618" t="s">
        <v>776</v>
      </c>
      <c r="G618" t="s">
        <v>4</v>
      </c>
      <c r="H618">
        <v>0</v>
      </c>
      <c r="I618">
        <v>0</v>
      </c>
      <c r="J618">
        <v>2013</v>
      </c>
      <c r="K618" t="str">
        <f>IF(Books[[#This Row],[AVERAGE RATING]]&gt;=4,"High",IF(Books[[#This Row],[AVERAGE RATING]]&gt;=3,"Medium","Low"))</f>
        <v>Low</v>
      </c>
      <c r="L618" t="str">
        <f>IF(Books[[#This Row],[AVERAGE RATING]]&gt;10000,"Popular","Average")</f>
        <v>Average</v>
      </c>
      <c r="M618">
        <f>Books[[#This Row],[AVERAGE RATING]]*Books[[#This Row],[RATINGS COUNT]]</f>
        <v>0</v>
      </c>
    </row>
    <row r="619" spans="1:13" x14ac:dyDescent="0.25">
      <c r="A619" t="s">
        <v>1498</v>
      </c>
      <c r="B619" t="s">
        <v>1499</v>
      </c>
      <c r="C619">
        <v>343</v>
      </c>
      <c r="D619" t="s">
        <v>79</v>
      </c>
      <c r="E619" t="s">
        <v>3569</v>
      </c>
      <c r="F619" t="s">
        <v>334</v>
      </c>
      <c r="G619" t="s">
        <v>4</v>
      </c>
      <c r="H619">
        <v>0</v>
      </c>
      <c r="I619">
        <v>0</v>
      </c>
      <c r="J619">
        <v>2022</v>
      </c>
      <c r="K619" t="str">
        <f>IF(Books[[#This Row],[AVERAGE RATING]]&gt;=4,"High",IF(Books[[#This Row],[AVERAGE RATING]]&gt;=3,"Medium","Low"))</f>
        <v>Low</v>
      </c>
      <c r="L619" t="str">
        <f>IF(Books[[#This Row],[AVERAGE RATING]]&gt;10000,"Popular","Average")</f>
        <v>Average</v>
      </c>
      <c r="M619">
        <f>Books[[#This Row],[AVERAGE RATING]]*Books[[#This Row],[RATINGS COUNT]]</f>
        <v>0</v>
      </c>
    </row>
    <row r="620" spans="1:13" x14ac:dyDescent="0.25">
      <c r="A620" t="s">
        <v>1272</v>
      </c>
      <c r="B620" t="s">
        <v>1501</v>
      </c>
      <c r="C620">
        <v>88</v>
      </c>
      <c r="D620" t="s">
        <v>11</v>
      </c>
      <c r="E620" t="s">
        <v>3055</v>
      </c>
      <c r="F620" t="s">
        <v>1502</v>
      </c>
      <c r="G620" t="s">
        <v>4</v>
      </c>
      <c r="H620">
        <v>0</v>
      </c>
      <c r="I620">
        <v>0</v>
      </c>
      <c r="J620">
        <v>2004</v>
      </c>
      <c r="K620" t="str">
        <f>IF(Books[[#This Row],[AVERAGE RATING]]&gt;=4,"High",IF(Books[[#This Row],[AVERAGE RATING]]&gt;=3,"Medium","Low"))</f>
        <v>Low</v>
      </c>
      <c r="L620" t="str">
        <f>IF(Books[[#This Row],[AVERAGE RATING]]&gt;10000,"Popular","Average")</f>
        <v>Average</v>
      </c>
      <c r="M620">
        <f>Books[[#This Row],[AVERAGE RATING]]*Books[[#This Row],[RATINGS COUNT]]</f>
        <v>0</v>
      </c>
    </row>
    <row r="621" spans="1:13" x14ac:dyDescent="0.25">
      <c r="A621" t="s">
        <v>1503</v>
      </c>
      <c r="B621" t="s">
        <v>1501</v>
      </c>
      <c r="C621">
        <v>69</v>
      </c>
      <c r="D621" t="s">
        <v>45</v>
      </c>
      <c r="E621" t="s">
        <v>3124</v>
      </c>
      <c r="F621" t="s">
        <v>1504</v>
      </c>
      <c r="G621" t="s">
        <v>4</v>
      </c>
      <c r="H621">
        <v>0</v>
      </c>
      <c r="I621">
        <v>0</v>
      </c>
      <c r="J621">
        <v>2011</v>
      </c>
      <c r="K621" t="str">
        <f>IF(Books[[#This Row],[AVERAGE RATING]]&gt;=4,"High",IF(Books[[#This Row],[AVERAGE RATING]]&gt;=3,"Medium","Low"))</f>
        <v>Low</v>
      </c>
      <c r="L621" t="str">
        <f>IF(Books[[#This Row],[AVERAGE RATING]]&gt;10000,"Popular","Average")</f>
        <v>Average</v>
      </c>
      <c r="M621">
        <f>Books[[#This Row],[AVERAGE RATING]]*Books[[#This Row],[RATINGS COUNT]]</f>
        <v>0</v>
      </c>
    </row>
    <row r="622" spans="1:13" x14ac:dyDescent="0.25">
      <c r="A622" t="s">
        <v>1505</v>
      </c>
      <c r="B622" t="s">
        <v>1506</v>
      </c>
      <c r="C622">
        <v>328</v>
      </c>
      <c r="D622" t="s">
        <v>2</v>
      </c>
      <c r="E622" t="s">
        <v>3570</v>
      </c>
      <c r="F622" t="s">
        <v>1507</v>
      </c>
      <c r="G622" t="s">
        <v>4</v>
      </c>
      <c r="H622">
        <v>0</v>
      </c>
      <c r="I622">
        <v>0</v>
      </c>
      <c r="J622">
        <v>2015</v>
      </c>
      <c r="K622" t="str">
        <f>IF(Books[[#This Row],[AVERAGE RATING]]&gt;=4,"High",IF(Books[[#This Row],[AVERAGE RATING]]&gt;=3,"Medium","Low"))</f>
        <v>Low</v>
      </c>
      <c r="L622" t="str">
        <f>IF(Books[[#This Row],[AVERAGE RATING]]&gt;10000,"Popular","Average")</f>
        <v>Average</v>
      </c>
      <c r="M622">
        <f>Books[[#This Row],[AVERAGE RATING]]*Books[[#This Row],[RATINGS COUNT]]</f>
        <v>0</v>
      </c>
    </row>
    <row r="623" spans="1:13" x14ac:dyDescent="0.25">
      <c r="A623" t="s">
        <v>1500</v>
      </c>
      <c r="B623" t="s">
        <v>1508</v>
      </c>
      <c r="C623">
        <v>182</v>
      </c>
      <c r="D623" t="s">
        <v>2</v>
      </c>
      <c r="E623" t="s">
        <v>3341</v>
      </c>
      <c r="F623" t="s">
        <v>35</v>
      </c>
      <c r="G623" t="s">
        <v>4</v>
      </c>
      <c r="H623">
        <v>0</v>
      </c>
      <c r="I623">
        <v>0</v>
      </c>
      <c r="J623">
        <v>2009</v>
      </c>
      <c r="K623" t="str">
        <f>IF(Books[[#This Row],[AVERAGE RATING]]&gt;=4,"High",IF(Books[[#This Row],[AVERAGE RATING]]&gt;=3,"Medium","Low"))</f>
        <v>Low</v>
      </c>
      <c r="L623" t="str">
        <f>IF(Books[[#This Row],[AVERAGE RATING]]&gt;10000,"Popular","Average")</f>
        <v>Average</v>
      </c>
      <c r="M623">
        <f>Books[[#This Row],[AVERAGE RATING]]*Books[[#This Row],[RATINGS COUNT]]</f>
        <v>0</v>
      </c>
    </row>
    <row r="624" spans="1:13" x14ac:dyDescent="0.25">
      <c r="A624" t="s">
        <v>1272</v>
      </c>
      <c r="B624" t="s">
        <v>1509</v>
      </c>
      <c r="C624">
        <v>75</v>
      </c>
      <c r="D624" t="s">
        <v>63</v>
      </c>
      <c r="E624" t="s">
        <v>3149</v>
      </c>
      <c r="F624" t="s">
        <v>1510</v>
      </c>
      <c r="G624" t="s">
        <v>4</v>
      </c>
      <c r="H624">
        <v>0</v>
      </c>
      <c r="I624">
        <v>0</v>
      </c>
      <c r="J624">
        <v>2009</v>
      </c>
      <c r="K624" t="str">
        <f>IF(Books[[#This Row],[AVERAGE RATING]]&gt;=4,"High",IF(Books[[#This Row],[AVERAGE RATING]]&gt;=3,"Medium","Low"))</f>
        <v>Low</v>
      </c>
      <c r="L624" t="str">
        <f>IF(Books[[#This Row],[AVERAGE RATING]]&gt;10000,"Popular","Average")</f>
        <v>Average</v>
      </c>
      <c r="M624">
        <f>Books[[#This Row],[AVERAGE RATING]]*Books[[#This Row],[RATINGS COUNT]]</f>
        <v>0</v>
      </c>
    </row>
    <row r="625" spans="1:13" x14ac:dyDescent="0.25">
      <c r="A625" t="s">
        <v>1511</v>
      </c>
      <c r="B625" t="s">
        <v>1512</v>
      </c>
      <c r="C625">
        <v>60</v>
      </c>
      <c r="D625" t="s">
        <v>63</v>
      </c>
      <c r="E625" t="s">
        <v>3571</v>
      </c>
      <c r="F625" t="s">
        <v>1513</v>
      </c>
      <c r="G625" t="s">
        <v>4</v>
      </c>
      <c r="H625">
        <v>0</v>
      </c>
      <c r="I625">
        <v>0</v>
      </c>
      <c r="J625">
        <v>2012</v>
      </c>
      <c r="K625" t="str">
        <f>IF(Books[[#This Row],[AVERAGE RATING]]&gt;=4,"High",IF(Books[[#This Row],[AVERAGE RATING]]&gt;=3,"Medium","Low"))</f>
        <v>Low</v>
      </c>
      <c r="L625" t="str">
        <f>IF(Books[[#This Row],[AVERAGE RATING]]&gt;10000,"Popular","Average")</f>
        <v>Average</v>
      </c>
      <c r="M625">
        <f>Books[[#This Row],[AVERAGE RATING]]*Books[[#This Row],[RATINGS COUNT]]</f>
        <v>0</v>
      </c>
    </row>
    <row r="626" spans="1:13" x14ac:dyDescent="0.25">
      <c r="A626" t="s">
        <v>1515</v>
      </c>
      <c r="B626" t="s">
        <v>1516</v>
      </c>
      <c r="C626">
        <v>186</v>
      </c>
      <c r="D626" t="s">
        <v>11</v>
      </c>
      <c r="E626" t="s">
        <v>3054</v>
      </c>
      <c r="F626" t="s">
        <v>1514</v>
      </c>
      <c r="G626" t="s">
        <v>4</v>
      </c>
      <c r="H626">
        <v>0</v>
      </c>
      <c r="I626">
        <v>0</v>
      </c>
      <c r="J626">
        <v>2010</v>
      </c>
      <c r="K626" t="str">
        <f>IF(Books[[#This Row],[AVERAGE RATING]]&gt;=4,"High",IF(Books[[#This Row],[AVERAGE RATING]]&gt;=3,"Medium","Low"))</f>
        <v>Low</v>
      </c>
      <c r="L626" t="str">
        <f>IF(Books[[#This Row],[AVERAGE RATING]]&gt;10000,"Popular","Average")</f>
        <v>Average</v>
      </c>
      <c r="M626">
        <f>Books[[#This Row],[AVERAGE RATING]]*Books[[#This Row],[RATINGS COUNT]]</f>
        <v>0</v>
      </c>
    </row>
    <row r="627" spans="1:13" x14ac:dyDescent="0.25">
      <c r="A627" t="s">
        <v>1517</v>
      </c>
      <c r="B627" t="s">
        <v>1518</v>
      </c>
      <c r="C627">
        <v>159</v>
      </c>
      <c r="D627" t="s">
        <v>383</v>
      </c>
      <c r="E627" t="s">
        <v>3431</v>
      </c>
      <c r="F627" t="s">
        <v>1519</v>
      </c>
      <c r="G627" t="s">
        <v>4</v>
      </c>
      <c r="H627">
        <v>0</v>
      </c>
      <c r="I627">
        <v>0</v>
      </c>
      <c r="J627">
        <v>2016</v>
      </c>
      <c r="K627" t="str">
        <f>IF(Books[[#This Row],[AVERAGE RATING]]&gt;=4,"High",IF(Books[[#This Row],[AVERAGE RATING]]&gt;=3,"Medium","Low"))</f>
        <v>Low</v>
      </c>
      <c r="L627" t="str">
        <f>IF(Books[[#This Row],[AVERAGE RATING]]&gt;10000,"Popular","Average")</f>
        <v>Average</v>
      </c>
      <c r="M627">
        <f>Books[[#This Row],[AVERAGE RATING]]*Books[[#This Row],[RATINGS COUNT]]</f>
        <v>0</v>
      </c>
    </row>
    <row r="628" spans="1:13" x14ac:dyDescent="0.25">
      <c r="A628" t="s">
        <v>1520</v>
      </c>
      <c r="B628" t="s">
        <v>1521</v>
      </c>
      <c r="C628">
        <v>10</v>
      </c>
      <c r="D628" t="s">
        <v>11</v>
      </c>
      <c r="E628" t="s">
        <v>3573</v>
      </c>
      <c r="F628" t="s">
        <v>1521</v>
      </c>
      <c r="G628" t="s">
        <v>4</v>
      </c>
      <c r="H628">
        <v>0</v>
      </c>
      <c r="I628">
        <v>0</v>
      </c>
      <c r="J628">
        <v>2024</v>
      </c>
      <c r="K628" t="str">
        <f>IF(Books[[#This Row],[AVERAGE RATING]]&gt;=4,"High",IF(Books[[#This Row],[AVERAGE RATING]]&gt;=3,"Medium","Low"))</f>
        <v>Low</v>
      </c>
      <c r="L628" t="str">
        <f>IF(Books[[#This Row],[AVERAGE RATING]]&gt;10000,"Popular","Average")</f>
        <v>Average</v>
      </c>
      <c r="M628">
        <f>Books[[#This Row],[AVERAGE RATING]]*Books[[#This Row],[RATINGS COUNT]]</f>
        <v>0</v>
      </c>
    </row>
    <row r="629" spans="1:13" x14ac:dyDescent="0.25">
      <c r="A629" t="s">
        <v>1522</v>
      </c>
      <c r="B629" t="s">
        <v>1394</v>
      </c>
      <c r="C629">
        <v>288</v>
      </c>
      <c r="D629" t="s">
        <v>867</v>
      </c>
      <c r="E629" t="s">
        <v>3179</v>
      </c>
      <c r="F629" t="s">
        <v>1523</v>
      </c>
      <c r="G629" t="s">
        <v>4</v>
      </c>
      <c r="H629">
        <v>0</v>
      </c>
      <c r="I629">
        <v>0</v>
      </c>
      <c r="J629">
        <v>2013</v>
      </c>
      <c r="K629" t="str">
        <f>IF(Books[[#This Row],[AVERAGE RATING]]&gt;=4,"High",IF(Books[[#This Row],[AVERAGE RATING]]&gt;=3,"Medium","Low"))</f>
        <v>Low</v>
      </c>
      <c r="L629" t="str">
        <f>IF(Books[[#This Row],[AVERAGE RATING]]&gt;10000,"Popular","Average")</f>
        <v>Average</v>
      </c>
      <c r="M629">
        <f>Books[[#This Row],[AVERAGE RATING]]*Books[[#This Row],[RATINGS COUNT]]</f>
        <v>0</v>
      </c>
    </row>
    <row r="630" spans="1:13" x14ac:dyDescent="0.25">
      <c r="A630" t="s">
        <v>1524</v>
      </c>
      <c r="B630" t="s">
        <v>1394</v>
      </c>
      <c r="C630">
        <v>125</v>
      </c>
      <c r="D630" t="s">
        <v>1525</v>
      </c>
      <c r="E630" t="s">
        <v>3149</v>
      </c>
      <c r="F630" t="s">
        <v>807</v>
      </c>
      <c r="G630" t="s">
        <v>4</v>
      </c>
      <c r="H630">
        <v>0</v>
      </c>
      <c r="I630">
        <v>0</v>
      </c>
      <c r="J630">
        <v>2009</v>
      </c>
      <c r="K630" t="str">
        <f>IF(Books[[#This Row],[AVERAGE RATING]]&gt;=4,"High",IF(Books[[#This Row],[AVERAGE RATING]]&gt;=3,"Medium","Low"))</f>
        <v>Low</v>
      </c>
      <c r="L630" t="str">
        <f>IF(Books[[#This Row],[AVERAGE RATING]]&gt;10000,"Popular","Average")</f>
        <v>Average</v>
      </c>
      <c r="M630">
        <f>Books[[#This Row],[AVERAGE RATING]]*Books[[#This Row],[RATINGS COUNT]]</f>
        <v>0</v>
      </c>
    </row>
    <row r="631" spans="1:13" x14ac:dyDescent="0.25">
      <c r="A631" t="s">
        <v>1526</v>
      </c>
      <c r="B631" t="s">
        <v>1527</v>
      </c>
      <c r="C631">
        <v>142</v>
      </c>
      <c r="D631" t="s">
        <v>2</v>
      </c>
      <c r="E631" t="s">
        <v>3135</v>
      </c>
      <c r="F631" t="s">
        <v>8</v>
      </c>
      <c r="G631" t="s">
        <v>4</v>
      </c>
      <c r="H631">
        <v>5</v>
      </c>
      <c r="I631">
        <v>1</v>
      </c>
      <c r="J631">
        <v>1994</v>
      </c>
      <c r="K631" t="str">
        <f>IF(Books[[#This Row],[AVERAGE RATING]]&gt;=4,"High",IF(Books[[#This Row],[AVERAGE RATING]]&gt;=3,"Medium","Low"))</f>
        <v>High</v>
      </c>
      <c r="L631" t="str">
        <f>IF(Books[[#This Row],[AVERAGE RATING]]&gt;10000,"Popular","Average")</f>
        <v>Average</v>
      </c>
      <c r="M631">
        <f>Books[[#This Row],[AVERAGE RATING]]*Books[[#This Row],[RATINGS COUNT]]</f>
        <v>5</v>
      </c>
    </row>
    <row r="632" spans="1:13" x14ac:dyDescent="0.25">
      <c r="A632" t="s">
        <v>1528</v>
      </c>
      <c r="B632" t="s">
        <v>1529</v>
      </c>
      <c r="C632">
        <v>147</v>
      </c>
      <c r="D632" t="s">
        <v>45</v>
      </c>
      <c r="E632" t="s">
        <v>3574</v>
      </c>
      <c r="F632" t="s">
        <v>122</v>
      </c>
      <c r="G632" t="s">
        <v>4</v>
      </c>
      <c r="H632">
        <v>0</v>
      </c>
      <c r="I632">
        <v>0</v>
      </c>
      <c r="J632">
        <v>2012</v>
      </c>
      <c r="K632" t="str">
        <f>IF(Books[[#This Row],[AVERAGE RATING]]&gt;=4,"High",IF(Books[[#This Row],[AVERAGE RATING]]&gt;=3,"Medium","Low"))</f>
        <v>Low</v>
      </c>
      <c r="L632" t="str">
        <f>IF(Books[[#This Row],[AVERAGE RATING]]&gt;10000,"Popular","Average")</f>
        <v>Average</v>
      </c>
      <c r="M632">
        <f>Books[[#This Row],[AVERAGE RATING]]*Books[[#This Row],[RATINGS COUNT]]</f>
        <v>0</v>
      </c>
    </row>
    <row r="633" spans="1:13" x14ac:dyDescent="0.25">
      <c r="A633" t="s">
        <v>1530</v>
      </c>
      <c r="B633" t="s">
        <v>1394</v>
      </c>
      <c r="C633">
        <v>191</v>
      </c>
      <c r="D633" t="s">
        <v>867</v>
      </c>
      <c r="E633" t="s">
        <v>3149</v>
      </c>
      <c r="F633" t="s">
        <v>807</v>
      </c>
      <c r="G633" t="s">
        <v>4</v>
      </c>
      <c r="H633">
        <v>0</v>
      </c>
      <c r="I633">
        <v>0</v>
      </c>
      <c r="J633">
        <v>2009</v>
      </c>
      <c r="K633" t="str">
        <f>IF(Books[[#This Row],[AVERAGE RATING]]&gt;=4,"High",IF(Books[[#This Row],[AVERAGE RATING]]&gt;=3,"Medium","Low"))</f>
        <v>Low</v>
      </c>
      <c r="L633" t="str">
        <f>IF(Books[[#This Row],[AVERAGE RATING]]&gt;10000,"Popular","Average")</f>
        <v>Average</v>
      </c>
      <c r="M633">
        <f>Books[[#This Row],[AVERAGE RATING]]*Books[[#This Row],[RATINGS COUNT]]</f>
        <v>0</v>
      </c>
    </row>
    <row r="634" spans="1:13" x14ac:dyDescent="0.25">
      <c r="A634" t="s">
        <v>1531</v>
      </c>
      <c r="B634" t="s">
        <v>1532</v>
      </c>
      <c r="C634">
        <v>212</v>
      </c>
      <c r="D634" t="s">
        <v>2</v>
      </c>
      <c r="E634" t="s">
        <v>3135</v>
      </c>
      <c r="F634" t="s">
        <v>479</v>
      </c>
      <c r="G634" t="s">
        <v>4</v>
      </c>
      <c r="H634">
        <v>5</v>
      </c>
      <c r="I634">
        <v>1</v>
      </c>
      <c r="J634">
        <v>1994</v>
      </c>
      <c r="K634" t="str">
        <f>IF(Books[[#This Row],[AVERAGE RATING]]&gt;=4,"High",IF(Books[[#This Row],[AVERAGE RATING]]&gt;=3,"Medium","Low"))</f>
        <v>High</v>
      </c>
      <c r="L634" t="str">
        <f>IF(Books[[#This Row],[AVERAGE RATING]]&gt;10000,"Popular","Average")</f>
        <v>Average</v>
      </c>
      <c r="M634">
        <f>Books[[#This Row],[AVERAGE RATING]]*Books[[#This Row],[RATINGS COUNT]]</f>
        <v>5</v>
      </c>
    </row>
    <row r="635" spans="1:13" x14ac:dyDescent="0.25">
      <c r="A635" t="s">
        <v>1533</v>
      </c>
      <c r="B635" t="s">
        <v>1534</v>
      </c>
      <c r="C635">
        <v>73</v>
      </c>
      <c r="D635" t="s">
        <v>63</v>
      </c>
      <c r="E635" t="s">
        <v>3212</v>
      </c>
      <c r="F635" t="s">
        <v>1504</v>
      </c>
      <c r="G635" t="s">
        <v>4</v>
      </c>
      <c r="H635">
        <v>0</v>
      </c>
      <c r="I635">
        <v>0</v>
      </c>
      <c r="J635">
        <v>2012</v>
      </c>
      <c r="K635" t="str">
        <f>IF(Books[[#This Row],[AVERAGE RATING]]&gt;=4,"High",IF(Books[[#This Row],[AVERAGE RATING]]&gt;=3,"Medium","Low"))</f>
        <v>Low</v>
      </c>
      <c r="L635" t="str">
        <f>IF(Books[[#This Row],[AVERAGE RATING]]&gt;10000,"Popular","Average")</f>
        <v>Average</v>
      </c>
      <c r="M635">
        <f>Books[[#This Row],[AVERAGE RATING]]*Books[[#This Row],[RATINGS COUNT]]</f>
        <v>0</v>
      </c>
    </row>
    <row r="636" spans="1:13" x14ac:dyDescent="0.25">
      <c r="A636" t="s">
        <v>1290</v>
      </c>
      <c r="B636" t="s">
        <v>1535</v>
      </c>
      <c r="C636">
        <v>120</v>
      </c>
      <c r="D636" t="s">
        <v>15</v>
      </c>
      <c r="E636" t="s">
        <v>3575</v>
      </c>
      <c r="F636" t="s">
        <v>100</v>
      </c>
      <c r="G636" t="s">
        <v>4</v>
      </c>
      <c r="H636">
        <v>0</v>
      </c>
      <c r="I636">
        <v>0</v>
      </c>
      <c r="J636">
        <v>2020</v>
      </c>
      <c r="K636" t="str">
        <f>IF(Books[[#This Row],[AVERAGE RATING]]&gt;=4,"High",IF(Books[[#This Row],[AVERAGE RATING]]&gt;=3,"Medium","Low"))</f>
        <v>Low</v>
      </c>
      <c r="L636" t="str">
        <f>IF(Books[[#This Row],[AVERAGE RATING]]&gt;10000,"Popular","Average")</f>
        <v>Average</v>
      </c>
      <c r="M636">
        <f>Books[[#This Row],[AVERAGE RATING]]*Books[[#This Row],[RATINGS COUNT]]</f>
        <v>0</v>
      </c>
    </row>
    <row r="637" spans="1:13" x14ac:dyDescent="0.25">
      <c r="A637" t="s">
        <v>1537</v>
      </c>
      <c r="B637" t="s">
        <v>1538</v>
      </c>
      <c r="C637">
        <v>84</v>
      </c>
      <c r="D637" t="s">
        <v>158</v>
      </c>
      <c r="E637" t="s">
        <v>3398</v>
      </c>
      <c r="F637" t="s">
        <v>776</v>
      </c>
      <c r="G637" t="s">
        <v>4</v>
      </c>
      <c r="H637">
        <v>0</v>
      </c>
      <c r="I637">
        <v>0</v>
      </c>
      <c r="J637">
        <v>2024</v>
      </c>
      <c r="K637" t="str">
        <f>IF(Books[[#This Row],[AVERAGE RATING]]&gt;=4,"High",IF(Books[[#This Row],[AVERAGE RATING]]&gt;=3,"Medium","Low"))</f>
        <v>Low</v>
      </c>
      <c r="L637" t="str">
        <f>IF(Books[[#This Row],[AVERAGE RATING]]&gt;10000,"Popular","Average")</f>
        <v>Average</v>
      </c>
      <c r="M637">
        <f>Books[[#This Row],[AVERAGE RATING]]*Books[[#This Row],[RATINGS COUNT]]</f>
        <v>0</v>
      </c>
    </row>
    <row r="638" spans="1:13" x14ac:dyDescent="0.25">
      <c r="A638" t="s">
        <v>1539</v>
      </c>
      <c r="B638" t="s">
        <v>1346</v>
      </c>
      <c r="C638">
        <v>204</v>
      </c>
      <c r="D638" t="s">
        <v>207</v>
      </c>
      <c r="E638" t="s">
        <v>3576</v>
      </c>
      <c r="F638" t="s">
        <v>1347</v>
      </c>
      <c r="G638" t="s">
        <v>4</v>
      </c>
      <c r="H638">
        <v>0</v>
      </c>
      <c r="I638">
        <v>0</v>
      </c>
      <c r="J638">
        <v>2024</v>
      </c>
      <c r="K638" t="str">
        <f>IF(Books[[#This Row],[AVERAGE RATING]]&gt;=4,"High",IF(Books[[#This Row],[AVERAGE RATING]]&gt;=3,"Medium","Low"))</f>
        <v>Low</v>
      </c>
      <c r="L638" t="str">
        <f>IF(Books[[#This Row],[AVERAGE RATING]]&gt;10000,"Popular","Average")</f>
        <v>Average</v>
      </c>
      <c r="M638">
        <f>Books[[#This Row],[AVERAGE RATING]]*Books[[#This Row],[RATINGS COUNT]]</f>
        <v>0</v>
      </c>
    </row>
    <row r="639" spans="1:13" x14ac:dyDescent="0.25">
      <c r="A639" t="s">
        <v>1540</v>
      </c>
      <c r="B639" t="s">
        <v>1541</v>
      </c>
      <c r="C639">
        <v>232</v>
      </c>
      <c r="D639" t="s">
        <v>617</v>
      </c>
      <c r="E639" t="s">
        <v>3577</v>
      </c>
      <c r="F639" t="s">
        <v>1542</v>
      </c>
      <c r="G639" t="s">
        <v>4</v>
      </c>
      <c r="H639">
        <v>0</v>
      </c>
      <c r="I639">
        <v>0</v>
      </c>
      <c r="J639">
        <v>2021</v>
      </c>
      <c r="K639" t="str">
        <f>IF(Books[[#This Row],[AVERAGE RATING]]&gt;=4,"High",IF(Books[[#This Row],[AVERAGE RATING]]&gt;=3,"Medium","Low"))</f>
        <v>Low</v>
      </c>
      <c r="L639" t="str">
        <f>IF(Books[[#This Row],[AVERAGE RATING]]&gt;10000,"Popular","Average")</f>
        <v>Average</v>
      </c>
      <c r="M639">
        <f>Books[[#This Row],[AVERAGE RATING]]*Books[[#This Row],[RATINGS COUNT]]</f>
        <v>0</v>
      </c>
    </row>
    <row r="640" spans="1:13" x14ac:dyDescent="0.25">
      <c r="A640" t="s">
        <v>1543</v>
      </c>
      <c r="B640" t="s">
        <v>1544</v>
      </c>
      <c r="C640">
        <v>114</v>
      </c>
      <c r="D640" t="s">
        <v>54</v>
      </c>
      <c r="E640" t="s">
        <v>3578</v>
      </c>
      <c r="F640" t="s">
        <v>1545</v>
      </c>
      <c r="G640" t="s">
        <v>4</v>
      </c>
      <c r="H640">
        <v>3.5</v>
      </c>
      <c r="I640">
        <v>4</v>
      </c>
      <c r="J640">
        <v>2011</v>
      </c>
      <c r="K640" t="str">
        <f>IF(Books[[#This Row],[AVERAGE RATING]]&gt;=4,"High",IF(Books[[#This Row],[AVERAGE RATING]]&gt;=3,"Medium","Low"))</f>
        <v>Medium</v>
      </c>
      <c r="L640" t="str">
        <f>IF(Books[[#This Row],[AVERAGE RATING]]&gt;10000,"Popular","Average")</f>
        <v>Average</v>
      </c>
      <c r="M640">
        <f>Books[[#This Row],[AVERAGE RATING]]*Books[[#This Row],[RATINGS COUNT]]</f>
        <v>14</v>
      </c>
    </row>
    <row r="641" spans="1:13" x14ac:dyDescent="0.25">
      <c r="A641" t="s">
        <v>1546</v>
      </c>
      <c r="B641" t="s">
        <v>1547</v>
      </c>
      <c r="C641">
        <v>380</v>
      </c>
      <c r="D641" t="s">
        <v>45</v>
      </c>
      <c r="E641" t="s">
        <v>3099</v>
      </c>
      <c r="F641" t="s">
        <v>837</v>
      </c>
      <c r="G641" t="s">
        <v>4</v>
      </c>
      <c r="H641">
        <v>0</v>
      </c>
      <c r="I641">
        <v>0</v>
      </c>
      <c r="J641">
        <v>2005</v>
      </c>
      <c r="K641" t="str">
        <f>IF(Books[[#This Row],[AVERAGE RATING]]&gt;=4,"High",IF(Books[[#This Row],[AVERAGE RATING]]&gt;=3,"Medium","Low"))</f>
        <v>Low</v>
      </c>
      <c r="L641" t="str">
        <f>IF(Books[[#This Row],[AVERAGE RATING]]&gt;10000,"Popular","Average")</f>
        <v>Average</v>
      </c>
      <c r="M641">
        <f>Books[[#This Row],[AVERAGE RATING]]*Books[[#This Row],[RATINGS COUNT]]</f>
        <v>0</v>
      </c>
    </row>
    <row r="642" spans="1:13" x14ac:dyDescent="0.25">
      <c r="A642" t="s">
        <v>1543</v>
      </c>
      <c r="B642" t="s">
        <v>1548</v>
      </c>
      <c r="C642">
        <v>71</v>
      </c>
      <c r="D642" t="s">
        <v>63</v>
      </c>
      <c r="E642" t="s">
        <v>3579</v>
      </c>
      <c r="F642" t="s">
        <v>1510</v>
      </c>
      <c r="G642" t="s">
        <v>4</v>
      </c>
      <c r="H642">
        <v>0</v>
      </c>
      <c r="I642">
        <v>0</v>
      </c>
      <c r="J642">
        <v>2011</v>
      </c>
      <c r="K642" t="str">
        <f>IF(Books[[#This Row],[AVERAGE RATING]]&gt;=4,"High",IF(Books[[#This Row],[AVERAGE RATING]]&gt;=3,"Medium","Low"))</f>
        <v>Low</v>
      </c>
      <c r="L642" t="str">
        <f>IF(Books[[#This Row],[AVERAGE RATING]]&gt;10000,"Popular","Average")</f>
        <v>Average</v>
      </c>
      <c r="M642">
        <f>Books[[#This Row],[AVERAGE RATING]]*Books[[#This Row],[RATINGS COUNT]]</f>
        <v>0</v>
      </c>
    </row>
    <row r="643" spans="1:13" x14ac:dyDescent="0.25">
      <c r="A643" t="s">
        <v>1549</v>
      </c>
      <c r="B643" t="s">
        <v>1550</v>
      </c>
      <c r="C643">
        <v>167</v>
      </c>
      <c r="D643" t="s">
        <v>54</v>
      </c>
      <c r="E643" t="s">
        <v>3580</v>
      </c>
      <c r="F643" t="s">
        <v>1551</v>
      </c>
      <c r="G643" t="s">
        <v>4</v>
      </c>
      <c r="H643">
        <v>0</v>
      </c>
      <c r="I643">
        <v>0</v>
      </c>
      <c r="J643">
        <v>2013</v>
      </c>
      <c r="K643" t="str">
        <f>IF(Books[[#This Row],[AVERAGE RATING]]&gt;=4,"High",IF(Books[[#This Row],[AVERAGE RATING]]&gt;=3,"Medium","Low"))</f>
        <v>Low</v>
      </c>
      <c r="L643" t="str">
        <f>IF(Books[[#This Row],[AVERAGE RATING]]&gt;10000,"Popular","Average")</f>
        <v>Average</v>
      </c>
      <c r="M643">
        <f>Books[[#This Row],[AVERAGE RATING]]*Books[[#This Row],[RATINGS COUNT]]</f>
        <v>0</v>
      </c>
    </row>
    <row r="644" spans="1:13" x14ac:dyDescent="0.25">
      <c r="A644" t="s">
        <v>1543</v>
      </c>
      <c r="B644" t="s">
        <v>1552</v>
      </c>
      <c r="C644">
        <v>160</v>
      </c>
      <c r="D644" t="s">
        <v>47</v>
      </c>
      <c r="E644" t="s">
        <v>3373</v>
      </c>
      <c r="F644" t="s">
        <v>1276</v>
      </c>
      <c r="G644" t="s">
        <v>4</v>
      </c>
      <c r="H644">
        <v>0</v>
      </c>
      <c r="I644">
        <v>0</v>
      </c>
      <c r="J644">
        <v>1998</v>
      </c>
      <c r="K644" t="str">
        <f>IF(Books[[#This Row],[AVERAGE RATING]]&gt;=4,"High",IF(Books[[#This Row],[AVERAGE RATING]]&gt;=3,"Medium","Low"))</f>
        <v>Low</v>
      </c>
      <c r="L644" t="str">
        <f>IF(Books[[#This Row],[AVERAGE RATING]]&gt;10000,"Popular","Average")</f>
        <v>Average</v>
      </c>
      <c r="M644">
        <f>Books[[#This Row],[AVERAGE RATING]]*Books[[#This Row],[RATINGS COUNT]]</f>
        <v>0</v>
      </c>
    </row>
    <row r="645" spans="1:13" x14ac:dyDescent="0.25">
      <c r="A645" t="s">
        <v>1543</v>
      </c>
      <c r="B645" t="s">
        <v>1553</v>
      </c>
      <c r="C645">
        <v>65</v>
      </c>
      <c r="D645" t="s">
        <v>453</v>
      </c>
      <c r="E645" t="s">
        <v>3054</v>
      </c>
      <c r="F645" t="s">
        <v>1554</v>
      </c>
      <c r="G645" t="s">
        <v>4</v>
      </c>
      <c r="H645">
        <v>0</v>
      </c>
      <c r="I645">
        <v>0</v>
      </c>
      <c r="J645">
        <v>2010</v>
      </c>
      <c r="K645" t="str">
        <f>IF(Books[[#This Row],[AVERAGE RATING]]&gt;=4,"High",IF(Books[[#This Row],[AVERAGE RATING]]&gt;=3,"Medium","Low"))</f>
        <v>Low</v>
      </c>
      <c r="L645" t="str">
        <f>IF(Books[[#This Row],[AVERAGE RATING]]&gt;10000,"Popular","Average")</f>
        <v>Average</v>
      </c>
      <c r="M645">
        <f>Books[[#This Row],[AVERAGE RATING]]*Books[[#This Row],[RATINGS COUNT]]</f>
        <v>0</v>
      </c>
    </row>
    <row r="646" spans="1:13" x14ac:dyDescent="0.25">
      <c r="A646" t="s">
        <v>1555</v>
      </c>
      <c r="B646" t="s">
        <v>1553</v>
      </c>
      <c r="C646">
        <v>597</v>
      </c>
      <c r="D646" t="s">
        <v>2</v>
      </c>
      <c r="E646" t="s">
        <v>3581</v>
      </c>
      <c r="F646" t="s">
        <v>1282</v>
      </c>
      <c r="G646" t="s">
        <v>4</v>
      </c>
      <c r="H646">
        <v>4</v>
      </c>
      <c r="I646">
        <v>1</v>
      </c>
      <c r="J646">
        <v>2016</v>
      </c>
      <c r="K646" t="str">
        <f>IF(Books[[#This Row],[AVERAGE RATING]]&gt;=4,"High",IF(Books[[#This Row],[AVERAGE RATING]]&gt;=3,"Medium","Low"))</f>
        <v>High</v>
      </c>
      <c r="L646" t="str">
        <f>IF(Books[[#This Row],[AVERAGE RATING]]&gt;10000,"Popular","Average")</f>
        <v>Average</v>
      </c>
      <c r="M646">
        <f>Books[[#This Row],[AVERAGE RATING]]*Books[[#This Row],[RATINGS COUNT]]</f>
        <v>4</v>
      </c>
    </row>
    <row r="647" spans="1:13" x14ac:dyDescent="0.25">
      <c r="A647" t="s">
        <v>1556</v>
      </c>
      <c r="B647" t="s">
        <v>1557</v>
      </c>
      <c r="C647">
        <v>23</v>
      </c>
      <c r="D647" t="s">
        <v>2</v>
      </c>
      <c r="E647" t="s">
        <v>3582</v>
      </c>
      <c r="F647" t="s">
        <v>776</v>
      </c>
      <c r="G647" t="s">
        <v>4</v>
      </c>
      <c r="H647">
        <v>0</v>
      </c>
      <c r="I647">
        <v>0</v>
      </c>
      <c r="J647">
        <v>2002</v>
      </c>
      <c r="K647" t="str">
        <f>IF(Books[[#This Row],[AVERAGE RATING]]&gt;=4,"High",IF(Books[[#This Row],[AVERAGE RATING]]&gt;=3,"Medium","Low"))</f>
        <v>Low</v>
      </c>
      <c r="L647" t="str">
        <f>IF(Books[[#This Row],[AVERAGE RATING]]&gt;10000,"Popular","Average")</f>
        <v>Average</v>
      </c>
      <c r="M647">
        <f>Books[[#This Row],[AVERAGE RATING]]*Books[[#This Row],[RATINGS COUNT]]</f>
        <v>0</v>
      </c>
    </row>
    <row r="648" spans="1:13" x14ac:dyDescent="0.25">
      <c r="A648" t="s">
        <v>1543</v>
      </c>
      <c r="B648" t="s">
        <v>1558</v>
      </c>
      <c r="C648">
        <v>147</v>
      </c>
      <c r="D648" t="s">
        <v>339</v>
      </c>
      <c r="E648" t="s">
        <v>3144</v>
      </c>
      <c r="F648" t="s">
        <v>1559</v>
      </c>
      <c r="G648" t="s">
        <v>4</v>
      </c>
      <c r="H648">
        <v>0</v>
      </c>
      <c r="I648">
        <v>0</v>
      </c>
      <c r="J648">
        <v>2008</v>
      </c>
      <c r="K648" t="str">
        <f>IF(Books[[#This Row],[AVERAGE RATING]]&gt;=4,"High",IF(Books[[#This Row],[AVERAGE RATING]]&gt;=3,"Medium","Low"))</f>
        <v>Low</v>
      </c>
      <c r="L648" t="str">
        <f>IF(Books[[#This Row],[AVERAGE RATING]]&gt;10000,"Popular","Average")</f>
        <v>Average</v>
      </c>
      <c r="M648">
        <f>Books[[#This Row],[AVERAGE RATING]]*Books[[#This Row],[RATINGS COUNT]]</f>
        <v>0</v>
      </c>
    </row>
    <row r="649" spans="1:13" x14ac:dyDescent="0.25">
      <c r="A649" t="s">
        <v>1560</v>
      </c>
      <c r="B649" t="s">
        <v>1561</v>
      </c>
      <c r="C649">
        <v>132</v>
      </c>
      <c r="D649" t="s">
        <v>2</v>
      </c>
      <c r="E649" t="s">
        <v>3583</v>
      </c>
      <c r="F649" t="s">
        <v>1431</v>
      </c>
      <c r="G649" t="s">
        <v>4</v>
      </c>
      <c r="H649">
        <v>0</v>
      </c>
      <c r="I649">
        <v>0</v>
      </c>
      <c r="J649">
        <v>2004</v>
      </c>
      <c r="K649" t="str">
        <f>IF(Books[[#This Row],[AVERAGE RATING]]&gt;=4,"High",IF(Books[[#This Row],[AVERAGE RATING]]&gt;=3,"Medium","Low"))</f>
        <v>Low</v>
      </c>
      <c r="L649" t="str">
        <f>IF(Books[[#This Row],[AVERAGE RATING]]&gt;10000,"Popular","Average")</f>
        <v>Average</v>
      </c>
      <c r="M649">
        <f>Books[[#This Row],[AVERAGE RATING]]*Books[[#This Row],[RATINGS COUNT]]</f>
        <v>0</v>
      </c>
    </row>
    <row r="650" spans="1:13" x14ac:dyDescent="0.25">
      <c r="A650" t="s">
        <v>1562</v>
      </c>
      <c r="B650" t="s">
        <v>1563</v>
      </c>
      <c r="C650">
        <v>1003</v>
      </c>
      <c r="D650" t="s">
        <v>45</v>
      </c>
      <c r="E650" t="s">
        <v>3584</v>
      </c>
      <c r="F650" t="s">
        <v>73</v>
      </c>
      <c r="G650" t="s">
        <v>4</v>
      </c>
      <c r="H650">
        <v>0</v>
      </c>
      <c r="I650">
        <v>0</v>
      </c>
      <c r="J650">
        <v>2023</v>
      </c>
      <c r="K650" t="str">
        <f>IF(Books[[#This Row],[AVERAGE RATING]]&gt;=4,"High",IF(Books[[#This Row],[AVERAGE RATING]]&gt;=3,"Medium","Low"))</f>
        <v>Low</v>
      </c>
      <c r="L650" t="str">
        <f>IF(Books[[#This Row],[AVERAGE RATING]]&gt;10000,"Popular","Average")</f>
        <v>Average</v>
      </c>
      <c r="M650">
        <f>Books[[#This Row],[AVERAGE RATING]]*Books[[#This Row],[RATINGS COUNT]]</f>
        <v>0</v>
      </c>
    </row>
    <row r="651" spans="1:13" x14ac:dyDescent="0.25">
      <c r="A651" t="s">
        <v>1543</v>
      </c>
      <c r="B651" t="s">
        <v>1564</v>
      </c>
      <c r="C651">
        <v>23</v>
      </c>
      <c r="D651" t="s">
        <v>207</v>
      </c>
      <c r="E651" t="s">
        <v>3585</v>
      </c>
      <c r="F651" t="s">
        <v>1565</v>
      </c>
      <c r="G651" t="s">
        <v>4</v>
      </c>
      <c r="H651">
        <v>0</v>
      </c>
      <c r="I651">
        <v>0</v>
      </c>
      <c r="J651">
        <v>2012</v>
      </c>
      <c r="K651" t="str">
        <f>IF(Books[[#This Row],[AVERAGE RATING]]&gt;=4,"High",IF(Books[[#This Row],[AVERAGE RATING]]&gt;=3,"Medium","Low"))</f>
        <v>Low</v>
      </c>
      <c r="L651" t="str">
        <f>IF(Books[[#This Row],[AVERAGE RATING]]&gt;10000,"Popular","Average")</f>
        <v>Average</v>
      </c>
      <c r="M651">
        <f>Books[[#This Row],[AVERAGE RATING]]*Books[[#This Row],[RATINGS COUNT]]</f>
        <v>0</v>
      </c>
    </row>
    <row r="652" spans="1:13" x14ac:dyDescent="0.25">
      <c r="A652" t="s">
        <v>1566</v>
      </c>
      <c r="B652" t="s">
        <v>1553</v>
      </c>
      <c r="C652">
        <v>140</v>
      </c>
      <c r="D652" t="s">
        <v>640</v>
      </c>
      <c r="E652" t="s">
        <v>3586</v>
      </c>
      <c r="F652" t="s">
        <v>39</v>
      </c>
      <c r="G652" t="s">
        <v>4</v>
      </c>
      <c r="H652">
        <v>0</v>
      </c>
      <c r="I652">
        <v>0</v>
      </c>
      <c r="J652">
        <v>2012</v>
      </c>
      <c r="K652" t="str">
        <f>IF(Books[[#This Row],[AVERAGE RATING]]&gt;=4,"High",IF(Books[[#This Row],[AVERAGE RATING]]&gt;=3,"Medium","Low"))</f>
        <v>Low</v>
      </c>
      <c r="L652" t="str">
        <f>IF(Books[[#This Row],[AVERAGE RATING]]&gt;10000,"Popular","Average")</f>
        <v>Average</v>
      </c>
      <c r="M652">
        <f>Books[[#This Row],[AVERAGE RATING]]*Books[[#This Row],[RATINGS COUNT]]</f>
        <v>0</v>
      </c>
    </row>
    <row r="653" spans="1:13" x14ac:dyDescent="0.25">
      <c r="A653" t="s">
        <v>1567</v>
      </c>
      <c r="B653" t="s">
        <v>1568</v>
      </c>
      <c r="C653">
        <v>159</v>
      </c>
      <c r="D653" t="s">
        <v>2</v>
      </c>
      <c r="E653" t="s">
        <v>3397</v>
      </c>
      <c r="F653" t="s">
        <v>60</v>
      </c>
      <c r="G653" t="s">
        <v>4</v>
      </c>
      <c r="H653">
        <v>0</v>
      </c>
      <c r="I653">
        <v>0</v>
      </c>
      <c r="J653">
        <v>2024</v>
      </c>
      <c r="K653" t="str">
        <f>IF(Books[[#This Row],[AVERAGE RATING]]&gt;=4,"High",IF(Books[[#This Row],[AVERAGE RATING]]&gt;=3,"Medium","Low"))</f>
        <v>Low</v>
      </c>
      <c r="L653" t="str">
        <f>IF(Books[[#This Row],[AVERAGE RATING]]&gt;10000,"Popular","Average")</f>
        <v>Average</v>
      </c>
      <c r="M653">
        <f>Books[[#This Row],[AVERAGE RATING]]*Books[[#This Row],[RATINGS COUNT]]</f>
        <v>0</v>
      </c>
    </row>
    <row r="654" spans="1:13" x14ac:dyDescent="0.25">
      <c r="A654" t="s">
        <v>1569</v>
      </c>
      <c r="B654" t="s">
        <v>1570</v>
      </c>
      <c r="C654">
        <v>41</v>
      </c>
      <c r="D654" t="s">
        <v>32</v>
      </c>
      <c r="E654" t="s">
        <v>3419</v>
      </c>
      <c r="F654" t="s">
        <v>776</v>
      </c>
      <c r="G654" t="s">
        <v>4</v>
      </c>
      <c r="H654">
        <v>0</v>
      </c>
      <c r="I654">
        <v>0</v>
      </c>
      <c r="J654">
        <v>2007</v>
      </c>
      <c r="K654" t="str">
        <f>IF(Books[[#This Row],[AVERAGE RATING]]&gt;=4,"High",IF(Books[[#This Row],[AVERAGE RATING]]&gt;=3,"Medium","Low"))</f>
        <v>Low</v>
      </c>
      <c r="L654" t="str">
        <f>IF(Books[[#This Row],[AVERAGE RATING]]&gt;10000,"Popular","Average")</f>
        <v>Average</v>
      </c>
      <c r="M654">
        <f>Books[[#This Row],[AVERAGE RATING]]*Books[[#This Row],[RATINGS COUNT]]</f>
        <v>0</v>
      </c>
    </row>
    <row r="655" spans="1:13" x14ac:dyDescent="0.25">
      <c r="A655" t="s">
        <v>1571</v>
      </c>
      <c r="B655" t="s">
        <v>1572</v>
      </c>
      <c r="C655">
        <v>370</v>
      </c>
      <c r="D655" t="s">
        <v>11</v>
      </c>
      <c r="E655" t="s">
        <v>3587</v>
      </c>
      <c r="F655" t="s">
        <v>1573</v>
      </c>
      <c r="G655" t="s">
        <v>4</v>
      </c>
      <c r="H655">
        <v>0</v>
      </c>
      <c r="I655">
        <v>0</v>
      </c>
      <c r="J655">
        <v>2022</v>
      </c>
      <c r="K655" t="str">
        <f>IF(Books[[#This Row],[AVERAGE RATING]]&gt;=4,"High",IF(Books[[#This Row],[AVERAGE RATING]]&gt;=3,"Medium","Low"))</f>
        <v>Low</v>
      </c>
      <c r="L655" t="str">
        <f>IF(Books[[#This Row],[AVERAGE RATING]]&gt;10000,"Popular","Average")</f>
        <v>Average</v>
      </c>
      <c r="M655">
        <f>Books[[#This Row],[AVERAGE RATING]]*Books[[#This Row],[RATINGS COUNT]]</f>
        <v>0</v>
      </c>
    </row>
    <row r="656" spans="1:13" x14ac:dyDescent="0.25">
      <c r="A656" t="s">
        <v>1574</v>
      </c>
      <c r="B656" t="s">
        <v>1575</v>
      </c>
      <c r="C656">
        <v>384</v>
      </c>
      <c r="D656" t="s">
        <v>2</v>
      </c>
      <c r="E656" t="s">
        <v>3588</v>
      </c>
      <c r="F656" t="s">
        <v>132</v>
      </c>
      <c r="G656" t="s">
        <v>4</v>
      </c>
      <c r="H656">
        <v>0</v>
      </c>
      <c r="I656">
        <v>0</v>
      </c>
      <c r="J656">
        <v>2010</v>
      </c>
      <c r="K656" t="str">
        <f>IF(Books[[#This Row],[AVERAGE RATING]]&gt;=4,"High",IF(Books[[#This Row],[AVERAGE RATING]]&gt;=3,"Medium","Low"))</f>
        <v>Low</v>
      </c>
      <c r="L656" t="str">
        <f>IF(Books[[#This Row],[AVERAGE RATING]]&gt;10000,"Popular","Average")</f>
        <v>Average</v>
      </c>
      <c r="M656">
        <f>Books[[#This Row],[AVERAGE RATING]]*Books[[#This Row],[RATINGS COUNT]]</f>
        <v>0</v>
      </c>
    </row>
    <row r="657" spans="1:13" x14ac:dyDescent="0.25">
      <c r="A657" t="s">
        <v>1576</v>
      </c>
      <c r="B657" t="s">
        <v>1310</v>
      </c>
      <c r="C657">
        <v>65</v>
      </c>
      <c r="D657" t="s">
        <v>453</v>
      </c>
      <c r="E657" t="s">
        <v>3054</v>
      </c>
      <c r="F657" t="s">
        <v>1554</v>
      </c>
      <c r="G657" t="s">
        <v>4</v>
      </c>
      <c r="H657">
        <v>0</v>
      </c>
      <c r="I657">
        <v>0</v>
      </c>
      <c r="J657">
        <v>2010</v>
      </c>
      <c r="K657" t="str">
        <f>IF(Books[[#This Row],[AVERAGE RATING]]&gt;=4,"High",IF(Books[[#This Row],[AVERAGE RATING]]&gt;=3,"Medium","Low"))</f>
        <v>Low</v>
      </c>
      <c r="L657" t="str">
        <f>IF(Books[[#This Row],[AVERAGE RATING]]&gt;10000,"Popular","Average")</f>
        <v>Average</v>
      </c>
      <c r="M657">
        <f>Books[[#This Row],[AVERAGE RATING]]*Books[[#This Row],[RATINGS COUNT]]</f>
        <v>0</v>
      </c>
    </row>
    <row r="658" spans="1:13" x14ac:dyDescent="0.25">
      <c r="A658" t="s">
        <v>1577</v>
      </c>
      <c r="B658" t="s">
        <v>921</v>
      </c>
      <c r="C658">
        <v>401</v>
      </c>
      <c r="D658" t="s">
        <v>11</v>
      </c>
      <c r="E658" t="s">
        <v>3589</v>
      </c>
      <c r="F658" t="s">
        <v>270</v>
      </c>
      <c r="G658" t="s">
        <v>4</v>
      </c>
      <c r="H658">
        <v>0</v>
      </c>
      <c r="I658">
        <v>0</v>
      </c>
      <c r="J658">
        <v>2014</v>
      </c>
      <c r="K658" t="str">
        <f>IF(Books[[#This Row],[AVERAGE RATING]]&gt;=4,"High",IF(Books[[#This Row],[AVERAGE RATING]]&gt;=3,"Medium","Low"))</f>
        <v>Low</v>
      </c>
      <c r="L658" t="str">
        <f>IF(Books[[#This Row],[AVERAGE RATING]]&gt;10000,"Popular","Average")</f>
        <v>Average</v>
      </c>
      <c r="M658">
        <f>Books[[#This Row],[AVERAGE RATING]]*Books[[#This Row],[RATINGS COUNT]]</f>
        <v>0</v>
      </c>
    </row>
    <row r="659" spans="1:13" x14ac:dyDescent="0.25">
      <c r="A659" t="s">
        <v>1320</v>
      </c>
      <c r="B659" t="s">
        <v>1310</v>
      </c>
      <c r="C659">
        <v>241</v>
      </c>
      <c r="D659" t="s">
        <v>11</v>
      </c>
      <c r="E659" t="s">
        <v>3590</v>
      </c>
      <c r="F659" t="s">
        <v>1578</v>
      </c>
      <c r="G659" t="s">
        <v>4</v>
      </c>
      <c r="H659">
        <v>0</v>
      </c>
      <c r="I659">
        <v>0</v>
      </c>
      <c r="J659">
        <v>2012</v>
      </c>
      <c r="K659" t="str">
        <f>IF(Books[[#This Row],[AVERAGE RATING]]&gt;=4,"High",IF(Books[[#This Row],[AVERAGE RATING]]&gt;=3,"Medium","Low"))</f>
        <v>Low</v>
      </c>
      <c r="L659" t="str">
        <f>IF(Books[[#This Row],[AVERAGE RATING]]&gt;10000,"Popular","Average")</f>
        <v>Average</v>
      </c>
      <c r="M659">
        <f>Books[[#This Row],[AVERAGE RATING]]*Books[[#This Row],[RATINGS COUNT]]</f>
        <v>0</v>
      </c>
    </row>
    <row r="660" spans="1:13" x14ac:dyDescent="0.25">
      <c r="A660" t="s">
        <v>1579</v>
      </c>
      <c r="B660" t="s">
        <v>1580</v>
      </c>
      <c r="C660">
        <v>406</v>
      </c>
      <c r="D660" t="s">
        <v>11</v>
      </c>
      <c r="E660" t="s">
        <v>3075</v>
      </c>
      <c r="F660" t="s">
        <v>1319</v>
      </c>
      <c r="G660" t="s">
        <v>4</v>
      </c>
      <c r="H660">
        <v>4.5</v>
      </c>
      <c r="I660">
        <v>4</v>
      </c>
      <c r="J660">
        <v>1993</v>
      </c>
      <c r="K660" t="str">
        <f>IF(Books[[#This Row],[AVERAGE RATING]]&gt;=4,"High",IF(Books[[#This Row],[AVERAGE RATING]]&gt;=3,"Medium","Low"))</f>
        <v>High</v>
      </c>
      <c r="L660" t="str">
        <f>IF(Books[[#This Row],[AVERAGE RATING]]&gt;10000,"Popular","Average")</f>
        <v>Average</v>
      </c>
      <c r="M660">
        <f>Books[[#This Row],[AVERAGE RATING]]*Books[[#This Row],[RATINGS COUNT]]</f>
        <v>18</v>
      </c>
    </row>
    <row r="661" spans="1:13" x14ac:dyDescent="0.25">
      <c r="A661" t="s">
        <v>1581</v>
      </c>
      <c r="B661" t="s">
        <v>1310</v>
      </c>
      <c r="C661">
        <v>231</v>
      </c>
      <c r="D661" t="s">
        <v>11</v>
      </c>
      <c r="E661" t="s">
        <v>3295</v>
      </c>
      <c r="F661" t="s">
        <v>430</v>
      </c>
      <c r="G661" t="s">
        <v>4</v>
      </c>
      <c r="H661">
        <v>0</v>
      </c>
      <c r="I661">
        <v>0</v>
      </c>
      <c r="J661">
        <v>1989</v>
      </c>
      <c r="K661" t="str">
        <f>IF(Books[[#This Row],[AVERAGE RATING]]&gt;=4,"High",IF(Books[[#This Row],[AVERAGE RATING]]&gt;=3,"Medium","Low"))</f>
        <v>Low</v>
      </c>
      <c r="L661" t="str">
        <f>IF(Books[[#This Row],[AVERAGE RATING]]&gt;10000,"Popular","Average")</f>
        <v>Average</v>
      </c>
      <c r="M661">
        <f>Books[[#This Row],[AVERAGE RATING]]*Books[[#This Row],[RATINGS COUNT]]</f>
        <v>0</v>
      </c>
    </row>
    <row r="662" spans="1:13" x14ac:dyDescent="0.25">
      <c r="A662" t="s">
        <v>1582</v>
      </c>
      <c r="B662" t="s">
        <v>1310</v>
      </c>
      <c r="C662">
        <v>1635</v>
      </c>
      <c r="D662" t="s">
        <v>11</v>
      </c>
      <c r="E662" t="s">
        <v>3591</v>
      </c>
      <c r="F662" t="s">
        <v>1583</v>
      </c>
      <c r="G662" t="s">
        <v>4</v>
      </c>
      <c r="H662">
        <v>5</v>
      </c>
      <c r="I662">
        <v>1</v>
      </c>
      <c r="J662">
        <v>2015</v>
      </c>
      <c r="K662" t="str">
        <f>IF(Books[[#This Row],[AVERAGE RATING]]&gt;=4,"High",IF(Books[[#This Row],[AVERAGE RATING]]&gt;=3,"Medium","Low"))</f>
        <v>High</v>
      </c>
      <c r="L662" t="str">
        <f>IF(Books[[#This Row],[AVERAGE RATING]]&gt;10000,"Popular","Average")</f>
        <v>Average</v>
      </c>
      <c r="M662">
        <f>Books[[#This Row],[AVERAGE RATING]]*Books[[#This Row],[RATINGS COUNT]]</f>
        <v>5</v>
      </c>
    </row>
    <row r="663" spans="1:13" x14ac:dyDescent="0.25">
      <c r="A663" t="s">
        <v>1584</v>
      </c>
      <c r="B663" t="s">
        <v>1585</v>
      </c>
      <c r="C663">
        <v>426</v>
      </c>
      <c r="D663" t="s">
        <v>2</v>
      </c>
      <c r="E663" t="s">
        <v>3592</v>
      </c>
      <c r="F663" t="s">
        <v>76</v>
      </c>
      <c r="G663" t="s">
        <v>4</v>
      </c>
      <c r="H663">
        <v>0</v>
      </c>
      <c r="I663">
        <v>0</v>
      </c>
      <c r="J663">
        <v>2015</v>
      </c>
      <c r="K663" t="str">
        <f>IF(Books[[#This Row],[AVERAGE RATING]]&gt;=4,"High",IF(Books[[#This Row],[AVERAGE RATING]]&gt;=3,"Medium","Low"))</f>
        <v>Low</v>
      </c>
      <c r="L663" t="str">
        <f>IF(Books[[#This Row],[AVERAGE RATING]]&gt;10000,"Popular","Average")</f>
        <v>Average</v>
      </c>
      <c r="M663">
        <f>Books[[#This Row],[AVERAGE RATING]]*Books[[#This Row],[RATINGS COUNT]]</f>
        <v>0</v>
      </c>
    </row>
    <row r="664" spans="1:13" x14ac:dyDescent="0.25">
      <c r="A664" t="s">
        <v>1309</v>
      </c>
      <c r="B664" t="s">
        <v>921</v>
      </c>
      <c r="C664">
        <v>670</v>
      </c>
      <c r="D664" t="s">
        <v>11</v>
      </c>
      <c r="E664" t="s">
        <v>3155</v>
      </c>
      <c r="F664" t="s">
        <v>1536</v>
      </c>
      <c r="G664" t="s">
        <v>4</v>
      </c>
      <c r="H664">
        <v>4.5</v>
      </c>
      <c r="I664">
        <v>4</v>
      </c>
      <c r="J664">
        <v>2006</v>
      </c>
      <c r="K664" t="str">
        <f>IF(Books[[#This Row],[AVERAGE RATING]]&gt;=4,"High",IF(Books[[#This Row],[AVERAGE RATING]]&gt;=3,"Medium","Low"))</f>
        <v>High</v>
      </c>
      <c r="L664" t="str">
        <f>IF(Books[[#This Row],[AVERAGE RATING]]&gt;10000,"Popular","Average")</f>
        <v>Average</v>
      </c>
      <c r="M664">
        <f>Books[[#This Row],[AVERAGE RATING]]*Books[[#This Row],[RATINGS COUNT]]</f>
        <v>18</v>
      </c>
    </row>
    <row r="665" spans="1:13" x14ac:dyDescent="0.25">
      <c r="A665" t="s">
        <v>1586</v>
      </c>
      <c r="B665" t="s">
        <v>1310</v>
      </c>
      <c r="C665">
        <v>228</v>
      </c>
      <c r="D665" t="s">
        <v>11</v>
      </c>
      <c r="E665" t="s">
        <v>3593</v>
      </c>
      <c r="F665" t="s">
        <v>1405</v>
      </c>
      <c r="G665" t="s">
        <v>4</v>
      </c>
      <c r="H665">
        <v>0</v>
      </c>
      <c r="I665">
        <v>0</v>
      </c>
      <c r="J665">
        <v>2017</v>
      </c>
      <c r="K665" t="str">
        <f>IF(Books[[#This Row],[AVERAGE RATING]]&gt;=4,"High",IF(Books[[#This Row],[AVERAGE RATING]]&gt;=3,"Medium","Low"))</f>
        <v>Low</v>
      </c>
      <c r="L665" t="str">
        <f>IF(Books[[#This Row],[AVERAGE RATING]]&gt;10000,"Popular","Average")</f>
        <v>Average</v>
      </c>
      <c r="M665">
        <f>Books[[#This Row],[AVERAGE RATING]]*Books[[#This Row],[RATINGS COUNT]]</f>
        <v>0</v>
      </c>
    </row>
    <row r="666" spans="1:13" x14ac:dyDescent="0.25">
      <c r="A666" t="s">
        <v>1587</v>
      </c>
      <c r="B666" t="s">
        <v>1310</v>
      </c>
      <c r="C666">
        <v>123</v>
      </c>
      <c r="D666" t="s">
        <v>11</v>
      </c>
      <c r="E666" t="s">
        <v>3594</v>
      </c>
      <c r="F666" t="s">
        <v>935</v>
      </c>
      <c r="G666" t="s">
        <v>4</v>
      </c>
      <c r="H666">
        <v>1</v>
      </c>
      <c r="I666">
        <v>1</v>
      </c>
      <c r="J666">
        <v>2010</v>
      </c>
      <c r="K666" t="str">
        <f>IF(Books[[#This Row],[AVERAGE RATING]]&gt;=4,"High",IF(Books[[#This Row],[AVERAGE RATING]]&gt;=3,"Medium","Low"))</f>
        <v>Low</v>
      </c>
      <c r="L666" t="str">
        <f>IF(Books[[#This Row],[AVERAGE RATING]]&gt;10000,"Popular","Average")</f>
        <v>Average</v>
      </c>
      <c r="M666">
        <f>Books[[#This Row],[AVERAGE RATING]]*Books[[#This Row],[RATINGS COUNT]]</f>
        <v>1</v>
      </c>
    </row>
    <row r="667" spans="1:13" x14ac:dyDescent="0.25">
      <c r="A667" t="s">
        <v>1588</v>
      </c>
      <c r="B667" t="s">
        <v>1589</v>
      </c>
      <c r="C667">
        <v>36</v>
      </c>
      <c r="D667" t="s">
        <v>15</v>
      </c>
      <c r="E667" t="s">
        <v>3595</v>
      </c>
      <c r="F667" t="s">
        <v>935</v>
      </c>
      <c r="G667" t="s">
        <v>4</v>
      </c>
      <c r="H667">
        <v>0</v>
      </c>
      <c r="I667">
        <v>0</v>
      </c>
      <c r="J667">
        <v>2015</v>
      </c>
      <c r="K667" t="str">
        <f>IF(Books[[#This Row],[AVERAGE RATING]]&gt;=4,"High",IF(Books[[#This Row],[AVERAGE RATING]]&gt;=3,"Medium","Low"))</f>
        <v>Low</v>
      </c>
      <c r="L667" t="str">
        <f>IF(Books[[#This Row],[AVERAGE RATING]]&gt;10000,"Popular","Average")</f>
        <v>Average</v>
      </c>
      <c r="M667">
        <f>Books[[#This Row],[AVERAGE RATING]]*Books[[#This Row],[RATINGS COUNT]]</f>
        <v>0</v>
      </c>
    </row>
    <row r="668" spans="1:13" x14ac:dyDescent="0.25">
      <c r="A668" t="s">
        <v>1590</v>
      </c>
      <c r="B668" t="s">
        <v>1591</v>
      </c>
      <c r="C668">
        <v>236</v>
      </c>
      <c r="D668" t="s">
        <v>2</v>
      </c>
      <c r="E668" t="s">
        <v>3596</v>
      </c>
      <c r="F668" t="s">
        <v>76</v>
      </c>
      <c r="G668" t="s">
        <v>4</v>
      </c>
      <c r="H668">
        <v>0</v>
      </c>
      <c r="I668">
        <v>0</v>
      </c>
      <c r="J668">
        <v>2016</v>
      </c>
      <c r="K668" t="str">
        <f>IF(Books[[#This Row],[AVERAGE RATING]]&gt;=4,"High",IF(Books[[#This Row],[AVERAGE RATING]]&gt;=3,"Medium","Low"))</f>
        <v>Low</v>
      </c>
      <c r="L668" t="str">
        <f>IF(Books[[#This Row],[AVERAGE RATING]]&gt;10000,"Popular","Average")</f>
        <v>Average</v>
      </c>
      <c r="M668">
        <f>Books[[#This Row],[AVERAGE RATING]]*Books[[#This Row],[RATINGS COUNT]]</f>
        <v>0</v>
      </c>
    </row>
    <row r="669" spans="1:13" x14ac:dyDescent="0.25">
      <c r="A669" t="s">
        <v>1592</v>
      </c>
      <c r="B669" t="s">
        <v>1593</v>
      </c>
      <c r="C669">
        <v>223</v>
      </c>
      <c r="D669" t="s">
        <v>314</v>
      </c>
      <c r="E669" t="s">
        <v>3597</v>
      </c>
      <c r="F669" t="s">
        <v>1594</v>
      </c>
      <c r="G669" t="s">
        <v>4</v>
      </c>
      <c r="H669">
        <v>0</v>
      </c>
      <c r="I669">
        <v>0</v>
      </c>
      <c r="J669">
        <v>2023</v>
      </c>
      <c r="K669" t="str">
        <f>IF(Books[[#This Row],[AVERAGE RATING]]&gt;=4,"High",IF(Books[[#This Row],[AVERAGE RATING]]&gt;=3,"Medium","Low"))</f>
        <v>Low</v>
      </c>
      <c r="L669" t="str">
        <f>IF(Books[[#This Row],[AVERAGE RATING]]&gt;10000,"Popular","Average")</f>
        <v>Average</v>
      </c>
      <c r="M669">
        <f>Books[[#This Row],[AVERAGE RATING]]*Books[[#This Row],[RATINGS COUNT]]</f>
        <v>0</v>
      </c>
    </row>
    <row r="670" spans="1:13" x14ac:dyDescent="0.25">
      <c r="A670" t="s">
        <v>1595</v>
      </c>
      <c r="B670" t="s">
        <v>1310</v>
      </c>
      <c r="C670">
        <v>302</v>
      </c>
      <c r="D670" t="s">
        <v>11</v>
      </c>
      <c r="E670" t="s">
        <v>3598</v>
      </c>
      <c r="F670" t="s">
        <v>1583</v>
      </c>
      <c r="G670" t="s">
        <v>4</v>
      </c>
      <c r="H670">
        <v>0</v>
      </c>
      <c r="I670">
        <v>0</v>
      </c>
      <c r="J670">
        <v>2015</v>
      </c>
      <c r="K670" t="str">
        <f>IF(Books[[#This Row],[AVERAGE RATING]]&gt;=4,"High",IF(Books[[#This Row],[AVERAGE RATING]]&gt;=3,"Medium","Low"))</f>
        <v>Low</v>
      </c>
      <c r="L670" t="str">
        <f>IF(Books[[#This Row],[AVERAGE RATING]]&gt;10000,"Popular","Average")</f>
        <v>Average</v>
      </c>
      <c r="M670">
        <f>Books[[#This Row],[AVERAGE RATING]]*Books[[#This Row],[RATINGS COUNT]]</f>
        <v>0</v>
      </c>
    </row>
    <row r="671" spans="1:13" x14ac:dyDescent="0.25">
      <c r="A671" t="s">
        <v>1596</v>
      </c>
      <c r="B671" t="s">
        <v>1597</v>
      </c>
      <c r="C671">
        <v>40</v>
      </c>
      <c r="D671" t="s">
        <v>47</v>
      </c>
      <c r="E671" t="s">
        <v>3311</v>
      </c>
      <c r="F671" t="s">
        <v>1598</v>
      </c>
      <c r="G671" t="s">
        <v>4</v>
      </c>
      <c r="H671">
        <v>0</v>
      </c>
      <c r="I671">
        <v>0</v>
      </c>
      <c r="J671">
        <v>2019</v>
      </c>
      <c r="K671" t="str">
        <f>IF(Books[[#This Row],[AVERAGE RATING]]&gt;=4,"High",IF(Books[[#This Row],[AVERAGE RATING]]&gt;=3,"Medium","Low"))</f>
        <v>Low</v>
      </c>
      <c r="L671" t="str">
        <f>IF(Books[[#This Row],[AVERAGE RATING]]&gt;10000,"Popular","Average")</f>
        <v>Average</v>
      </c>
      <c r="M671">
        <f>Books[[#This Row],[AVERAGE RATING]]*Books[[#This Row],[RATINGS COUNT]]</f>
        <v>0</v>
      </c>
    </row>
    <row r="672" spans="1:13" x14ac:dyDescent="0.25">
      <c r="A672" t="s">
        <v>1599</v>
      </c>
      <c r="B672" t="s">
        <v>1600</v>
      </c>
      <c r="C672">
        <v>402</v>
      </c>
      <c r="D672" t="s">
        <v>673</v>
      </c>
      <c r="E672" t="s">
        <v>3599</v>
      </c>
      <c r="F672" t="s">
        <v>1601</v>
      </c>
      <c r="G672" t="s">
        <v>4</v>
      </c>
      <c r="H672">
        <v>0</v>
      </c>
      <c r="I672">
        <v>0</v>
      </c>
      <c r="J672">
        <v>2004</v>
      </c>
      <c r="K672" t="str">
        <f>IF(Books[[#This Row],[AVERAGE RATING]]&gt;=4,"High",IF(Books[[#This Row],[AVERAGE RATING]]&gt;=3,"Medium","Low"))</f>
        <v>Low</v>
      </c>
      <c r="L672" t="str">
        <f>IF(Books[[#This Row],[AVERAGE RATING]]&gt;10000,"Popular","Average")</f>
        <v>Average</v>
      </c>
      <c r="M672">
        <f>Books[[#This Row],[AVERAGE RATING]]*Books[[#This Row],[RATINGS COUNT]]</f>
        <v>0</v>
      </c>
    </row>
    <row r="673" spans="1:13" x14ac:dyDescent="0.25">
      <c r="A673" t="s">
        <v>1602</v>
      </c>
      <c r="B673" t="s">
        <v>921</v>
      </c>
      <c r="C673">
        <v>1714</v>
      </c>
      <c r="D673" t="s">
        <v>11</v>
      </c>
      <c r="E673" t="s">
        <v>3600</v>
      </c>
      <c r="F673" t="s">
        <v>1603</v>
      </c>
      <c r="G673" t="s">
        <v>4</v>
      </c>
      <c r="H673">
        <v>0</v>
      </c>
      <c r="I673">
        <v>0</v>
      </c>
      <c r="J673">
        <v>2024</v>
      </c>
      <c r="K673" t="str">
        <f>IF(Books[[#This Row],[AVERAGE RATING]]&gt;=4,"High",IF(Books[[#This Row],[AVERAGE RATING]]&gt;=3,"Medium","Low"))</f>
        <v>Low</v>
      </c>
      <c r="L673" t="str">
        <f>IF(Books[[#This Row],[AVERAGE RATING]]&gt;10000,"Popular","Average")</f>
        <v>Average</v>
      </c>
      <c r="M673">
        <f>Books[[#This Row],[AVERAGE RATING]]*Books[[#This Row],[RATINGS COUNT]]</f>
        <v>0</v>
      </c>
    </row>
    <row r="674" spans="1:13" x14ac:dyDescent="0.25">
      <c r="A674" t="s">
        <v>1604</v>
      </c>
      <c r="B674" t="s">
        <v>921</v>
      </c>
      <c r="C674">
        <v>548</v>
      </c>
      <c r="D674" t="s">
        <v>11</v>
      </c>
      <c r="E674" t="s">
        <v>3149</v>
      </c>
      <c r="F674" t="s">
        <v>1605</v>
      </c>
      <c r="G674" t="s">
        <v>4</v>
      </c>
      <c r="H674">
        <v>4.5</v>
      </c>
      <c r="I674">
        <v>3</v>
      </c>
      <c r="J674">
        <v>2009</v>
      </c>
      <c r="K674" t="str">
        <f>IF(Books[[#This Row],[AVERAGE RATING]]&gt;=4,"High",IF(Books[[#This Row],[AVERAGE RATING]]&gt;=3,"Medium","Low"))</f>
        <v>High</v>
      </c>
      <c r="L674" t="str">
        <f>IF(Books[[#This Row],[AVERAGE RATING]]&gt;10000,"Popular","Average")</f>
        <v>Average</v>
      </c>
      <c r="M674">
        <f>Books[[#This Row],[AVERAGE RATING]]*Books[[#This Row],[RATINGS COUNT]]</f>
        <v>13.5</v>
      </c>
    </row>
    <row r="675" spans="1:13" x14ac:dyDescent="0.25">
      <c r="A675" t="s">
        <v>1606</v>
      </c>
      <c r="B675" t="s">
        <v>921</v>
      </c>
      <c r="C675">
        <v>292</v>
      </c>
      <c r="D675" t="s">
        <v>11</v>
      </c>
      <c r="E675" t="s">
        <v>3474</v>
      </c>
      <c r="F675" t="s">
        <v>1607</v>
      </c>
      <c r="G675" t="s">
        <v>4</v>
      </c>
      <c r="H675">
        <v>0</v>
      </c>
      <c r="I675">
        <v>0</v>
      </c>
      <c r="J675">
        <v>1894</v>
      </c>
      <c r="K675" t="str">
        <f>IF(Books[[#This Row],[AVERAGE RATING]]&gt;=4,"High",IF(Books[[#This Row],[AVERAGE RATING]]&gt;=3,"Medium","Low"))</f>
        <v>Low</v>
      </c>
      <c r="L675" t="str">
        <f>IF(Books[[#This Row],[AVERAGE RATING]]&gt;10000,"Popular","Average")</f>
        <v>Average</v>
      </c>
      <c r="M675">
        <f>Books[[#This Row],[AVERAGE RATING]]*Books[[#This Row],[RATINGS COUNT]]</f>
        <v>0</v>
      </c>
    </row>
    <row r="676" spans="1:13" x14ac:dyDescent="0.25">
      <c r="A676" t="s">
        <v>1608</v>
      </c>
      <c r="B676" t="s">
        <v>1310</v>
      </c>
      <c r="C676">
        <v>51</v>
      </c>
      <c r="D676" t="s">
        <v>54</v>
      </c>
      <c r="E676" t="s">
        <v>3601</v>
      </c>
      <c r="F676" t="s">
        <v>1609</v>
      </c>
      <c r="G676" t="s">
        <v>4</v>
      </c>
      <c r="H676">
        <v>0</v>
      </c>
      <c r="I676">
        <v>0</v>
      </c>
      <c r="J676">
        <v>2018</v>
      </c>
      <c r="K676" t="str">
        <f>IF(Books[[#This Row],[AVERAGE RATING]]&gt;=4,"High",IF(Books[[#This Row],[AVERAGE RATING]]&gt;=3,"Medium","Low"))</f>
        <v>Low</v>
      </c>
      <c r="L676" t="str">
        <f>IF(Books[[#This Row],[AVERAGE RATING]]&gt;10000,"Popular","Average")</f>
        <v>Average</v>
      </c>
      <c r="M676">
        <f>Books[[#This Row],[AVERAGE RATING]]*Books[[#This Row],[RATINGS COUNT]]</f>
        <v>0</v>
      </c>
    </row>
    <row r="677" spans="1:13" x14ac:dyDescent="0.25">
      <c r="A677" t="s">
        <v>1610</v>
      </c>
      <c r="B677" t="s">
        <v>1310</v>
      </c>
      <c r="C677">
        <v>52</v>
      </c>
      <c r="D677" t="s">
        <v>54</v>
      </c>
      <c r="E677" t="s">
        <v>3602</v>
      </c>
      <c r="F677" t="s">
        <v>1609</v>
      </c>
      <c r="G677" t="s">
        <v>4</v>
      </c>
      <c r="H677">
        <v>0</v>
      </c>
      <c r="I677">
        <v>0</v>
      </c>
      <c r="J677">
        <v>2010</v>
      </c>
      <c r="K677" t="str">
        <f>IF(Books[[#This Row],[AVERAGE RATING]]&gt;=4,"High",IF(Books[[#This Row],[AVERAGE RATING]]&gt;=3,"Medium","Low"))</f>
        <v>Low</v>
      </c>
      <c r="L677" t="str">
        <f>IF(Books[[#This Row],[AVERAGE RATING]]&gt;10000,"Popular","Average")</f>
        <v>Average</v>
      </c>
      <c r="M677">
        <f>Books[[#This Row],[AVERAGE RATING]]*Books[[#This Row],[RATINGS COUNT]]</f>
        <v>0</v>
      </c>
    </row>
    <row r="678" spans="1:13" x14ac:dyDescent="0.25">
      <c r="A678" t="s">
        <v>1611</v>
      </c>
      <c r="B678" t="s">
        <v>1310</v>
      </c>
      <c r="C678">
        <v>1048</v>
      </c>
      <c r="D678" t="s">
        <v>11</v>
      </c>
      <c r="E678" t="s">
        <v>3068</v>
      </c>
      <c r="F678" t="s">
        <v>430</v>
      </c>
      <c r="G678" t="s">
        <v>4</v>
      </c>
      <c r="H678">
        <v>0</v>
      </c>
      <c r="I678">
        <v>0</v>
      </c>
      <c r="J678">
        <v>1988</v>
      </c>
      <c r="K678" t="str">
        <f>IF(Books[[#This Row],[AVERAGE RATING]]&gt;=4,"High",IF(Books[[#This Row],[AVERAGE RATING]]&gt;=3,"Medium","Low"))</f>
        <v>Low</v>
      </c>
      <c r="L678" t="str">
        <f>IF(Books[[#This Row],[AVERAGE RATING]]&gt;10000,"Popular","Average")</f>
        <v>Average</v>
      </c>
      <c r="M678">
        <f>Books[[#This Row],[AVERAGE RATING]]*Books[[#This Row],[RATINGS COUNT]]</f>
        <v>0</v>
      </c>
    </row>
    <row r="679" spans="1:13" x14ac:dyDescent="0.25">
      <c r="A679" t="s">
        <v>1612</v>
      </c>
      <c r="B679" t="s">
        <v>1310</v>
      </c>
      <c r="C679">
        <v>51</v>
      </c>
      <c r="D679" t="s">
        <v>54</v>
      </c>
      <c r="E679" t="s">
        <v>3601</v>
      </c>
      <c r="F679" t="s">
        <v>1609</v>
      </c>
      <c r="G679" t="s">
        <v>4</v>
      </c>
      <c r="H679">
        <v>0</v>
      </c>
      <c r="I679">
        <v>0</v>
      </c>
      <c r="J679">
        <v>2018</v>
      </c>
      <c r="K679" t="str">
        <f>IF(Books[[#This Row],[AVERAGE RATING]]&gt;=4,"High",IF(Books[[#This Row],[AVERAGE RATING]]&gt;=3,"Medium","Low"))</f>
        <v>Low</v>
      </c>
      <c r="L679" t="str">
        <f>IF(Books[[#This Row],[AVERAGE RATING]]&gt;10000,"Popular","Average")</f>
        <v>Average</v>
      </c>
      <c r="M679">
        <f>Books[[#This Row],[AVERAGE RATING]]*Books[[#This Row],[RATINGS COUNT]]</f>
        <v>0</v>
      </c>
    </row>
    <row r="680" spans="1:13" x14ac:dyDescent="0.25">
      <c r="A680" t="s">
        <v>1613</v>
      </c>
      <c r="B680" t="s">
        <v>921</v>
      </c>
      <c r="C680">
        <v>2034</v>
      </c>
      <c r="D680" t="s">
        <v>11</v>
      </c>
      <c r="E680" t="s">
        <v>3603</v>
      </c>
      <c r="F680" t="s">
        <v>922</v>
      </c>
      <c r="G680" t="s">
        <v>4</v>
      </c>
      <c r="H680">
        <v>0</v>
      </c>
      <c r="I680">
        <v>0</v>
      </c>
      <c r="J680">
        <v>2023</v>
      </c>
      <c r="K680" t="str">
        <f>IF(Books[[#This Row],[AVERAGE RATING]]&gt;=4,"High",IF(Books[[#This Row],[AVERAGE RATING]]&gt;=3,"Medium","Low"))</f>
        <v>Low</v>
      </c>
      <c r="L680" t="str">
        <f>IF(Books[[#This Row],[AVERAGE RATING]]&gt;10000,"Popular","Average")</f>
        <v>Average</v>
      </c>
      <c r="M680">
        <f>Books[[#This Row],[AVERAGE RATING]]*Books[[#This Row],[RATINGS COUNT]]</f>
        <v>0</v>
      </c>
    </row>
    <row r="681" spans="1:13" x14ac:dyDescent="0.25">
      <c r="A681" t="s">
        <v>1614</v>
      </c>
      <c r="B681" t="s">
        <v>1615</v>
      </c>
      <c r="C681">
        <v>163</v>
      </c>
      <c r="D681" t="s">
        <v>11</v>
      </c>
      <c r="E681" t="s">
        <v>3604</v>
      </c>
      <c r="F681" t="s">
        <v>430</v>
      </c>
      <c r="G681" t="s">
        <v>4</v>
      </c>
      <c r="H681">
        <v>0</v>
      </c>
      <c r="I681">
        <v>0</v>
      </c>
      <c r="J681">
        <v>2015</v>
      </c>
      <c r="K681" t="str">
        <f>IF(Books[[#This Row],[AVERAGE RATING]]&gt;=4,"High",IF(Books[[#This Row],[AVERAGE RATING]]&gt;=3,"Medium","Low"))</f>
        <v>Low</v>
      </c>
      <c r="L681" t="str">
        <f>IF(Books[[#This Row],[AVERAGE RATING]]&gt;10000,"Popular","Average")</f>
        <v>Average</v>
      </c>
      <c r="M681">
        <f>Books[[#This Row],[AVERAGE RATING]]*Books[[#This Row],[RATINGS COUNT]]</f>
        <v>0</v>
      </c>
    </row>
    <row r="682" spans="1:13" x14ac:dyDescent="0.25">
      <c r="A682" t="s">
        <v>1616</v>
      </c>
      <c r="B682" t="s">
        <v>921</v>
      </c>
      <c r="C682">
        <v>214</v>
      </c>
      <c r="D682" t="s">
        <v>11</v>
      </c>
      <c r="E682" t="s">
        <v>3605</v>
      </c>
      <c r="F682" t="s">
        <v>1617</v>
      </c>
      <c r="G682" t="s">
        <v>1618</v>
      </c>
      <c r="H682">
        <v>0</v>
      </c>
      <c r="I682">
        <v>0</v>
      </c>
      <c r="J682">
        <v>2021</v>
      </c>
      <c r="K682" t="str">
        <f>IF(Books[[#This Row],[AVERAGE RATING]]&gt;=4,"High",IF(Books[[#This Row],[AVERAGE RATING]]&gt;=3,"Medium","Low"))</f>
        <v>Low</v>
      </c>
      <c r="L682" t="str">
        <f>IF(Books[[#This Row],[AVERAGE RATING]]&gt;10000,"Popular","Average")</f>
        <v>Average</v>
      </c>
      <c r="M682">
        <f>Books[[#This Row],[AVERAGE RATING]]*Books[[#This Row],[RATINGS COUNT]]</f>
        <v>0</v>
      </c>
    </row>
    <row r="683" spans="1:13" x14ac:dyDescent="0.25">
      <c r="A683" t="s">
        <v>1619</v>
      </c>
      <c r="B683" t="s">
        <v>1620</v>
      </c>
      <c r="C683">
        <v>318</v>
      </c>
      <c r="D683" t="s">
        <v>2</v>
      </c>
      <c r="E683" t="s">
        <v>3606</v>
      </c>
      <c r="F683" t="s">
        <v>42</v>
      </c>
      <c r="G683" t="s">
        <v>4</v>
      </c>
      <c r="H683">
        <v>0</v>
      </c>
      <c r="I683">
        <v>0</v>
      </c>
      <c r="J683">
        <v>2012</v>
      </c>
      <c r="K683" t="str">
        <f>IF(Books[[#This Row],[AVERAGE RATING]]&gt;=4,"High",IF(Books[[#This Row],[AVERAGE RATING]]&gt;=3,"Medium","Low"))</f>
        <v>Low</v>
      </c>
      <c r="L683" t="str">
        <f>IF(Books[[#This Row],[AVERAGE RATING]]&gt;10000,"Popular","Average")</f>
        <v>Average</v>
      </c>
      <c r="M683">
        <f>Books[[#This Row],[AVERAGE RATING]]*Books[[#This Row],[RATINGS COUNT]]</f>
        <v>0</v>
      </c>
    </row>
    <row r="684" spans="1:13" x14ac:dyDescent="0.25">
      <c r="A684" t="s">
        <v>1621</v>
      </c>
      <c r="B684" t="s">
        <v>1622</v>
      </c>
      <c r="C684">
        <v>386</v>
      </c>
      <c r="D684" t="s">
        <v>2</v>
      </c>
      <c r="E684" t="s">
        <v>3124</v>
      </c>
      <c r="F684" t="s">
        <v>1383</v>
      </c>
      <c r="G684" t="s">
        <v>4</v>
      </c>
      <c r="H684">
        <v>5</v>
      </c>
      <c r="I684">
        <v>1</v>
      </c>
      <c r="J684">
        <v>2011</v>
      </c>
      <c r="K684" t="str">
        <f>IF(Books[[#This Row],[AVERAGE RATING]]&gt;=4,"High",IF(Books[[#This Row],[AVERAGE RATING]]&gt;=3,"Medium","Low"))</f>
        <v>High</v>
      </c>
      <c r="L684" t="str">
        <f>IF(Books[[#This Row],[AVERAGE RATING]]&gt;10000,"Popular","Average")</f>
        <v>Average</v>
      </c>
      <c r="M684">
        <f>Books[[#This Row],[AVERAGE RATING]]*Books[[#This Row],[RATINGS COUNT]]</f>
        <v>5</v>
      </c>
    </row>
    <row r="685" spans="1:13" x14ac:dyDescent="0.25">
      <c r="A685" t="s">
        <v>1300</v>
      </c>
      <c r="B685" t="s">
        <v>1623</v>
      </c>
      <c r="C685">
        <v>130</v>
      </c>
      <c r="D685" t="s">
        <v>207</v>
      </c>
      <c r="E685" t="s">
        <v>3607</v>
      </c>
      <c r="F685" t="s">
        <v>1624</v>
      </c>
      <c r="G685" t="s">
        <v>4</v>
      </c>
      <c r="H685">
        <v>0</v>
      </c>
      <c r="I685">
        <v>0</v>
      </c>
      <c r="J685">
        <v>2017</v>
      </c>
      <c r="K685" t="str">
        <f>IF(Books[[#This Row],[AVERAGE RATING]]&gt;=4,"High",IF(Books[[#This Row],[AVERAGE RATING]]&gt;=3,"Medium","Low"))</f>
        <v>Low</v>
      </c>
      <c r="L685" t="str">
        <f>IF(Books[[#This Row],[AVERAGE RATING]]&gt;10000,"Popular","Average")</f>
        <v>Average</v>
      </c>
      <c r="M685">
        <f>Books[[#This Row],[AVERAGE RATING]]*Books[[#This Row],[RATINGS COUNT]]</f>
        <v>0</v>
      </c>
    </row>
    <row r="686" spans="1:13" x14ac:dyDescent="0.25">
      <c r="A686" t="s">
        <v>1625</v>
      </c>
      <c r="B686" t="s">
        <v>1626</v>
      </c>
      <c r="C686">
        <v>192</v>
      </c>
      <c r="D686" t="s">
        <v>11</v>
      </c>
      <c r="E686" t="s">
        <v>3247</v>
      </c>
      <c r="F686" t="s">
        <v>426</v>
      </c>
      <c r="G686" t="s">
        <v>4</v>
      </c>
      <c r="H686">
        <v>0</v>
      </c>
      <c r="I686">
        <v>0</v>
      </c>
      <c r="J686">
        <v>1980</v>
      </c>
      <c r="K686" t="str">
        <f>IF(Books[[#This Row],[AVERAGE RATING]]&gt;=4,"High",IF(Books[[#This Row],[AVERAGE RATING]]&gt;=3,"Medium","Low"))</f>
        <v>Low</v>
      </c>
      <c r="L686" t="str">
        <f>IF(Books[[#This Row],[AVERAGE RATING]]&gt;10000,"Popular","Average")</f>
        <v>Average</v>
      </c>
      <c r="M686">
        <f>Books[[#This Row],[AVERAGE RATING]]*Books[[#This Row],[RATINGS COUNT]]</f>
        <v>0</v>
      </c>
    </row>
    <row r="687" spans="1:13" x14ac:dyDescent="0.25">
      <c r="A687" t="s">
        <v>1627</v>
      </c>
      <c r="B687" t="s">
        <v>1628</v>
      </c>
      <c r="C687">
        <v>64</v>
      </c>
      <c r="D687" t="s">
        <v>640</v>
      </c>
      <c r="E687" t="s">
        <v>3608</v>
      </c>
      <c r="F687" t="s">
        <v>39</v>
      </c>
      <c r="G687" t="s">
        <v>4</v>
      </c>
      <c r="H687">
        <v>0</v>
      </c>
      <c r="I687">
        <v>0</v>
      </c>
      <c r="J687">
        <v>2014</v>
      </c>
      <c r="K687" t="str">
        <f>IF(Books[[#This Row],[AVERAGE RATING]]&gt;=4,"High",IF(Books[[#This Row],[AVERAGE RATING]]&gt;=3,"Medium","Low"))</f>
        <v>Low</v>
      </c>
      <c r="L687" t="str">
        <f>IF(Books[[#This Row],[AVERAGE RATING]]&gt;10000,"Popular","Average")</f>
        <v>Average</v>
      </c>
      <c r="M687">
        <f>Books[[#This Row],[AVERAGE RATING]]*Books[[#This Row],[RATINGS COUNT]]</f>
        <v>0</v>
      </c>
    </row>
    <row r="688" spans="1:13" x14ac:dyDescent="0.25">
      <c r="A688" t="s">
        <v>1629</v>
      </c>
      <c r="B688" t="s">
        <v>1628</v>
      </c>
      <c r="C688">
        <v>67</v>
      </c>
      <c r="D688" t="s">
        <v>640</v>
      </c>
      <c r="E688" t="s">
        <v>3586</v>
      </c>
      <c r="F688" t="s">
        <v>39</v>
      </c>
      <c r="G688" t="s">
        <v>4</v>
      </c>
      <c r="H688">
        <v>0</v>
      </c>
      <c r="I688">
        <v>0</v>
      </c>
      <c r="J688">
        <v>2012</v>
      </c>
      <c r="K688" t="str">
        <f>IF(Books[[#This Row],[AVERAGE RATING]]&gt;=4,"High",IF(Books[[#This Row],[AVERAGE RATING]]&gt;=3,"Medium","Low"))</f>
        <v>Low</v>
      </c>
      <c r="L688" t="str">
        <f>IF(Books[[#This Row],[AVERAGE RATING]]&gt;10000,"Popular","Average")</f>
        <v>Average</v>
      </c>
      <c r="M688">
        <f>Books[[#This Row],[AVERAGE RATING]]*Books[[#This Row],[RATINGS COUNT]]</f>
        <v>0</v>
      </c>
    </row>
    <row r="689" spans="1:13" x14ac:dyDescent="0.25">
      <c r="A689" t="s">
        <v>1630</v>
      </c>
      <c r="B689" t="s">
        <v>1631</v>
      </c>
      <c r="C689">
        <v>90</v>
      </c>
      <c r="D689" t="s">
        <v>1632</v>
      </c>
      <c r="E689" t="s">
        <v>3325</v>
      </c>
      <c r="F689" t="s">
        <v>1633</v>
      </c>
      <c r="G689" t="s">
        <v>4</v>
      </c>
      <c r="H689">
        <v>0</v>
      </c>
      <c r="I689">
        <v>0</v>
      </c>
      <c r="J689">
        <v>2022</v>
      </c>
      <c r="K689" t="str">
        <f>IF(Books[[#This Row],[AVERAGE RATING]]&gt;=4,"High",IF(Books[[#This Row],[AVERAGE RATING]]&gt;=3,"Medium","Low"))</f>
        <v>Low</v>
      </c>
      <c r="L689" t="str">
        <f>IF(Books[[#This Row],[AVERAGE RATING]]&gt;10000,"Popular","Average")</f>
        <v>Average</v>
      </c>
      <c r="M689">
        <f>Books[[#This Row],[AVERAGE RATING]]*Books[[#This Row],[RATINGS COUNT]]</f>
        <v>0</v>
      </c>
    </row>
    <row r="690" spans="1:13" x14ac:dyDescent="0.25">
      <c r="A690" t="s">
        <v>1634</v>
      </c>
      <c r="B690" t="s">
        <v>1635</v>
      </c>
      <c r="C690">
        <v>449</v>
      </c>
      <c r="D690" t="s">
        <v>2</v>
      </c>
      <c r="E690" t="s">
        <v>3609</v>
      </c>
      <c r="F690" t="s">
        <v>76</v>
      </c>
      <c r="G690" t="s">
        <v>4</v>
      </c>
      <c r="H690">
        <v>0</v>
      </c>
      <c r="I690">
        <v>0</v>
      </c>
      <c r="J690">
        <v>2016</v>
      </c>
      <c r="K690" t="str">
        <f>IF(Books[[#This Row],[AVERAGE RATING]]&gt;=4,"High",IF(Books[[#This Row],[AVERAGE RATING]]&gt;=3,"Medium","Low"))</f>
        <v>Low</v>
      </c>
      <c r="L690" t="str">
        <f>IF(Books[[#This Row],[AVERAGE RATING]]&gt;10000,"Popular","Average")</f>
        <v>Average</v>
      </c>
      <c r="M690">
        <f>Books[[#This Row],[AVERAGE RATING]]*Books[[#This Row],[RATINGS COUNT]]</f>
        <v>0</v>
      </c>
    </row>
    <row r="691" spans="1:13" x14ac:dyDescent="0.25">
      <c r="A691" t="s">
        <v>1300</v>
      </c>
      <c r="B691" t="s">
        <v>1636</v>
      </c>
      <c r="C691">
        <v>457</v>
      </c>
      <c r="D691" t="s">
        <v>2</v>
      </c>
      <c r="E691" t="s">
        <v>3610</v>
      </c>
      <c r="F691" t="s">
        <v>76</v>
      </c>
      <c r="G691" t="s">
        <v>4</v>
      </c>
      <c r="H691">
        <v>0</v>
      </c>
      <c r="I691">
        <v>0</v>
      </c>
      <c r="J691">
        <v>2022</v>
      </c>
      <c r="K691" t="str">
        <f>IF(Books[[#This Row],[AVERAGE RATING]]&gt;=4,"High",IF(Books[[#This Row],[AVERAGE RATING]]&gt;=3,"Medium","Low"))</f>
        <v>Low</v>
      </c>
      <c r="L691" t="str">
        <f>IF(Books[[#This Row],[AVERAGE RATING]]&gt;10000,"Popular","Average")</f>
        <v>Average</v>
      </c>
      <c r="M691">
        <f>Books[[#This Row],[AVERAGE RATING]]*Books[[#This Row],[RATINGS COUNT]]</f>
        <v>0</v>
      </c>
    </row>
    <row r="692" spans="1:13" x14ac:dyDescent="0.25">
      <c r="A692" t="s">
        <v>1637</v>
      </c>
      <c r="B692" t="s">
        <v>1638</v>
      </c>
      <c r="C692">
        <v>234</v>
      </c>
      <c r="D692" t="s">
        <v>118</v>
      </c>
      <c r="E692" t="s">
        <v>3611</v>
      </c>
      <c r="F692" t="s">
        <v>1203</v>
      </c>
      <c r="G692" t="s">
        <v>4</v>
      </c>
      <c r="H692">
        <v>0</v>
      </c>
      <c r="I692">
        <v>0</v>
      </c>
      <c r="J692">
        <v>2023</v>
      </c>
      <c r="K692" t="str">
        <f>IF(Books[[#This Row],[AVERAGE RATING]]&gt;=4,"High",IF(Books[[#This Row],[AVERAGE RATING]]&gt;=3,"Medium","Low"))</f>
        <v>Low</v>
      </c>
      <c r="L692" t="str">
        <f>IF(Books[[#This Row],[AVERAGE RATING]]&gt;10000,"Popular","Average")</f>
        <v>Average</v>
      </c>
      <c r="M692">
        <f>Books[[#This Row],[AVERAGE RATING]]*Books[[#This Row],[RATINGS COUNT]]</f>
        <v>0</v>
      </c>
    </row>
    <row r="693" spans="1:13" x14ac:dyDescent="0.25">
      <c r="A693" t="s">
        <v>1639</v>
      </c>
      <c r="B693" t="s">
        <v>1640</v>
      </c>
      <c r="C693">
        <v>448</v>
      </c>
      <c r="D693" t="s">
        <v>11</v>
      </c>
      <c r="E693" t="s">
        <v>3055</v>
      </c>
      <c r="F693" t="s">
        <v>417</v>
      </c>
      <c r="G693" t="s">
        <v>4</v>
      </c>
      <c r="H693">
        <v>5</v>
      </c>
      <c r="I693">
        <v>1</v>
      </c>
      <c r="J693">
        <v>2004</v>
      </c>
      <c r="K693" t="str">
        <f>IF(Books[[#This Row],[AVERAGE RATING]]&gt;=4,"High",IF(Books[[#This Row],[AVERAGE RATING]]&gt;=3,"Medium","Low"))</f>
        <v>High</v>
      </c>
      <c r="L693" t="str">
        <f>IF(Books[[#This Row],[AVERAGE RATING]]&gt;10000,"Popular","Average")</f>
        <v>Average</v>
      </c>
      <c r="M693">
        <f>Books[[#This Row],[AVERAGE RATING]]*Books[[#This Row],[RATINGS COUNT]]</f>
        <v>5</v>
      </c>
    </row>
    <row r="694" spans="1:13" x14ac:dyDescent="0.25">
      <c r="A694" t="s">
        <v>1641</v>
      </c>
      <c r="B694" t="s">
        <v>1642</v>
      </c>
      <c r="C694">
        <v>173</v>
      </c>
      <c r="D694" t="s">
        <v>2</v>
      </c>
      <c r="E694" t="s">
        <v>3612</v>
      </c>
      <c r="F694" t="s">
        <v>1643</v>
      </c>
      <c r="G694" t="s">
        <v>4</v>
      </c>
      <c r="H694">
        <v>0</v>
      </c>
      <c r="I694">
        <v>0</v>
      </c>
      <c r="J694">
        <v>2023</v>
      </c>
      <c r="K694" t="str">
        <f>IF(Books[[#This Row],[AVERAGE RATING]]&gt;=4,"High",IF(Books[[#This Row],[AVERAGE RATING]]&gt;=3,"Medium","Low"))</f>
        <v>Low</v>
      </c>
      <c r="L694" t="str">
        <f>IF(Books[[#This Row],[AVERAGE RATING]]&gt;10000,"Popular","Average")</f>
        <v>Average</v>
      </c>
      <c r="M694">
        <f>Books[[#This Row],[AVERAGE RATING]]*Books[[#This Row],[RATINGS COUNT]]</f>
        <v>0</v>
      </c>
    </row>
    <row r="695" spans="1:13" x14ac:dyDescent="0.25">
      <c r="A695" t="s">
        <v>1300</v>
      </c>
      <c r="B695" t="s">
        <v>1644</v>
      </c>
      <c r="C695">
        <v>219</v>
      </c>
      <c r="D695" t="s">
        <v>2</v>
      </c>
      <c r="E695" t="s">
        <v>3613</v>
      </c>
      <c r="F695" t="s">
        <v>93</v>
      </c>
      <c r="G695" t="s">
        <v>4</v>
      </c>
      <c r="H695">
        <v>0</v>
      </c>
      <c r="I695">
        <v>0</v>
      </c>
      <c r="J695">
        <v>2006</v>
      </c>
      <c r="K695" t="str">
        <f>IF(Books[[#This Row],[AVERAGE RATING]]&gt;=4,"High",IF(Books[[#This Row],[AVERAGE RATING]]&gt;=3,"Medium","Low"))</f>
        <v>Low</v>
      </c>
      <c r="L695" t="str">
        <f>IF(Books[[#This Row],[AVERAGE RATING]]&gt;10000,"Popular","Average")</f>
        <v>Average</v>
      </c>
      <c r="M695">
        <f>Books[[#This Row],[AVERAGE RATING]]*Books[[#This Row],[RATINGS COUNT]]</f>
        <v>0</v>
      </c>
    </row>
    <row r="696" spans="1:13" x14ac:dyDescent="0.25">
      <c r="A696" t="s">
        <v>1645</v>
      </c>
      <c r="B696" t="s">
        <v>1646</v>
      </c>
      <c r="C696">
        <v>345</v>
      </c>
      <c r="D696" t="s">
        <v>32</v>
      </c>
      <c r="E696" t="s">
        <v>3614</v>
      </c>
      <c r="F696" t="s">
        <v>18</v>
      </c>
      <c r="G696" t="s">
        <v>4</v>
      </c>
      <c r="H696">
        <v>0</v>
      </c>
      <c r="I696">
        <v>0</v>
      </c>
      <c r="J696">
        <v>2016</v>
      </c>
      <c r="K696" t="str">
        <f>IF(Books[[#This Row],[AVERAGE RATING]]&gt;=4,"High",IF(Books[[#This Row],[AVERAGE RATING]]&gt;=3,"Medium","Low"))</f>
        <v>Low</v>
      </c>
      <c r="L696" t="str">
        <f>IF(Books[[#This Row],[AVERAGE RATING]]&gt;10000,"Popular","Average")</f>
        <v>Average</v>
      </c>
      <c r="M696">
        <f>Books[[#This Row],[AVERAGE RATING]]*Books[[#This Row],[RATINGS COUNT]]</f>
        <v>0</v>
      </c>
    </row>
    <row r="697" spans="1:13" x14ac:dyDescent="0.25">
      <c r="A697" t="s">
        <v>1647</v>
      </c>
      <c r="B697" t="s">
        <v>1648</v>
      </c>
      <c r="C697">
        <v>204</v>
      </c>
      <c r="D697" t="s">
        <v>628</v>
      </c>
      <c r="E697" t="s">
        <v>3078</v>
      </c>
      <c r="F697" t="s">
        <v>1649</v>
      </c>
      <c r="G697" t="s">
        <v>4</v>
      </c>
      <c r="H697">
        <v>0</v>
      </c>
      <c r="I697">
        <v>0</v>
      </c>
      <c r="J697">
        <v>1999</v>
      </c>
      <c r="K697" t="str">
        <f>IF(Books[[#This Row],[AVERAGE RATING]]&gt;=4,"High",IF(Books[[#This Row],[AVERAGE RATING]]&gt;=3,"Medium","Low"))</f>
        <v>Low</v>
      </c>
      <c r="L697" t="str">
        <f>IF(Books[[#This Row],[AVERAGE RATING]]&gt;10000,"Popular","Average")</f>
        <v>Average</v>
      </c>
      <c r="M697">
        <f>Books[[#This Row],[AVERAGE RATING]]*Books[[#This Row],[RATINGS COUNT]]</f>
        <v>0</v>
      </c>
    </row>
    <row r="698" spans="1:13" x14ac:dyDescent="0.25">
      <c r="A698" t="s">
        <v>1650</v>
      </c>
      <c r="B698" t="s">
        <v>1394</v>
      </c>
      <c r="C698">
        <v>139</v>
      </c>
      <c r="D698" t="s">
        <v>2</v>
      </c>
      <c r="E698" t="s">
        <v>3149</v>
      </c>
      <c r="F698" t="s">
        <v>807</v>
      </c>
      <c r="G698" t="s">
        <v>4</v>
      </c>
      <c r="H698">
        <v>0</v>
      </c>
      <c r="I698">
        <v>0</v>
      </c>
      <c r="J698">
        <v>2009</v>
      </c>
      <c r="K698" t="str">
        <f>IF(Books[[#This Row],[AVERAGE RATING]]&gt;=4,"High",IF(Books[[#This Row],[AVERAGE RATING]]&gt;=3,"Medium","Low"))</f>
        <v>Low</v>
      </c>
      <c r="L698" t="str">
        <f>IF(Books[[#This Row],[AVERAGE RATING]]&gt;10000,"Popular","Average")</f>
        <v>Average</v>
      </c>
      <c r="M698">
        <f>Books[[#This Row],[AVERAGE RATING]]*Books[[#This Row],[RATINGS COUNT]]</f>
        <v>0</v>
      </c>
    </row>
    <row r="699" spans="1:13" x14ac:dyDescent="0.25">
      <c r="A699" t="s">
        <v>1651</v>
      </c>
      <c r="B699" t="s">
        <v>1652</v>
      </c>
      <c r="C699">
        <v>353</v>
      </c>
      <c r="D699" t="s">
        <v>28</v>
      </c>
      <c r="E699" t="s">
        <v>3615</v>
      </c>
      <c r="F699" t="s">
        <v>334</v>
      </c>
      <c r="G699" t="s">
        <v>4</v>
      </c>
      <c r="H699">
        <v>0</v>
      </c>
      <c r="I699">
        <v>0</v>
      </c>
      <c r="J699">
        <v>2020</v>
      </c>
      <c r="K699" t="str">
        <f>IF(Books[[#This Row],[AVERAGE RATING]]&gt;=4,"High",IF(Books[[#This Row],[AVERAGE RATING]]&gt;=3,"Medium","Low"))</f>
        <v>Low</v>
      </c>
      <c r="L699" t="str">
        <f>IF(Books[[#This Row],[AVERAGE RATING]]&gt;10000,"Popular","Average")</f>
        <v>Average</v>
      </c>
      <c r="M699">
        <f>Books[[#This Row],[AVERAGE RATING]]*Books[[#This Row],[RATINGS COUNT]]</f>
        <v>0</v>
      </c>
    </row>
    <row r="700" spans="1:13" x14ac:dyDescent="0.25">
      <c r="A700" t="s">
        <v>1653</v>
      </c>
      <c r="B700" t="s">
        <v>1654</v>
      </c>
      <c r="C700">
        <v>154</v>
      </c>
      <c r="D700" t="s">
        <v>45</v>
      </c>
      <c r="E700" t="s">
        <v>3236</v>
      </c>
      <c r="F700" t="s">
        <v>426</v>
      </c>
      <c r="G700" t="s">
        <v>4</v>
      </c>
      <c r="H700">
        <v>0</v>
      </c>
      <c r="I700">
        <v>0</v>
      </c>
      <c r="J700">
        <v>1987</v>
      </c>
      <c r="K700" t="str">
        <f>IF(Books[[#This Row],[AVERAGE RATING]]&gt;=4,"High",IF(Books[[#This Row],[AVERAGE RATING]]&gt;=3,"Medium","Low"))</f>
        <v>Low</v>
      </c>
      <c r="L700" t="str">
        <f>IF(Books[[#This Row],[AVERAGE RATING]]&gt;10000,"Popular","Average")</f>
        <v>Average</v>
      </c>
      <c r="M700">
        <f>Books[[#This Row],[AVERAGE RATING]]*Books[[#This Row],[RATINGS COUNT]]</f>
        <v>0</v>
      </c>
    </row>
    <row r="701" spans="1:13" x14ac:dyDescent="0.25">
      <c r="A701" t="s">
        <v>1655</v>
      </c>
      <c r="B701" t="s">
        <v>1656</v>
      </c>
      <c r="C701">
        <v>172</v>
      </c>
      <c r="D701" t="s">
        <v>2</v>
      </c>
      <c r="E701" t="s">
        <v>3295</v>
      </c>
      <c r="F701" t="s">
        <v>8</v>
      </c>
      <c r="G701" t="s">
        <v>4</v>
      </c>
      <c r="H701">
        <v>0</v>
      </c>
      <c r="I701">
        <v>0</v>
      </c>
      <c r="J701">
        <v>1989</v>
      </c>
      <c r="K701" t="str">
        <f>IF(Books[[#This Row],[AVERAGE RATING]]&gt;=4,"High",IF(Books[[#This Row],[AVERAGE RATING]]&gt;=3,"Medium","Low"))</f>
        <v>Low</v>
      </c>
      <c r="L701" t="str">
        <f>IF(Books[[#This Row],[AVERAGE RATING]]&gt;10000,"Popular","Average")</f>
        <v>Average</v>
      </c>
      <c r="M701">
        <f>Books[[#This Row],[AVERAGE RATING]]*Books[[#This Row],[RATINGS COUNT]]</f>
        <v>0</v>
      </c>
    </row>
    <row r="702" spans="1:13" x14ac:dyDescent="0.25">
      <c r="A702" t="s">
        <v>1657</v>
      </c>
      <c r="B702" t="s">
        <v>1658</v>
      </c>
      <c r="C702">
        <v>202</v>
      </c>
      <c r="D702" t="s">
        <v>11</v>
      </c>
      <c r="E702" t="s">
        <v>3057</v>
      </c>
      <c r="F702" t="s">
        <v>8</v>
      </c>
      <c r="G702" t="s">
        <v>4</v>
      </c>
      <c r="H702">
        <v>0</v>
      </c>
      <c r="I702">
        <v>0</v>
      </c>
      <c r="J702">
        <v>1985</v>
      </c>
      <c r="K702" t="str">
        <f>IF(Books[[#This Row],[AVERAGE RATING]]&gt;=4,"High",IF(Books[[#This Row],[AVERAGE RATING]]&gt;=3,"Medium","Low"))</f>
        <v>Low</v>
      </c>
      <c r="L702" t="str">
        <f>IF(Books[[#This Row],[AVERAGE RATING]]&gt;10000,"Popular","Average")</f>
        <v>Average</v>
      </c>
      <c r="M702">
        <f>Books[[#This Row],[AVERAGE RATING]]*Books[[#This Row],[RATINGS COUNT]]</f>
        <v>0</v>
      </c>
    </row>
    <row r="703" spans="1:13" x14ac:dyDescent="0.25">
      <c r="A703" t="s">
        <v>1659</v>
      </c>
      <c r="B703" t="s">
        <v>1660</v>
      </c>
      <c r="C703">
        <v>196</v>
      </c>
      <c r="D703" t="s">
        <v>2</v>
      </c>
      <c r="E703" t="s">
        <v>3135</v>
      </c>
      <c r="F703" t="s">
        <v>426</v>
      </c>
      <c r="G703" t="s">
        <v>4</v>
      </c>
      <c r="H703">
        <v>0</v>
      </c>
      <c r="I703">
        <v>0</v>
      </c>
      <c r="J703">
        <v>1994</v>
      </c>
      <c r="K703" t="str">
        <f>IF(Books[[#This Row],[AVERAGE RATING]]&gt;=4,"High",IF(Books[[#This Row],[AVERAGE RATING]]&gt;=3,"Medium","Low"))</f>
        <v>Low</v>
      </c>
      <c r="L703" t="str">
        <f>IF(Books[[#This Row],[AVERAGE RATING]]&gt;10000,"Popular","Average")</f>
        <v>Average</v>
      </c>
      <c r="M703">
        <f>Books[[#This Row],[AVERAGE RATING]]*Books[[#This Row],[RATINGS COUNT]]</f>
        <v>0</v>
      </c>
    </row>
    <row r="704" spans="1:13" x14ac:dyDescent="0.25">
      <c r="A704" t="s">
        <v>1661</v>
      </c>
      <c r="B704" t="s">
        <v>1302</v>
      </c>
      <c r="C704">
        <v>449</v>
      </c>
      <c r="D704" t="s">
        <v>11</v>
      </c>
      <c r="E704" t="s">
        <v>3616</v>
      </c>
      <c r="F704" t="s">
        <v>1203</v>
      </c>
      <c r="G704" t="s">
        <v>4</v>
      </c>
      <c r="H704">
        <v>4</v>
      </c>
      <c r="I704">
        <v>238</v>
      </c>
      <c r="J704">
        <v>2005</v>
      </c>
      <c r="K704" t="str">
        <f>IF(Books[[#This Row],[AVERAGE RATING]]&gt;=4,"High",IF(Books[[#This Row],[AVERAGE RATING]]&gt;=3,"Medium","Low"))</f>
        <v>High</v>
      </c>
      <c r="L704" t="str">
        <f>IF(Books[[#This Row],[AVERAGE RATING]]&gt;10000,"Popular","Average")</f>
        <v>Average</v>
      </c>
      <c r="M704">
        <f>Books[[#This Row],[AVERAGE RATING]]*Books[[#This Row],[RATINGS COUNT]]</f>
        <v>952</v>
      </c>
    </row>
    <row r="705" spans="1:13" x14ac:dyDescent="0.25">
      <c r="A705" t="s">
        <v>1662</v>
      </c>
      <c r="B705" t="s">
        <v>1663</v>
      </c>
      <c r="C705">
        <v>284</v>
      </c>
      <c r="D705" t="s">
        <v>45</v>
      </c>
      <c r="E705" t="s">
        <v>3617</v>
      </c>
      <c r="F705" t="s">
        <v>1664</v>
      </c>
      <c r="G705" t="s">
        <v>4</v>
      </c>
      <c r="H705">
        <v>0</v>
      </c>
      <c r="I705">
        <v>0</v>
      </c>
      <c r="J705">
        <v>2011</v>
      </c>
      <c r="K705" t="str">
        <f>IF(Books[[#This Row],[AVERAGE RATING]]&gt;=4,"High",IF(Books[[#This Row],[AVERAGE RATING]]&gt;=3,"Medium","Low"))</f>
        <v>Low</v>
      </c>
      <c r="L705" t="str">
        <f>IF(Books[[#This Row],[AVERAGE RATING]]&gt;10000,"Popular","Average")</f>
        <v>Average</v>
      </c>
      <c r="M705">
        <f>Books[[#This Row],[AVERAGE RATING]]*Books[[#This Row],[RATINGS COUNT]]</f>
        <v>0</v>
      </c>
    </row>
    <row r="706" spans="1:13" x14ac:dyDescent="0.25">
      <c r="A706" t="s">
        <v>1665</v>
      </c>
      <c r="B706" t="s">
        <v>1666</v>
      </c>
      <c r="C706">
        <v>250</v>
      </c>
      <c r="D706" t="s">
        <v>2</v>
      </c>
      <c r="E706" t="s">
        <v>3155</v>
      </c>
      <c r="F706" t="s">
        <v>1667</v>
      </c>
      <c r="G706" t="s">
        <v>4</v>
      </c>
      <c r="H706">
        <v>1</v>
      </c>
      <c r="I706">
        <v>1</v>
      </c>
      <c r="J706">
        <v>2006</v>
      </c>
      <c r="K706" t="str">
        <f>IF(Books[[#This Row],[AVERAGE RATING]]&gt;=4,"High",IF(Books[[#This Row],[AVERAGE RATING]]&gt;=3,"Medium","Low"))</f>
        <v>Low</v>
      </c>
      <c r="L706" t="str">
        <f>IF(Books[[#This Row],[AVERAGE RATING]]&gt;10000,"Popular","Average")</f>
        <v>Average</v>
      </c>
      <c r="M706">
        <f>Books[[#This Row],[AVERAGE RATING]]*Books[[#This Row],[RATINGS COUNT]]</f>
        <v>1</v>
      </c>
    </row>
    <row r="707" spans="1:13" x14ac:dyDescent="0.25">
      <c r="A707" t="s">
        <v>1668</v>
      </c>
      <c r="B707" t="s">
        <v>1669</v>
      </c>
      <c r="C707">
        <v>76</v>
      </c>
      <c r="D707" t="s">
        <v>45</v>
      </c>
      <c r="E707" t="s">
        <v>3099</v>
      </c>
      <c r="F707" t="s">
        <v>100</v>
      </c>
      <c r="G707" t="s">
        <v>4</v>
      </c>
      <c r="H707">
        <v>2</v>
      </c>
      <c r="I707">
        <v>1</v>
      </c>
      <c r="J707">
        <v>2005</v>
      </c>
      <c r="K707" t="str">
        <f>IF(Books[[#This Row],[AVERAGE RATING]]&gt;=4,"High",IF(Books[[#This Row],[AVERAGE RATING]]&gt;=3,"Medium","Low"))</f>
        <v>Low</v>
      </c>
      <c r="L707" t="str">
        <f>IF(Books[[#This Row],[AVERAGE RATING]]&gt;10000,"Popular","Average")</f>
        <v>Average</v>
      </c>
      <c r="M707">
        <f>Books[[#This Row],[AVERAGE RATING]]*Books[[#This Row],[RATINGS COUNT]]</f>
        <v>2</v>
      </c>
    </row>
    <row r="708" spans="1:13" x14ac:dyDescent="0.25">
      <c r="A708" t="s">
        <v>1670</v>
      </c>
      <c r="B708" t="s">
        <v>1671</v>
      </c>
      <c r="C708">
        <v>113</v>
      </c>
      <c r="D708" t="s">
        <v>85</v>
      </c>
      <c r="E708" t="s">
        <v>3618</v>
      </c>
      <c r="F708" t="s">
        <v>1672</v>
      </c>
      <c r="G708" t="s">
        <v>4</v>
      </c>
      <c r="H708">
        <v>0</v>
      </c>
      <c r="I708">
        <v>0</v>
      </c>
      <c r="J708">
        <v>2022</v>
      </c>
      <c r="K708" t="str">
        <f>IF(Books[[#This Row],[AVERAGE RATING]]&gt;=4,"High",IF(Books[[#This Row],[AVERAGE RATING]]&gt;=3,"Medium","Low"))</f>
        <v>Low</v>
      </c>
      <c r="L708" t="str">
        <f>IF(Books[[#This Row],[AVERAGE RATING]]&gt;10000,"Popular","Average")</f>
        <v>Average</v>
      </c>
      <c r="M708">
        <f>Books[[#This Row],[AVERAGE RATING]]*Books[[#This Row],[RATINGS COUNT]]</f>
        <v>0</v>
      </c>
    </row>
    <row r="709" spans="1:13" x14ac:dyDescent="0.25">
      <c r="A709" t="s">
        <v>1673</v>
      </c>
      <c r="B709" t="s">
        <v>1674</v>
      </c>
      <c r="C709">
        <v>62</v>
      </c>
      <c r="D709" t="s">
        <v>28</v>
      </c>
      <c r="E709" t="s">
        <v>3619</v>
      </c>
      <c r="F709" t="s">
        <v>1672</v>
      </c>
      <c r="G709" t="s">
        <v>1308</v>
      </c>
      <c r="H709">
        <v>0</v>
      </c>
      <c r="I709">
        <v>0</v>
      </c>
      <c r="J709">
        <v>2025</v>
      </c>
      <c r="K709" t="str">
        <f>IF(Books[[#This Row],[AVERAGE RATING]]&gt;=4,"High",IF(Books[[#This Row],[AVERAGE RATING]]&gt;=3,"Medium","Low"))</f>
        <v>Low</v>
      </c>
      <c r="L709" t="str">
        <f>IF(Books[[#This Row],[AVERAGE RATING]]&gt;10000,"Popular","Average")</f>
        <v>Average</v>
      </c>
      <c r="M709">
        <f>Books[[#This Row],[AVERAGE RATING]]*Books[[#This Row],[RATINGS COUNT]]</f>
        <v>0</v>
      </c>
    </row>
    <row r="710" spans="1:13" x14ac:dyDescent="0.25">
      <c r="A710" t="s">
        <v>1675</v>
      </c>
      <c r="B710" t="s">
        <v>1676</v>
      </c>
      <c r="C710">
        <v>36</v>
      </c>
      <c r="D710" t="s">
        <v>2</v>
      </c>
      <c r="E710" t="s">
        <v>3620</v>
      </c>
      <c r="F710" t="s">
        <v>388</v>
      </c>
      <c r="G710" t="s">
        <v>4</v>
      </c>
      <c r="H710">
        <v>0</v>
      </c>
      <c r="I710">
        <v>0</v>
      </c>
      <c r="J710">
        <v>2015</v>
      </c>
      <c r="K710" t="str">
        <f>IF(Books[[#This Row],[AVERAGE RATING]]&gt;=4,"High",IF(Books[[#This Row],[AVERAGE RATING]]&gt;=3,"Medium","Low"))</f>
        <v>Low</v>
      </c>
      <c r="L710" t="str">
        <f>IF(Books[[#This Row],[AVERAGE RATING]]&gt;10000,"Popular","Average")</f>
        <v>Average</v>
      </c>
      <c r="M710">
        <f>Books[[#This Row],[AVERAGE RATING]]*Books[[#This Row],[RATINGS COUNT]]</f>
        <v>0</v>
      </c>
    </row>
    <row r="711" spans="1:13" x14ac:dyDescent="0.25">
      <c r="A711" t="s">
        <v>1677</v>
      </c>
      <c r="B711" t="s">
        <v>1678</v>
      </c>
      <c r="C711">
        <v>183</v>
      </c>
      <c r="D711" t="s">
        <v>11</v>
      </c>
      <c r="E711" t="s">
        <v>3621</v>
      </c>
      <c r="F711" t="s">
        <v>1679</v>
      </c>
      <c r="G711" t="s">
        <v>4</v>
      </c>
      <c r="H711">
        <v>2</v>
      </c>
      <c r="I711">
        <v>4</v>
      </c>
      <c r="J711">
        <v>2011</v>
      </c>
      <c r="K711" t="str">
        <f>IF(Books[[#This Row],[AVERAGE RATING]]&gt;=4,"High",IF(Books[[#This Row],[AVERAGE RATING]]&gt;=3,"Medium","Low"))</f>
        <v>Low</v>
      </c>
      <c r="L711" t="str">
        <f>IF(Books[[#This Row],[AVERAGE RATING]]&gt;10000,"Popular","Average")</f>
        <v>Average</v>
      </c>
      <c r="M711">
        <f>Books[[#This Row],[AVERAGE RATING]]*Books[[#This Row],[RATINGS COUNT]]</f>
        <v>8</v>
      </c>
    </row>
    <row r="712" spans="1:13" x14ac:dyDescent="0.25">
      <c r="A712" t="s">
        <v>1680</v>
      </c>
      <c r="B712" t="s">
        <v>1681</v>
      </c>
      <c r="C712">
        <v>100</v>
      </c>
      <c r="D712" t="s">
        <v>2</v>
      </c>
      <c r="E712" t="s">
        <v>3622</v>
      </c>
      <c r="F712" t="s">
        <v>148</v>
      </c>
      <c r="G712" t="s">
        <v>4</v>
      </c>
      <c r="H712">
        <v>5</v>
      </c>
      <c r="I712">
        <v>4</v>
      </c>
      <c r="J712">
        <v>2001</v>
      </c>
      <c r="K712" t="str">
        <f>IF(Books[[#This Row],[AVERAGE RATING]]&gt;=4,"High",IF(Books[[#This Row],[AVERAGE RATING]]&gt;=3,"Medium","Low"))</f>
        <v>High</v>
      </c>
      <c r="L712" t="str">
        <f>IF(Books[[#This Row],[AVERAGE RATING]]&gt;10000,"Popular","Average")</f>
        <v>Average</v>
      </c>
      <c r="M712">
        <f>Books[[#This Row],[AVERAGE RATING]]*Books[[#This Row],[RATINGS COUNT]]</f>
        <v>20</v>
      </c>
    </row>
    <row r="713" spans="1:13" x14ac:dyDescent="0.25">
      <c r="A713" t="s">
        <v>1682</v>
      </c>
      <c r="B713" t="s">
        <v>1683</v>
      </c>
      <c r="C713">
        <v>219</v>
      </c>
      <c r="D713" t="s">
        <v>2</v>
      </c>
      <c r="E713" t="s">
        <v>3623</v>
      </c>
      <c r="F713" t="s">
        <v>76</v>
      </c>
      <c r="G713" t="s">
        <v>4</v>
      </c>
      <c r="H713">
        <v>0</v>
      </c>
      <c r="I713">
        <v>0</v>
      </c>
      <c r="J713">
        <v>2014</v>
      </c>
      <c r="K713" t="str">
        <f>IF(Books[[#This Row],[AVERAGE RATING]]&gt;=4,"High",IF(Books[[#This Row],[AVERAGE RATING]]&gt;=3,"Medium","Low"))</f>
        <v>Low</v>
      </c>
      <c r="L713" t="str">
        <f>IF(Books[[#This Row],[AVERAGE RATING]]&gt;10000,"Popular","Average")</f>
        <v>Average</v>
      </c>
      <c r="M713">
        <f>Books[[#This Row],[AVERAGE RATING]]*Books[[#This Row],[RATINGS COUNT]]</f>
        <v>0</v>
      </c>
    </row>
    <row r="714" spans="1:13" x14ac:dyDescent="0.25">
      <c r="A714" t="s">
        <v>1684</v>
      </c>
      <c r="B714" t="s">
        <v>1685</v>
      </c>
      <c r="C714">
        <v>35</v>
      </c>
      <c r="D714" t="s">
        <v>45</v>
      </c>
      <c r="E714" t="s">
        <v>3624</v>
      </c>
      <c r="F714" t="s">
        <v>1685</v>
      </c>
      <c r="G714" t="s">
        <v>4</v>
      </c>
      <c r="H714">
        <v>0</v>
      </c>
      <c r="I714">
        <v>0</v>
      </c>
      <c r="J714">
        <v>2022</v>
      </c>
      <c r="K714" t="str">
        <f>IF(Books[[#This Row],[AVERAGE RATING]]&gt;=4,"High",IF(Books[[#This Row],[AVERAGE RATING]]&gt;=3,"Medium","Low"))</f>
        <v>Low</v>
      </c>
      <c r="L714" t="str">
        <f>IF(Books[[#This Row],[AVERAGE RATING]]&gt;10000,"Popular","Average")</f>
        <v>Average</v>
      </c>
      <c r="M714">
        <f>Books[[#This Row],[AVERAGE RATING]]*Books[[#This Row],[RATINGS COUNT]]</f>
        <v>0</v>
      </c>
    </row>
    <row r="715" spans="1:13" x14ac:dyDescent="0.25">
      <c r="A715" t="s">
        <v>1686</v>
      </c>
      <c r="B715" t="s">
        <v>1687</v>
      </c>
      <c r="C715">
        <v>29</v>
      </c>
      <c r="D715" t="s">
        <v>11</v>
      </c>
      <c r="E715" t="s">
        <v>3124</v>
      </c>
      <c r="F715" t="s">
        <v>1688</v>
      </c>
      <c r="G715" t="s">
        <v>1442</v>
      </c>
      <c r="H715">
        <v>0</v>
      </c>
      <c r="I715">
        <v>0</v>
      </c>
      <c r="J715">
        <v>2011</v>
      </c>
      <c r="K715" t="str">
        <f>IF(Books[[#This Row],[AVERAGE RATING]]&gt;=4,"High",IF(Books[[#This Row],[AVERAGE RATING]]&gt;=3,"Medium","Low"))</f>
        <v>Low</v>
      </c>
      <c r="L715" t="str">
        <f>IF(Books[[#This Row],[AVERAGE RATING]]&gt;10000,"Popular","Average")</f>
        <v>Average</v>
      </c>
      <c r="M715">
        <f>Books[[#This Row],[AVERAGE RATING]]*Books[[#This Row],[RATINGS COUNT]]</f>
        <v>0</v>
      </c>
    </row>
    <row r="716" spans="1:13" x14ac:dyDescent="0.25">
      <c r="A716" t="s">
        <v>1689</v>
      </c>
      <c r="B716" t="s">
        <v>1690</v>
      </c>
      <c r="C716">
        <v>48</v>
      </c>
      <c r="D716" t="s">
        <v>63</v>
      </c>
      <c r="E716" t="s">
        <v>3625</v>
      </c>
      <c r="F716" t="s">
        <v>100</v>
      </c>
      <c r="G716" t="s">
        <v>4</v>
      </c>
      <c r="H716">
        <v>0</v>
      </c>
      <c r="I716">
        <v>0</v>
      </c>
      <c r="J716">
        <v>2018</v>
      </c>
      <c r="K716" t="str">
        <f>IF(Books[[#This Row],[AVERAGE RATING]]&gt;=4,"High",IF(Books[[#This Row],[AVERAGE RATING]]&gt;=3,"Medium","Low"))</f>
        <v>Low</v>
      </c>
      <c r="L716" t="str">
        <f>IF(Books[[#This Row],[AVERAGE RATING]]&gt;10000,"Popular","Average")</f>
        <v>Average</v>
      </c>
      <c r="M716">
        <f>Books[[#This Row],[AVERAGE RATING]]*Books[[#This Row],[RATINGS COUNT]]</f>
        <v>0</v>
      </c>
    </row>
    <row r="717" spans="1:13" x14ac:dyDescent="0.25">
      <c r="A717" t="s">
        <v>1691</v>
      </c>
      <c r="B717" t="s">
        <v>1676</v>
      </c>
      <c r="C717">
        <v>44</v>
      </c>
      <c r="D717" t="s">
        <v>2</v>
      </c>
      <c r="E717" t="s">
        <v>3620</v>
      </c>
      <c r="F717" t="s">
        <v>388</v>
      </c>
      <c r="G717" t="s">
        <v>4</v>
      </c>
      <c r="H717">
        <v>0</v>
      </c>
      <c r="I717">
        <v>0</v>
      </c>
      <c r="J717">
        <v>2015</v>
      </c>
      <c r="K717" t="str">
        <f>IF(Books[[#This Row],[AVERAGE RATING]]&gt;=4,"High",IF(Books[[#This Row],[AVERAGE RATING]]&gt;=3,"Medium","Low"))</f>
        <v>Low</v>
      </c>
      <c r="L717" t="str">
        <f>IF(Books[[#This Row],[AVERAGE RATING]]&gt;10000,"Popular","Average")</f>
        <v>Average</v>
      </c>
      <c r="M717">
        <f>Books[[#This Row],[AVERAGE RATING]]*Books[[#This Row],[RATINGS COUNT]]</f>
        <v>0</v>
      </c>
    </row>
    <row r="718" spans="1:13" x14ac:dyDescent="0.25">
      <c r="A718" t="s">
        <v>1692</v>
      </c>
      <c r="B718" t="s">
        <v>1693</v>
      </c>
      <c r="C718">
        <v>29</v>
      </c>
      <c r="D718" t="s">
        <v>32</v>
      </c>
      <c r="E718" t="s">
        <v>3626</v>
      </c>
      <c r="F718" t="s">
        <v>776</v>
      </c>
      <c r="G718" t="s">
        <v>4</v>
      </c>
      <c r="H718">
        <v>0</v>
      </c>
      <c r="I718">
        <v>0</v>
      </c>
      <c r="J718">
        <v>2012</v>
      </c>
      <c r="K718" t="str">
        <f>IF(Books[[#This Row],[AVERAGE RATING]]&gt;=4,"High",IF(Books[[#This Row],[AVERAGE RATING]]&gt;=3,"Medium","Low"))</f>
        <v>Low</v>
      </c>
      <c r="L718" t="str">
        <f>IF(Books[[#This Row],[AVERAGE RATING]]&gt;10000,"Popular","Average")</f>
        <v>Average</v>
      </c>
      <c r="M718">
        <f>Books[[#This Row],[AVERAGE RATING]]*Books[[#This Row],[RATINGS COUNT]]</f>
        <v>0</v>
      </c>
    </row>
    <row r="719" spans="1:13" x14ac:dyDescent="0.25">
      <c r="A719" t="s">
        <v>1694</v>
      </c>
      <c r="B719" t="s">
        <v>1676</v>
      </c>
      <c r="C719">
        <v>36</v>
      </c>
      <c r="D719" t="s">
        <v>2</v>
      </c>
      <c r="E719" t="s">
        <v>3620</v>
      </c>
      <c r="F719" t="s">
        <v>388</v>
      </c>
      <c r="G719" t="s">
        <v>4</v>
      </c>
      <c r="H719">
        <v>0</v>
      </c>
      <c r="I719">
        <v>0</v>
      </c>
      <c r="J719">
        <v>2015</v>
      </c>
      <c r="K719" t="str">
        <f>IF(Books[[#This Row],[AVERAGE RATING]]&gt;=4,"High",IF(Books[[#This Row],[AVERAGE RATING]]&gt;=3,"Medium","Low"))</f>
        <v>Low</v>
      </c>
      <c r="L719" t="str">
        <f>IF(Books[[#This Row],[AVERAGE RATING]]&gt;10000,"Popular","Average")</f>
        <v>Average</v>
      </c>
      <c r="M719">
        <f>Books[[#This Row],[AVERAGE RATING]]*Books[[#This Row],[RATINGS COUNT]]</f>
        <v>0</v>
      </c>
    </row>
    <row r="720" spans="1:13" x14ac:dyDescent="0.25">
      <c r="A720" t="s">
        <v>1695</v>
      </c>
      <c r="B720" t="s">
        <v>1696</v>
      </c>
      <c r="C720">
        <v>439</v>
      </c>
      <c r="D720" t="s">
        <v>45</v>
      </c>
      <c r="E720" t="s">
        <v>3627</v>
      </c>
      <c r="F720" t="s">
        <v>1697</v>
      </c>
      <c r="G720" t="s">
        <v>1314</v>
      </c>
      <c r="H720">
        <v>0</v>
      </c>
      <c r="I720">
        <v>0</v>
      </c>
      <c r="J720">
        <v>2020</v>
      </c>
      <c r="K720" t="str">
        <f>IF(Books[[#This Row],[AVERAGE RATING]]&gt;=4,"High",IF(Books[[#This Row],[AVERAGE RATING]]&gt;=3,"Medium","Low"))</f>
        <v>Low</v>
      </c>
      <c r="L720" t="str">
        <f>IF(Books[[#This Row],[AVERAGE RATING]]&gt;10000,"Popular","Average")</f>
        <v>Average</v>
      </c>
      <c r="M720">
        <f>Books[[#This Row],[AVERAGE RATING]]*Books[[#This Row],[RATINGS COUNT]]</f>
        <v>0</v>
      </c>
    </row>
    <row r="721" spans="1:13" x14ac:dyDescent="0.25">
      <c r="A721" t="s">
        <v>1698</v>
      </c>
      <c r="B721" t="s">
        <v>1699</v>
      </c>
      <c r="C721">
        <v>197</v>
      </c>
      <c r="D721" t="s">
        <v>2</v>
      </c>
      <c r="E721" t="s">
        <v>3628</v>
      </c>
      <c r="F721" t="s">
        <v>60</v>
      </c>
      <c r="G721" t="s">
        <v>4</v>
      </c>
      <c r="H721">
        <v>0</v>
      </c>
      <c r="I721">
        <v>0</v>
      </c>
      <c r="J721">
        <v>2017</v>
      </c>
      <c r="K721" t="str">
        <f>IF(Books[[#This Row],[AVERAGE RATING]]&gt;=4,"High",IF(Books[[#This Row],[AVERAGE RATING]]&gt;=3,"Medium","Low"))</f>
        <v>Low</v>
      </c>
      <c r="L721" t="str">
        <f>IF(Books[[#This Row],[AVERAGE RATING]]&gt;10000,"Popular","Average")</f>
        <v>Average</v>
      </c>
      <c r="M721">
        <f>Books[[#This Row],[AVERAGE RATING]]*Books[[#This Row],[RATINGS COUNT]]</f>
        <v>0</v>
      </c>
    </row>
    <row r="722" spans="1:13" x14ac:dyDescent="0.25">
      <c r="A722" t="s">
        <v>1700</v>
      </c>
      <c r="B722" t="s">
        <v>1394</v>
      </c>
      <c r="C722">
        <v>225</v>
      </c>
      <c r="D722" t="s">
        <v>867</v>
      </c>
      <c r="E722" t="s">
        <v>3149</v>
      </c>
      <c r="F722" t="s">
        <v>807</v>
      </c>
      <c r="G722" t="s">
        <v>4</v>
      </c>
      <c r="H722">
        <v>0</v>
      </c>
      <c r="I722">
        <v>0</v>
      </c>
      <c r="J722">
        <v>2009</v>
      </c>
      <c r="K722" t="str">
        <f>IF(Books[[#This Row],[AVERAGE RATING]]&gt;=4,"High",IF(Books[[#This Row],[AVERAGE RATING]]&gt;=3,"Medium","Low"))</f>
        <v>Low</v>
      </c>
      <c r="L722" t="str">
        <f>IF(Books[[#This Row],[AVERAGE RATING]]&gt;10000,"Popular","Average")</f>
        <v>Average</v>
      </c>
      <c r="M722">
        <f>Books[[#This Row],[AVERAGE RATING]]*Books[[#This Row],[RATINGS COUNT]]</f>
        <v>0</v>
      </c>
    </row>
    <row r="723" spans="1:13" x14ac:dyDescent="0.25">
      <c r="A723" t="s">
        <v>1701</v>
      </c>
      <c r="B723" t="s">
        <v>1702</v>
      </c>
      <c r="C723">
        <v>250</v>
      </c>
      <c r="D723" t="s">
        <v>158</v>
      </c>
      <c r="E723" t="s">
        <v>3629</v>
      </c>
      <c r="F723" t="s">
        <v>122</v>
      </c>
      <c r="G723" t="s">
        <v>4</v>
      </c>
      <c r="H723">
        <v>0</v>
      </c>
      <c r="I723">
        <v>0</v>
      </c>
      <c r="J723">
        <v>2007</v>
      </c>
      <c r="K723" t="str">
        <f>IF(Books[[#This Row],[AVERAGE RATING]]&gt;=4,"High",IF(Books[[#This Row],[AVERAGE RATING]]&gt;=3,"Medium","Low"))</f>
        <v>Low</v>
      </c>
      <c r="L723" t="str">
        <f>IF(Books[[#This Row],[AVERAGE RATING]]&gt;10000,"Popular","Average")</f>
        <v>Average</v>
      </c>
      <c r="M723">
        <f>Books[[#This Row],[AVERAGE RATING]]*Books[[#This Row],[RATINGS COUNT]]</f>
        <v>0</v>
      </c>
    </row>
    <row r="724" spans="1:13" x14ac:dyDescent="0.25">
      <c r="A724" t="s">
        <v>1703</v>
      </c>
      <c r="B724" t="s">
        <v>1704</v>
      </c>
      <c r="C724">
        <v>152</v>
      </c>
      <c r="D724" t="s">
        <v>1705</v>
      </c>
      <c r="E724" t="s">
        <v>3630</v>
      </c>
      <c r="F724" t="s">
        <v>559</v>
      </c>
      <c r="G724" t="s">
        <v>4</v>
      </c>
      <c r="H724">
        <v>0</v>
      </c>
      <c r="I724">
        <v>0</v>
      </c>
      <c r="J724">
        <v>2002</v>
      </c>
      <c r="K724" t="str">
        <f>IF(Books[[#This Row],[AVERAGE RATING]]&gt;=4,"High",IF(Books[[#This Row],[AVERAGE RATING]]&gt;=3,"Medium","Low"))</f>
        <v>Low</v>
      </c>
      <c r="L724" t="str">
        <f>IF(Books[[#This Row],[AVERAGE RATING]]&gt;10000,"Popular","Average")</f>
        <v>Average</v>
      </c>
      <c r="M724">
        <f>Books[[#This Row],[AVERAGE RATING]]*Books[[#This Row],[RATINGS COUNT]]</f>
        <v>0</v>
      </c>
    </row>
    <row r="725" spans="1:13" x14ac:dyDescent="0.25">
      <c r="A725" t="s">
        <v>51</v>
      </c>
      <c r="B725" t="s">
        <v>1703</v>
      </c>
      <c r="C725">
        <v>393</v>
      </c>
      <c r="D725" t="s">
        <v>339</v>
      </c>
      <c r="E725" t="s">
        <v>3631</v>
      </c>
      <c r="F725" t="s">
        <v>1706</v>
      </c>
      <c r="G725" t="s">
        <v>4</v>
      </c>
      <c r="H725">
        <v>0</v>
      </c>
      <c r="I725">
        <v>0</v>
      </c>
      <c r="J725">
        <v>2024</v>
      </c>
      <c r="K725" t="str">
        <f>IF(Books[[#This Row],[AVERAGE RATING]]&gt;=4,"High",IF(Books[[#This Row],[AVERAGE RATING]]&gt;=3,"Medium","Low"))</f>
        <v>Low</v>
      </c>
      <c r="L725" t="str">
        <f>IF(Books[[#This Row],[AVERAGE RATING]]&gt;10000,"Popular","Average")</f>
        <v>Average</v>
      </c>
      <c r="M725">
        <f>Books[[#This Row],[AVERAGE RATING]]*Books[[#This Row],[RATINGS COUNT]]</f>
        <v>0</v>
      </c>
    </row>
    <row r="726" spans="1:13" x14ac:dyDescent="0.25">
      <c r="A726" t="s">
        <v>1703</v>
      </c>
      <c r="B726" t="s">
        <v>1707</v>
      </c>
      <c r="C726">
        <v>168</v>
      </c>
      <c r="D726" t="s">
        <v>45</v>
      </c>
      <c r="E726" t="s">
        <v>3075</v>
      </c>
      <c r="F726" t="s">
        <v>1172</v>
      </c>
      <c r="G726" t="s">
        <v>4</v>
      </c>
      <c r="H726">
        <v>0</v>
      </c>
      <c r="I726">
        <v>0</v>
      </c>
      <c r="J726">
        <v>1993</v>
      </c>
      <c r="K726" t="str">
        <f>IF(Books[[#This Row],[AVERAGE RATING]]&gt;=4,"High",IF(Books[[#This Row],[AVERAGE RATING]]&gt;=3,"Medium","Low"))</f>
        <v>Low</v>
      </c>
      <c r="L726" t="str">
        <f>IF(Books[[#This Row],[AVERAGE RATING]]&gt;10000,"Popular","Average")</f>
        <v>Average</v>
      </c>
      <c r="M726">
        <f>Books[[#This Row],[AVERAGE RATING]]*Books[[#This Row],[RATINGS COUNT]]</f>
        <v>0</v>
      </c>
    </row>
    <row r="727" spans="1:13" x14ac:dyDescent="0.25">
      <c r="A727" t="s">
        <v>1708</v>
      </c>
      <c r="B727" t="s">
        <v>1702</v>
      </c>
      <c r="C727">
        <v>376</v>
      </c>
      <c r="D727" t="s">
        <v>45</v>
      </c>
      <c r="E727" t="s">
        <v>3632</v>
      </c>
      <c r="F727" t="s">
        <v>168</v>
      </c>
      <c r="G727" t="s">
        <v>4</v>
      </c>
      <c r="H727">
        <v>0</v>
      </c>
      <c r="I727">
        <v>0</v>
      </c>
      <c r="J727">
        <v>2021</v>
      </c>
      <c r="K727" t="str">
        <f>IF(Books[[#This Row],[AVERAGE RATING]]&gt;=4,"High",IF(Books[[#This Row],[AVERAGE RATING]]&gt;=3,"Medium","Low"))</f>
        <v>Low</v>
      </c>
      <c r="L727" t="str">
        <f>IF(Books[[#This Row],[AVERAGE RATING]]&gt;10000,"Popular","Average")</f>
        <v>Average</v>
      </c>
      <c r="M727">
        <f>Books[[#This Row],[AVERAGE RATING]]*Books[[#This Row],[RATINGS COUNT]]</f>
        <v>0</v>
      </c>
    </row>
    <row r="728" spans="1:13" x14ac:dyDescent="0.25">
      <c r="A728" t="s">
        <v>1703</v>
      </c>
      <c r="B728" t="s">
        <v>1709</v>
      </c>
      <c r="C728">
        <v>66</v>
      </c>
      <c r="D728" t="s">
        <v>207</v>
      </c>
      <c r="E728" t="s">
        <v>3633</v>
      </c>
      <c r="F728" t="s">
        <v>1710</v>
      </c>
      <c r="G728" t="s">
        <v>4</v>
      </c>
      <c r="H728">
        <v>0</v>
      </c>
      <c r="I728">
        <v>0</v>
      </c>
      <c r="J728">
        <v>2019</v>
      </c>
      <c r="K728" t="str">
        <f>IF(Books[[#This Row],[AVERAGE RATING]]&gt;=4,"High",IF(Books[[#This Row],[AVERAGE RATING]]&gt;=3,"Medium","Low"))</f>
        <v>Low</v>
      </c>
      <c r="L728" t="str">
        <f>IF(Books[[#This Row],[AVERAGE RATING]]&gt;10000,"Popular","Average")</f>
        <v>Average</v>
      </c>
      <c r="M728">
        <f>Books[[#This Row],[AVERAGE RATING]]*Books[[#This Row],[RATINGS COUNT]]</f>
        <v>0</v>
      </c>
    </row>
    <row r="729" spans="1:13" x14ac:dyDescent="0.25">
      <c r="A729" t="s">
        <v>1703</v>
      </c>
      <c r="B729" t="s">
        <v>1702</v>
      </c>
      <c r="C729">
        <v>534</v>
      </c>
      <c r="D729" t="s">
        <v>2</v>
      </c>
      <c r="E729" t="s">
        <v>3634</v>
      </c>
      <c r="F729" t="s">
        <v>1180</v>
      </c>
      <c r="G729" t="s">
        <v>4</v>
      </c>
      <c r="H729">
        <v>0</v>
      </c>
      <c r="I729">
        <v>0</v>
      </c>
      <c r="J729">
        <v>2001</v>
      </c>
      <c r="K729" t="str">
        <f>IF(Books[[#This Row],[AVERAGE RATING]]&gt;=4,"High",IF(Books[[#This Row],[AVERAGE RATING]]&gt;=3,"Medium","Low"))</f>
        <v>Low</v>
      </c>
      <c r="L729" t="str">
        <f>IF(Books[[#This Row],[AVERAGE RATING]]&gt;10000,"Popular","Average")</f>
        <v>Average</v>
      </c>
      <c r="M729">
        <f>Books[[#This Row],[AVERAGE RATING]]*Books[[#This Row],[RATINGS COUNT]]</f>
        <v>0</v>
      </c>
    </row>
    <row r="730" spans="1:13" x14ac:dyDescent="0.25">
      <c r="A730" t="s">
        <v>1703</v>
      </c>
      <c r="B730" t="s">
        <v>1711</v>
      </c>
      <c r="C730">
        <v>299</v>
      </c>
      <c r="D730" t="s">
        <v>158</v>
      </c>
      <c r="E730" t="s">
        <v>3635</v>
      </c>
      <c r="F730" t="s">
        <v>60</v>
      </c>
      <c r="G730" t="s">
        <v>4</v>
      </c>
      <c r="H730">
        <v>0</v>
      </c>
      <c r="I730">
        <v>0</v>
      </c>
      <c r="J730">
        <v>2024</v>
      </c>
      <c r="K730" t="str">
        <f>IF(Books[[#This Row],[AVERAGE RATING]]&gt;=4,"High",IF(Books[[#This Row],[AVERAGE RATING]]&gt;=3,"Medium","Low"))</f>
        <v>Low</v>
      </c>
      <c r="L730" t="str">
        <f>IF(Books[[#This Row],[AVERAGE RATING]]&gt;10000,"Popular","Average")</f>
        <v>Average</v>
      </c>
      <c r="M730">
        <f>Books[[#This Row],[AVERAGE RATING]]*Books[[#This Row],[RATINGS COUNT]]</f>
        <v>0</v>
      </c>
    </row>
    <row r="731" spans="1:13" x14ac:dyDescent="0.25">
      <c r="A731" t="s">
        <v>1712</v>
      </c>
      <c r="B731" t="s">
        <v>1394</v>
      </c>
      <c r="C731">
        <v>175</v>
      </c>
      <c r="D731" t="s">
        <v>1525</v>
      </c>
      <c r="E731" t="s">
        <v>3149</v>
      </c>
      <c r="F731" t="s">
        <v>807</v>
      </c>
      <c r="G731" t="s">
        <v>4</v>
      </c>
      <c r="H731">
        <v>4</v>
      </c>
      <c r="I731">
        <v>2</v>
      </c>
      <c r="J731">
        <v>2009</v>
      </c>
      <c r="K731" t="str">
        <f>IF(Books[[#This Row],[AVERAGE RATING]]&gt;=4,"High",IF(Books[[#This Row],[AVERAGE RATING]]&gt;=3,"Medium","Low"))</f>
        <v>High</v>
      </c>
      <c r="L731" t="str">
        <f>IF(Books[[#This Row],[AVERAGE RATING]]&gt;10000,"Popular","Average")</f>
        <v>Average</v>
      </c>
      <c r="M731">
        <f>Books[[#This Row],[AVERAGE RATING]]*Books[[#This Row],[RATINGS COUNT]]</f>
        <v>8</v>
      </c>
    </row>
    <row r="732" spans="1:13" x14ac:dyDescent="0.25">
      <c r="A732" t="s">
        <v>1713</v>
      </c>
      <c r="B732" t="s">
        <v>1714</v>
      </c>
      <c r="C732">
        <v>256</v>
      </c>
      <c r="D732" t="s">
        <v>383</v>
      </c>
      <c r="E732" t="s">
        <v>3636</v>
      </c>
      <c r="F732" t="s">
        <v>76</v>
      </c>
      <c r="G732" t="s">
        <v>4</v>
      </c>
      <c r="H732">
        <v>0</v>
      </c>
      <c r="I732">
        <v>0</v>
      </c>
      <c r="J732">
        <v>2018</v>
      </c>
      <c r="K732" t="str">
        <f>IF(Books[[#This Row],[AVERAGE RATING]]&gt;=4,"High",IF(Books[[#This Row],[AVERAGE RATING]]&gt;=3,"Medium","Low"))</f>
        <v>Low</v>
      </c>
      <c r="L732" t="str">
        <f>IF(Books[[#This Row],[AVERAGE RATING]]&gt;10000,"Popular","Average")</f>
        <v>Average</v>
      </c>
      <c r="M732">
        <f>Books[[#This Row],[AVERAGE RATING]]*Books[[#This Row],[RATINGS COUNT]]</f>
        <v>0</v>
      </c>
    </row>
    <row r="733" spans="1:13" x14ac:dyDescent="0.25">
      <c r="A733" t="s">
        <v>1715</v>
      </c>
      <c r="B733" t="s">
        <v>1703</v>
      </c>
      <c r="C733">
        <v>409</v>
      </c>
      <c r="D733" t="s">
        <v>11</v>
      </c>
      <c r="E733" t="s">
        <v>3637</v>
      </c>
      <c r="F733" t="s">
        <v>1303</v>
      </c>
      <c r="G733" t="s">
        <v>1304</v>
      </c>
      <c r="H733">
        <v>0</v>
      </c>
      <c r="I733">
        <v>0</v>
      </c>
      <c r="J733">
        <v>2016</v>
      </c>
      <c r="K733" t="str">
        <f>IF(Books[[#This Row],[AVERAGE RATING]]&gt;=4,"High",IF(Books[[#This Row],[AVERAGE RATING]]&gt;=3,"Medium","Low"))</f>
        <v>Low</v>
      </c>
      <c r="L733" t="str">
        <f>IF(Books[[#This Row],[AVERAGE RATING]]&gt;10000,"Popular","Average")</f>
        <v>Average</v>
      </c>
      <c r="M733">
        <f>Books[[#This Row],[AVERAGE RATING]]*Books[[#This Row],[RATINGS COUNT]]</f>
        <v>0</v>
      </c>
    </row>
    <row r="734" spans="1:13" x14ac:dyDescent="0.25">
      <c r="A734" t="s">
        <v>1716</v>
      </c>
      <c r="B734" t="s">
        <v>1703</v>
      </c>
      <c r="C734">
        <v>374</v>
      </c>
      <c r="D734" t="s">
        <v>11</v>
      </c>
      <c r="E734" t="s">
        <v>3638</v>
      </c>
      <c r="F734" t="s">
        <v>1717</v>
      </c>
      <c r="G734" t="s">
        <v>1718</v>
      </c>
      <c r="H734">
        <v>0</v>
      </c>
      <c r="I734">
        <v>0</v>
      </c>
      <c r="J734">
        <v>2021</v>
      </c>
      <c r="K734" t="str">
        <f>IF(Books[[#This Row],[AVERAGE RATING]]&gt;=4,"High",IF(Books[[#This Row],[AVERAGE RATING]]&gt;=3,"Medium","Low"))</f>
        <v>Low</v>
      </c>
      <c r="L734" t="str">
        <f>IF(Books[[#This Row],[AVERAGE RATING]]&gt;10000,"Popular","Average")</f>
        <v>Average</v>
      </c>
      <c r="M734">
        <f>Books[[#This Row],[AVERAGE RATING]]*Books[[#This Row],[RATINGS COUNT]]</f>
        <v>0</v>
      </c>
    </row>
    <row r="735" spans="1:13" x14ac:dyDescent="0.25">
      <c r="A735" t="s">
        <v>1719</v>
      </c>
      <c r="B735" t="s">
        <v>1720</v>
      </c>
      <c r="C735">
        <v>310</v>
      </c>
      <c r="D735" t="s">
        <v>2</v>
      </c>
      <c r="E735" t="s">
        <v>3639</v>
      </c>
      <c r="F735" t="s">
        <v>822</v>
      </c>
      <c r="G735" t="s">
        <v>4</v>
      </c>
      <c r="H735">
        <v>0</v>
      </c>
      <c r="I735">
        <v>0</v>
      </c>
      <c r="J735">
        <v>2017</v>
      </c>
      <c r="K735" t="str">
        <f>IF(Books[[#This Row],[AVERAGE RATING]]&gt;=4,"High",IF(Books[[#This Row],[AVERAGE RATING]]&gt;=3,"Medium","Low"))</f>
        <v>Low</v>
      </c>
      <c r="L735" t="str">
        <f>IF(Books[[#This Row],[AVERAGE RATING]]&gt;10000,"Popular","Average")</f>
        <v>Average</v>
      </c>
      <c r="M735">
        <f>Books[[#This Row],[AVERAGE RATING]]*Books[[#This Row],[RATINGS COUNT]]</f>
        <v>0</v>
      </c>
    </row>
    <row r="736" spans="1:13" x14ac:dyDescent="0.25">
      <c r="A736" t="s">
        <v>1721</v>
      </c>
      <c r="B736" t="s">
        <v>1722</v>
      </c>
      <c r="C736">
        <v>44</v>
      </c>
      <c r="D736" t="s">
        <v>387</v>
      </c>
      <c r="E736" t="s">
        <v>3640</v>
      </c>
      <c r="F736" t="s">
        <v>1723</v>
      </c>
      <c r="G736" t="s">
        <v>4</v>
      </c>
      <c r="H736">
        <v>0</v>
      </c>
      <c r="I736">
        <v>0</v>
      </c>
      <c r="J736">
        <v>2022</v>
      </c>
      <c r="K736" t="str">
        <f>IF(Books[[#This Row],[AVERAGE RATING]]&gt;=4,"High",IF(Books[[#This Row],[AVERAGE RATING]]&gt;=3,"Medium","Low"))</f>
        <v>Low</v>
      </c>
      <c r="L736" t="str">
        <f>IF(Books[[#This Row],[AVERAGE RATING]]&gt;10000,"Popular","Average")</f>
        <v>Average</v>
      </c>
      <c r="M736">
        <f>Books[[#This Row],[AVERAGE RATING]]*Books[[#This Row],[RATINGS COUNT]]</f>
        <v>0</v>
      </c>
    </row>
    <row r="737" spans="1:13" x14ac:dyDescent="0.25">
      <c r="A737" t="s">
        <v>1703</v>
      </c>
      <c r="B737" t="s">
        <v>1724</v>
      </c>
      <c r="C737">
        <v>281</v>
      </c>
      <c r="D737" t="s">
        <v>2</v>
      </c>
      <c r="E737" t="s">
        <v>3301</v>
      </c>
      <c r="F737" t="s">
        <v>39</v>
      </c>
      <c r="G737" t="s">
        <v>4</v>
      </c>
      <c r="H737">
        <v>0</v>
      </c>
      <c r="I737">
        <v>0</v>
      </c>
      <c r="J737">
        <v>2023</v>
      </c>
      <c r="K737" t="str">
        <f>IF(Books[[#This Row],[AVERAGE RATING]]&gt;=4,"High",IF(Books[[#This Row],[AVERAGE RATING]]&gt;=3,"Medium","Low"))</f>
        <v>Low</v>
      </c>
      <c r="L737" t="str">
        <f>IF(Books[[#This Row],[AVERAGE RATING]]&gt;10000,"Popular","Average")</f>
        <v>Average</v>
      </c>
      <c r="M737">
        <f>Books[[#This Row],[AVERAGE RATING]]*Books[[#This Row],[RATINGS COUNT]]</f>
        <v>0</v>
      </c>
    </row>
    <row r="738" spans="1:13" x14ac:dyDescent="0.25">
      <c r="A738" t="s">
        <v>1725</v>
      </c>
      <c r="B738" t="s">
        <v>1726</v>
      </c>
      <c r="C738">
        <v>26</v>
      </c>
      <c r="D738" t="s">
        <v>298</v>
      </c>
      <c r="E738" t="s">
        <v>3641</v>
      </c>
      <c r="F738" t="s">
        <v>1726</v>
      </c>
      <c r="G738" t="s">
        <v>4</v>
      </c>
      <c r="H738">
        <v>0</v>
      </c>
      <c r="I738">
        <v>0</v>
      </c>
      <c r="J738">
        <v>2021</v>
      </c>
      <c r="K738" t="str">
        <f>IF(Books[[#This Row],[AVERAGE RATING]]&gt;=4,"High",IF(Books[[#This Row],[AVERAGE RATING]]&gt;=3,"Medium","Low"))</f>
        <v>Low</v>
      </c>
      <c r="L738" t="str">
        <f>IF(Books[[#This Row],[AVERAGE RATING]]&gt;10000,"Popular","Average")</f>
        <v>Average</v>
      </c>
      <c r="M738">
        <f>Books[[#This Row],[AVERAGE RATING]]*Books[[#This Row],[RATINGS COUNT]]</f>
        <v>0</v>
      </c>
    </row>
    <row r="739" spans="1:13" x14ac:dyDescent="0.25">
      <c r="A739" t="s">
        <v>1727</v>
      </c>
      <c r="B739" t="s">
        <v>1728</v>
      </c>
      <c r="C739">
        <v>170</v>
      </c>
      <c r="D739" t="s">
        <v>2</v>
      </c>
      <c r="E739" t="s">
        <v>3642</v>
      </c>
      <c r="F739" t="s">
        <v>35</v>
      </c>
      <c r="G739" t="s">
        <v>4</v>
      </c>
      <c r="H739">
        <v>0</v>
      </c>
      <c r="I739">
        <v>0</v>
      </c>
      <c r="J739">
        <v>2016</v>
      </c>
      <c r="K739" t="str">
        <f>IF(Books[[#This Row],[AVERAGE RATING]]&gt;=4,"High",IF(Books[[#This Row],[AVERAGE RATING]]&gt;=3,"Medium","Low"))</f>
        <v>Low</v>
      </c>
      <c r="L739" t="str">
        <f>IF(Books[[#This Row],[AVERAGE RATING]]&gt;10000,"Popular","Average")</f>
        <v>Average</v>
      </c>
      <c r="M739">
        <f>Books[[#This Row],[AVERAGE RATING]]*Books[[#This Row],[RATINGS COUNT]]</f>
        <v>0</v>
      </c>
    </row>
    <row r="740" spans="1:13" x14ac:dyDescent="0.25">
      <c r="A740" t="s">
        <v>1730</v>
      </c>
      <c r="B740" t="s">
        <v>1394</v>
      </c>
      <c r="C740">
        <v>297</v>
      </c>
      <c r="D740" t="s">
        <v>375</v>
      </c>
      <c r="E740" t="s">
        <v>3149</v>
      </c>
      <c r="F740" t="s">
        <v>807</v>
      </c>
      <c r="G740" t="s">
        <v>4</v>
      </c>
      <c r="H740">
        <v>0</v>
      </c>
      <c r="I740">
        <v>0</v>
      </c>
      <c r="J740">
        <v>2009</v>
      </c>
      <c r="K740" t="str">
        <f>IF(Books[[#This Row],[AVERAGE RATING]]&gt;=4,"High",IF(Books[[#This Row],[AVERAGE RATING]]&gt;=3,"Medium","Low"))</f>
        <v>Low</v>
      </c>
      <c r="L740" t="str">
        <f>IF(Books[[#This Row],[AVERAGE RATING]]&gt;10000,"Popular","Average")</f>
        <v>Average</v>
      </c>
      <c r="M740">
        <f>Books[[#This Row],[AVERAGE RATING]]*Books[[#This Row],[RATINGS COUNT]]</f>
        <v>0</v>
      </c>
    </row>
    <row r="741" spans="1:13" x14ac:dyDescent="0.25">
      <c r="A741" t="s">
        <v>1729</v>
      </c>
      <c r="B741" t="s">
        <v>1731</v>
      </c>
      <c r="C741">
        <v>752</v>
      </c>
      <c r="D741" t="s">
        <v>45</v>
      </c>
      <c r="E741" t="s">
        <v>3149</v>
      </c>
      <c r="F741" t="s">
        <v>67</v>
      </c>
      <c r="G741" t="s">
        <v>4</v>
      </c>
      <c r="H741">
        <v>5</v>
      </c>
      <c r="I741">
        <v>1</v>
      </c>
      <c r="J741">
        <v>2009</v>
      </c>
      <c r="K741" t="str">
        <f>IF(Books[[#This Row],[AVERAGE RATING]]&gt;=4,"High",IF(Books[[#This Row],[AVERAGE RATING]]&gt;=3,"Medium","Low"))</f>
        <v>High</v>
      </c>
      <c r="L741" t="str">
        <f>IF(Books[[#This Row],[AVERAGE RATING]]&gt;10000,"Popular","Average")</f>
        <v>Average</v>
      </c>
      <c r="M741">
        <f>Books[[#This Row],[AVERAGE RATING]]*Books[[#This Row],[RATINGS COUNT]]</f>
        <v>5</v>
      </c>
    </row>
    <row r="742" spans="1:13" x14ac:dyDescent="0.25">
      <c r="A742" t="s">
        <v>1729</v>
      </c>
      <c r="B742" t="s">
        <v>1732</v>
      </c>
      <c r="C742">
        <v>284</v>
      </c>
      <c r="D742" t="s">
        <v>2</v>
      </c>
      <c r="E742" t="s">
        <v>3135</v>
      </c>
      <c r="F742" t="s">
        <v>1733</v>
      </c>
      <c r="G742" t="s">
        <v>4</v>
      </c>
      <c r="H742">
        <v>0</v>
      </c>
      <c r="I742">
        <v>0</v>
      </c>
      <c r="J742">
        <v>1994</v>
      </c>
      <c r="K742" t="str">
        <f>IF(Books[[#This Row],[AVERAGE RATING]]&gt;=4,"High",IF(Books[[#This Row],[AVERAGE RATING]]&gt;=3,"Medium","Low"))</f>
        <v>Low</v>
      </c>
      <c r="L742" t="str">
        <f>IF(Books[[#This Row],[AVERAGE RATING]]&gt;10000,"Popular","Average")</f>
        <v>Average</v>
      </c>
      <c r="M742">
        <f>Books[[#This Row],[AVERAGE RATING]]*Books[[#This Row],[RATINGS COUNT]]</f>
        <v>0</v>
      </c>
    </row>
    <row r="743" spans="1:13" x14ac:dyDescent="0.25">
      <c r="A743" t="s">
        <v>1734</v>
      </c>
      <c r="B743" t="s">
        <v>1729</v>
      </c>
      <c r="C743">
        <v>1346</v>
      </c>
      <c r="D743" t="s">
        <v>11</v>
      </c>
      <c r="E743" t="s">
        <v>3643</v>
      </c>
      <c r="F743" t="s">
        <v>1319</v>
      </c>
      <c r="G743" t="s">
        <v>4</v>
      </c>
      <c r="H743">
        <v>0</v>
      </c>
      <c r="I743">
        <v>0</v>
      </c>
      <c r="J743">
        <v>2004</v>
      </c>
      <c r="K743" t="str">
        <f>IF(Books[[#This Row],[AVERAGE RATING]]&gt;=4,"High",IF(Books[[#This Row],[AVERAGE RATING]]&gt;=3,"Medium","Low"))</f>
        <v>Low</v>
      </c>
      <c r="L743" t="str">
        <f>IF(Books[[#This Row],[AVERAGE RATING]]&gt;10000,"Popular","Average")</f>
        <v>Average</v>
      </c>
      <c r="M743">
        <f>Books[[#This Row],[AVERAGE RATING]]*Books[[#This Row],[RATINGS COUNT]]</f>
        <v>0</v>
      </c>
    </row>
    <row r="744" spans="1:13" x14ac:dyDescent="0.25">
      <c r="A744" t="s">
        <v>1735</v>
      </c>
      <c r="B744" t="s">
        <v>1736</v>
      </c>
      <c r="C744">
        <v>324</v>
      </c>
      <c r="D744" t="s">
        <v>2</v>
      </c>
      <c r="E744" t="s">
        <v>3069</v>
      </c>
      <c r="F744" t="s">
        <v>1737</v>
      </c>
      <c r="G744" t="s">
        <v>4</v>
      </c>
      <c r="H744">
        <v>0</v>
      </c>
      <c r="I744">
        <v>0</v>
      </c>
      <c r="J744">
        <v>1971</v>
      </c>
      <c r="K744" t="str">
        <f>IF(Books[[#This Row],[AVERAGE RATING]]&gt;=4,"High",IF(Books[[#This Row],[AVERAGE RATING]]&gt;=3,"Medium","Low"))</f>
        <v>Low</v>
      </c>
      <c r="L744" t="str">
        <f>IF(Books[[#This Row],[AVERAGE RATING]]&gt;10000,"Popular","Average")</f>
        <v>Average</v>
      </c>
      <c r="M744">
        <f>Books[[#This Row],[AVERAGE RATING]]*Books[[#This Row],[RATINGS COUNT]]</f>
        <v>0</v>
      </c>
    </row>
    <row r="745" spans="1:13" x14ac:dyDescent="0.25">
      <c r="A745" t="s">
        <v>1729</v>
      </c>
      <c r="B745" t="s">
        <v>1738</v>
      </c>
      <c r="C745">
        <v>145</v>
      </c>
      <c r="D745" t="s">
        <v>45</v>
      </c>
      <c r="E745" t="s">
        <v>3153</v>
      </c>
      <c r="F745" t="s">
        <v>861</v>
      </c>
      <c r="G745" t="s">
        <v>4</v>
      </c>
      <c r="H745">
        <v>0</v>
      </c>
      <c r="I745">
        <v>0</v>
      </c>
      <c r="J745">
        <v>2001</v>
      </c>
      <c r="K745" t="str">
        <f>IF(Books[[#This Row],[AVERAGE RATING]]&gt;=4,"High",IF(Books[[#This Row],[AVERAGE RATING]]&gt;=3,"Medium","Low"))</f>
        <v>Low</v>
      </c>
      <c r="L745" t="str">
        <f>IF(Books[[#This Row],[AVERAGE RATING]]&gt;10000,"Popular","Average")</f>
        <v>Average</v>
      </c>
      <c r="M745">
        <f>Books[[#This Row],[AVERAGE RATING]]*Books[[#This Row],[RATINGS COUNT]]</f>
        <v>0</v>
      </c>
    </row>
    <row r="746" spans="1:13" x14ac:dyDescent="0.25">
      <c r="A746" t="s">
        <v>1739</v>
      </c>
      <c r="B746" t="s">
        <v>1740</v>
      </c>
      <c r="C746">
        <v>294</v>
      </c>
      <c r="D746" t="s">
        <v>45</v>
      </c>
      <c r="E746" t="s">
        <v>3182</v>
      </c>
      <c r="F746" t="s">
        <v>132</v>
      </c>
      <c r="G746" t="s">
        <v>4</v>
      </c>
      <c r="H746">
        <v>0</v>
      </c>
      <c r="I746">
        <v>0</v>
      </c>
      <c r="J746">
        <v>2023</v>
      </c>
      <c r="K746" t="str">
        <f>IF(Books[[#This Row],[AVERAGE RATING]]&gt;=4,"High",IF(Books[[#This Row],[AVERAGE RATING]]&gt;=3,"Medium","Low"))</f>
        <v>Low</v>
      </c>
      <c r="L746" t="str">
        <f>IF(Books[[#This Row],[AVERAGE RATING]]&gt;10000,"Popular","Average")</f>
        <v>Average</v>
      </c>
      <c r="M746">
        <f>Books[[#This Row],[AVERAGE RATING]]*Books[[#This Row],[RATINGS COUNT]]</f>
        <v>0</v>
      </c>
    </row>
    <row r="747" spans="1:13" x14ac:dyDescent="0.25">
      <c r="A747" t="s">
        <v>1741</v>
      </c>
      <c r="B747" t="s">
        <v>1742</v>
      </c>
      <c r="C747">
        <v>219</v>
      </c>
      <c r="D747" t="s">
        <v>45</v>
      </c>
      <c r="E747" t="s">
        <v>3528</v>
      </c>
      <c r="F747" t="s">
        <v>1203</v>
      </c>
      <c r="G747" t="s">
        <v>4</v>
      </c>
      <c r="H747">
        <v>0</v>
      </c>
      <c r="I747">
        <v>0</v>
      </c>
      <c r="J747">
        <v>2023</v>
      </c>
      <c r="K747" t="str">
        <f>IF(Books[[#This Row],[AVERAGE RATING]]&gt;=4,"High",IF(Books[[#This Row],[AVERAGE RATING]]&gt;=3,"Medium","Low"))</f>
        <v>Low</v>
      </c>
      <c r="L747" t="str">
        <f>IF(Books[[#This Row],[AVERAGE RATING]]&gt;10000,"Popular","Average")</f>
        <v>Average</v>
      </c>
      <c r="M747">
        <f>Books[[#This Row],[AVERAGE RATING]]*Books[[#This Row],[RATINGS COUNT]]</f>
        <v>0</v>
      </c>
    </row>
    <row r="748" spans="1:13" x14ac:dyDescent="0.25">
      <c r="A748" t="s">
        <v>1743</v>
      </c>
      <c r="B748" t="s">
        <v>1729</v>
      </c>
      <c r="C748">
        <v>454</v>
      </c>
      <c r="D748" t="s">
        <v>7</v>
      </c>
      <c r="E748" t="s">
        <v>3149</v>
      </c>
      <c r="F748" t="s">
        <v>1744</v>
      </c>
      <c r="G748" t="s">
        <v>4</v>
      </c>
      <c r="H748">
        <v>0</v>
      </c>
      <c r="I748">
        <v>0</v>
      </c>
      <c r="J748">
        <v>2009</v>
      </c>
      <c r="K748" t="str">
        <f>IF(Books[[#This Row],[AVERAGE RATING]]&gt;=4,"High",IF(Books[[#This Row],[AVERAGE RATING]]&gt;=3,"Medium","Low"))</f>
        <v>Low</v>
      </c>
      <c r="L748" t="str">
        <f>IF(Books[[#This Row],[AVERAGE RATING]]&gt;10000,"Popular","Average")</f>
        <v>Average</v>
      </c>
      <c r="M748">
        <f>Books[[#This Row],[AVERAGE RATING]]*Books[[#This Row],[RATINGS COUNT]]</f>
        <v>0</v>
      </c>
    </row>
    <row r="749" spans="1:13" x14ac:dyDescent="0.25">
      <c r="A749" t="s">
        <v>1745</v>
      </c>
      <c r="B749" t="s">
        <v>1746</v>
      </c>
      <c r="C749">
        <v>502</v>
      </c>
      <c r="D749" t="s">
        <v>11</v>
      </c>
      <c r="E749" t="s">
        <v>3644</v>
      </c>
      <c r="F749" t="s">
        <v>88</v>
      </c>
      <c r="G749" t="s">
        <v>4</v>
      </c>
      <c r="H749">
        <v>0</v>
      </c>
      <c r="I749">
        <v>0</v>
      </c>
      <c r="J749">
        <v>2023</v>
      </c>
      <c r="K749" t="str">
        <f>IF(Books[[#This Row],[AVERAGE RATING]]&gt;=4,"High",IF(Books[[#This Row],[AVERAGE RATING]]&gt;=3,"Medium","Low"))</f>
        <v>Low</v>
      </c>
      <c r="L749" t="str">
        <f>IF(Books[[#This Row],[AVERAGE RATING]]&gt;10000,"Popular","Average")</f>
        <v>Average</v>
      </c>
      <c r="M749">
        <f>Books[[#This Row],[AVERAGE RATING]]*Books[[#This Row],[RATINGS COUNT]]</f>
        <v>0</v>
      </c>
    </row>
    <row r="750" spans="1:13" x14ac:dyDescent="0.25">
      <c r="A750" t="s">
        <v>1747</v>
      </c>
      <c r="B750" t="s">
        <v>1748</v>
      </c>
      <c r="C750">
        <v>208</v>
      </c>
      <c r="D750" t="s">
        <v>45</v>
      </c>
      <c r="E750" t="s">
        <v>3112</v>
      </c>
      <c r="F750" t="s">
        <v>1749</v>
      </c>
      <c r="G750" t="s">
        <v>4</v>
      </c>
      <c r="H750">
        <v>0</v>
      </c>
      <c r="I750">
        <v>0</v>
      </c>
      <c r="J750">
        <v>1887</v>
      </c>
      <c r="K750" t="str">
        <f>IF(Books[[#This Row],[AVERAGE RATING]]&gt;=4,"High",IF(Books[[#This Row],[AVERAGE RATING]]&gt;=3,"Medium","Low"))</f>
        <v>Low</v>
      </c>
      <c r="L750" t="str">
        <f>IF(Books[[#This Row],[AVERAGE RATING]]&gt;10000,"Popular","Average")</f>
        <v>Average</v>
      </c>
      <c r="M750">
        <f>Books[[#This Row],[AVERAGE RATING]]*Books[[#This Row],[RATINGS COUNT]]</f>
        <v>0</v>
      </c>
    </row>
    <row r="751" spans="1:13" x14ac:dyDescent="0.25">
      <c r="A751" t="s">
        <v>1750</v>
      </c>
      <c r="B751" t="s">
        <v>1751</v>
      </c>
      <c r="C751">
        <v>340</v>
      </c>
      <c r="D751" t="s">
        <v>47</v>
      </c>
      <c r="E751" t="s">
        <v>3055</v>
      </c>
      <c r="F751" t="s">
        <v>1172</v>
      </c>
      <c r="G751" t="s">
        <v>4</v>
      </c>
      <c r="H751">
        <v>4</v>
      </c>
      <c r="I751">
        <v>2</v>
      </c>
      <c r="J751">
        <v>2004</v>
      </c>
      <c r="K751" t="str">
        <f>IF(Books[[#This Row],[AVERAGE RATING]]&gt;=4,"High",IF(Books[[#This Row],[AVERAGE RATING]]&gt;=3,"Medium","Low"))</f>
        <v>High</v>
      </c>
      <c r="L751" t="str">
        <f>IF(Books[[#This Row],[AVERAGE RATING]]&gt;10000,"Popular","Average")</f>
        <v>Average</v>
      </c>
      <c r="M751">
        <f>Books[[#This Row],[AVERAGE RATING]]*Books[[#This Row],[RATINGS COUNT]]</f>
        <v>8</v>
      </c>
    </row>
    <row r="752" spans="1:13" x14ac:dyDescent="0.25">
      <c r="A752" t="s">
        <v>1752</v>
      </c>
      <c r="B752" t="s">
        <v>1753</v>
      </c>
      <c r="C752">
        <v>658</v>
      </c>
      <c r="D752" t="s">
        <v>45</v>
      </c>
      <c r="E752" t="s">
        <v>3270</v>
      </c>
      <c r="F752" t="s">
        <v>39</v>
      </c>
      <c r="G752" t="s">
        <v>4</v>
      </c>
      <c r="H752">
        <v>0</v>
      </c>
      <c r="I752">
        <v>0</v>
      </c>
      <c r="J752">
        <v>1991</v>
      </c>
      <c r="K752" t="str">
        <f>IF(Books[[#This Row],[AVERAGE RATING]]&gt;=4,"High",IF(Books[[#This Row],[AVERAGE RATING]]&gt;=3,"Medium","Low"))</f>
        <v>Low</v>
      </c>
      <c r="L752" t="str">
        <f>IF(Books[[#This Row],[AVERAGE RATING]]&gt;10000,"Popular","Average")</f>
        <v>Average</v>
      </c>
      <c r="M752">
        <f>Books[[#This Row],[AVERAGE RATING]]*Books[[#This Row],[RATINGS COUNT]]</f>
        <v>0</v>
      </c>
    </row>
    <row r="753" spans="1:13" x14ac:dyDescent="0.25">
      <c r="A753" t="s">
        <v>1754</v>
      </c>
      <c r="B753" t="s">
        <v>1755</v>
      </c>
      <c r="C753">
        <v>512</v>
      </c>
      <c r="D753" t="s">
        <v>45</v>
      </c>
      <c r="E753" t="s">
        <v>3645</v>
      </c>
      <c r="F753" t="s">
        <v>39</v>
      </c>
      <c r="G753" t="s">
        <v>4</v>
      </c>
      <c r="H753">
        <v>0</v>
      </c>
      <c r="I753">
        <v>0</v>
      </c>
      <c r="J753">
        <v>1998</v>
      </c>
      <c r="K753" t="str">
        <f>IF(Books[[#This Row],[AVERAGE RATING]]&gt;=4,"High",IF(Books[[#This Row],[AVERAGE RATING]]&gt;=3,"Medium","Low"))</f>
        <v>Low</v>
      </c>
      <c r="L753" t="str">
        <f>IF(Books[[#This Row],[AVERAGE RATING]]&gt;10000,"Popular","Average")</f>
        <v>Average</v>
      </c>
      <c r="M753">
        <f>Books[[#This Row],[AVERAGE RATING]]*Books[[#This Row],[RATINGS COUNT]]</f>
        <v>0</v>
      </c>
    </row>
    <row r="754" spans="1:13" x14ac:dyDescent="0.25">
      <c r="A754" t="s">
        <v>1756</v>
      </c>
      <c r="B754" t="s">
        <v>1757</v>
      </c>
      <c r="C754">
        <v>308</v>
      </c>
      <c r="D754" t="s">
        <v>47</v>
      </c>
      <c r="E754" t="s">
        <v>3135</v>
      </c>
      <c r="F754" t="s">
        <v>1172</v>
      </c>
      <c r="G754" t="s">
        <v>4</v>
      </c>
      <c r="H754">
        <v>3</v>
      </c>
      <c r="I754">
        <v>1</v>
      </c>
      <c r="J754">
        <v>1994</v>
      </c>
      <c r="K754" t="str">
        <f>IF(Books[[#This Row],[AVERAGE RATING]]&gt;=4,"High",IF(Books[[#This Row],[AVERAGE RATING]]&gt;=3,"Medium","Low"))</f>
        <v>Medium</v>
      </c>
      <c r="L754" t="str">
        <f>IF(Books[[#This Row],[AVERAGE RATING]]&gt;10000,"Popular","Average")</f>
        <v>Average</v>
      </c>
      <c r="M754">
        <f>Books[[#This Row],[AVERAGE RATING]]*Books[[#This Row],[RATINGS COUNT]]</f>
        <v>3</v>
      </c>
    </row>
    <row r="755" spans="1:13" x14ac:dyDescent="0.25">
      <c r="A755" t="s">
        <v>1758</v>
      </c>
      <c r="B755" t="s">
        <v>1759</v>
      </c>
      <c r="C755">
        <v>206</v>
      </c>
      <c r="D755" t="s">
        <v>2</v>
      </c>
      <c r="E755" t="s">
        <v>3056</v>
      </c>
      <c r="F755" t="s">
        <v>837</v>
      </c>
      <c r="G755" t="s">
        <v>4</v>
      </c>
      <c r="H755">
        <v>0</v>
      </c>
      <c r="I755">
        <v>0</v>
      </c>
      <c r="J755">
        <v>2007</v>
      </c>
      <c r="K755" t="str">
        <f>IF(Books[[#This Row],[AVERAGE RATING]]&gt;=4,"High",IF(Books[[#This Row],[AVERAGE RATING]]&gt;=3,"Medium","Low"))</f>
        <v>Low</v>
      </c>
      <c r="L755" t="str">
        <f>IF(Books[[#This Row],[AVERAGE RATING]]&gt;10000,"Popular","Average")</f>
        <v>Average</v>
      </c>
      <c r="M755">
        <f>Books[[#This Row],[AVERAGE RATING]]*Books[[#This Row],[RATINGS COUNT]]</f>
        <v>0</v>
      </c>
    </row>
    <row r="756" spans="1:13" x14ac:dyDescent="0.25">
      <c r="A756" t="s">
        <v>1760</v>
      </c>
      <c r="B756" t="s">
        <v>1761</v>
      </c>
      <c r="C756">
        <v>312</v>
      </c>
      <c r="D756" t="s">
        <v>2</v>
      </c>
      <c r="E756" t="s">
        <v>3179</v>
      </c>
      <c r="F756" t="s">
        <v>421</v>
      </c>
      <c r="G756" t="s">
        <v>4</v>
      </c>
      <c r="H756">
        <v>0</v>
      </c>
      <c r="I756">
        <v>0</v>
      </c>
      <c r="J756">
        <v>2013</v>
      </c>
      <c r="K756" t="str">
        <f>IF(Books[[#This Row],[AVERAGE RATING]]&gt;=4,"High",IF(Books[[#This Row],[AVERAGE RATING]]&gt;=3,"Medium","Low"))</f>
        <v>Low</v>
      </c>
      <c r="L756" t="str">
        <f>IF(Books[[#This Row],[AVERAGE RATING]]&gt;10000,"Popular","Average")</f>
        <v>Average</v>
      </c>
      <c r="M756">
        <f>Books[[#This Row],[AVERAGE RATING]]*Books[[#This Row],[RATINGS COUNT]]</f>
        <v>0</v>
      </c>
    </row>
    <row r="757" spans="1:13" x14ac:dyDescent="0.25">
      <c r="A757" t="s">
        <v>1754</v>
      </c>
      <c r="B757" t="s">
        <v>1762</v>
      </c>
      <c r="C757">
        <v>297</v>
      </c>
      <c r="D757" t="s">
        <v>2</v>
      </c>
      <c r="E757" t="s">
        <v>3646</v>
      </c>
      <c r="F757" t="s">
        <v>73</v>
      </c>
      <c r="G757" t="s">
        <v>4</v>
      </c>
      <c r="H757">
        <v>0</v>
      </c>
      <c r="I757">
        <v>0</v>
      </c>
      <c r="J757">
        <v>2022</v>
      </c>
      <c r="K757" t="str">
        <f>IF(Books[[#This Row],[AVERAGE RATING]]&gt;=4,"High",IF(Books[[#This Row],[AVERAGE RATING]]&gt;=3,"Medium","Low"))</f>
        <v>Low</v>
      </c>
      <c r="L757" t="str">
        <f>IF(Books[[#This Row],[AVERAGE RATING]]&gt;10000,"Popular","Average")</f>
        <v>Average</v>
      </c>
      <c r="M757">
        <f>Books[[#This Row],[AVERAGE RATING]]*Books[[#This Row],[RATINGS COUNT]]</f>
        <v>0</v>
      </c>
    </row>
    <row r="758" spans="1:13" x14ac:dyDescent="0.25">
      <c r="A758" t="s">
        <v>1763</v>
      </c>
      <c r="B758" t="s">
        <v>1764</v>
      </c>
      <c r="C758">
        <v>234</v>
      </c>
      <c r="D758" t="s">
        <v>1765</v>
      </c>
      <c r="E758" t="s">
        <v>3101</v>
      </c>
      <c r="F758" t="s">
        <v>46</v>
      </c>
      <c r="G758" t="s">
        <v>4</v>
      </c>
      <c r="H758">
        <v>0</v>
      </c>
      <c r="I758">
        <v>0</v>
      </c>
      <c r="J758">
        <v>2000</v>
      </c>
      <c r="K758" t="str">
        <f>IF(Books[[#This Row],[AVERAGE RATING]]&gt;=4,"High",IF(Books[[#This Row],[AVERAGE RATING]]&gt;=3,"Medium","Low"))</f>
        <v>Low</v>
      </c>
      <c r="L758" t="str">
        <f>IF(Books[[#This Row],[AVERAGE RATING]]&gt;10000,"Popular","Average")</f>
        <v>Average</v>
      </c>
      <c r="M758">
        <f>Books[[#This Row],[AVERAGE RATING]]*Books[[#This Row],[RATINGS COUNT]]</f>
        <v>0</v>
      </c>
    </row>
    <row r="759" spans="1:13" x14ac:dyDescent="0.25">
      <c r="A759" t="s">
        <v>1767</v>
      </c>
      <c r="B759" t="s">
        <v>1768</v>
      </c>
      <c r="C759">
        <v>381</v>
      </c>
      <c r="D759" t="s">
        <v>47</v>
      </c>
      <c r="E759" t="s">
        <v>3647</v>
      </c>
      <c r="F759" t="s">
        <v>122</v>
      </c>
      <c r="G759" t="s">
        <v>4</v>
      </c>
      <c r="H759">
        <v>0</v>
      </c>
      <c r="I759">
        <v>0</v>
      </c>
      <c r="J759">
        <v>2010</v>
      </c>
      <c r="K759" t="str">
        <f>IF(Books[[#This Row],[AVERAGE RATING]]&gt;=4,"High",IF(Books[[#This Row],[AVERAGE RATING]]&gt;=3,"Medium","Low"))</f>
        <v>Low</v>
      </c>
      <c r="L759" t="str">
        <f>IF(Books[[#This Row],[AVERAGE RATING]]&gt;10000,"Popular","Average")</f>
        <v>Average</v>
      </c>
      <c r="M759">
        <f>Books[[#This Row],[AVERAGE RATING]]*Books[[#This Row],[RATINGS COUNT]]</f>
        <v>0</v>
      </c>
    </row>
    <row r="760" spans="1:13" x14ac:dyDescent="0.25">
      <c r="A760" t="s">
        <v>1769</v>
      </c>
      <c r="B760" t="s">
        <v>1770</v>
      </c>
      <c r="C760">
        <v>348</v>
      </c>
      <c r="D760" t="s">
        <v>47</v>
      </c>
      <c r="E760" t="s">
        <v>3067</v>
      </c>
      <c r="F760" t="s">
        <v>46</v>
      </c>
      <c r="G760" t="s">
        <v>4</v>
      </c>
      <c r="H760">
        <v>0</v>
      </c>
      <c r="I760">
        <v>0</v>
      </c>
      <c r="J760">
        <v>2003</v>
      </c>
      <c r="K760" t="str">
        <f>IF(Books[[#This Row],[AVERAGE RATING]]&gt;=4,"High",IF(Books[[#This Row],[AVERAGE RATING]]&gt;=3,"Medium","Low"))</f>
        <v>Low</v>
      </c>
      <c r="L760" t="str">
        <f>IF(Books[[#This Row],[AVERAGE RATING]]&gt;10000,"Popular","Average")</f>
        <v>Average</v>
      </c>
      <c r="M760">
        <f>Books[[#This Row],[AVERAGE RATING]]*Books[[#This Row],[RATINGS COUNT]]</f>
        <v>0</v>
      </c>
    </row>
    <row r="761" spans="1:13" x14ac:dyDescent="0.25">
      <c r="A761" t="s">
        <v>1771</v>
      </c>
      <c r="B761" t="s">
        <v>1772</v>
      </c>
      <c r="C761">
        <v>198</v>
      </c>
      <c r="D761" t="s">
        <v>45</v>
      </c>
      <c r="E761" t="s">
        <v>3648</v>
      </c>
      <c r="F761" t="s">
        <v>122</v>
      </c>
      <c r="G761" t="s">
        <v>4</v>
      </c>
      <c r="H761">
        <v>4.5</v>
      </c>
      <c r="I761">
        <v>2</v>
      </c>
      <c r="J761">
        <v>1988</v>
      </c>
      <c r="K761" t="str">
        <f>IF(Books[[#This Row],[AVERAGE RATING]]&gt;=4,"High",IF(Books[[#This Row],[AVERAGE RATING]]&gt;=3,"Medium","Low"))</f>
        <v>High</v>
      </c>
      <c r="L761" t="str">
        <f>IF(Books[[#This Row],[AVERAGE RATING]]&gt;10000,"Popular","Average")</f>
        <v>Average</v>
      </c>
      <c r="M761">
        <f>Books[[#This Row],[AVERAGE RATING]]*Books[[#This Row],[RATINGS COUNT]]</f>
        <v>9</v>
      </c>
    </row>
    <row r="762" spans="1:13" x14ac:dyDescent="0.25">
      <c r="A762" t="s">
        <v>1773</v>
      </c>
      <c r="B762" t="s">
        <v>1774</v>
      </c>
      <c r="C762">
        <v>281</v>
      </c>
      <c r="D762" t="s">
        <v>47</v>
      </c>
      <c r="E762" t="s">
        <v>3649</v>
      </c>
      <c r="F762" t="s">
        <v>122</v>
      </c>
      <c r="G762" t="s">
        <v>4</v>
      </c>
      <c r="H762">
        <v>0</v>
      </c>
      <c r="I762">
        <v>0</v>
      </c>
      <c r="J762">
        <v>2011</v>
      </c>
      <c r="K762" t="str">
        <f>IF(Books[[#This Row],[AVERAGE RATING]]&gt;=4,"High",IF(Books[[#This Row],[AVERAGE RATING]]&gt;=3,"Medium","Low"))</f>
        <v>Low</v>
      </c>
      <c r="L762" t="str">
        <f>IF(Books[[#This Row],[AVERAGE RATING]]&gt;10000,"Popular","Average")</f>
        <v>Average</v>
      </c>
      <c r="M762">
        <f>Books[[#This Row],[AVERAGE RATING]]*Books[[#This Row],[RATINGS COUNT]]</f>
        <v>0</v>
      </c>
    </row>
    <row r="763" spans="1:13" x14ac:dyDescent="0.25">
      <c r="A763" t="s">
        <v>1775</v>
      </c>
      <c r="B763" t="s">
        <v>1776</v>
      </c>
      <c r="C763">
        <v>452</v>
      </c>
      <c r="D763" t="s">
        <v>1777</v>
      </c>
      <c r="E763" t="s">
        <v>3373</v>
      </c>
      <c r="F763" t="s">
        <v>559</v>
      </c>
      <c r="G763" t="s">
        <v>4</v>
      </c>
      <c r="H763">
        <v>5</v>
      </c>
      <c r="I763">
        <v>1</v>
      </c>
      <c r="J763">
        <v>1998</v>
      </c>
      <c r="K763" t="str">
        <f>IF(Books[[#This Row],[AVERAGE RATING]]&gt;=4,"High",IF(Books[[#This Row],[AVERAGE RATING]]&gt;=3,"Medium","Low"))</f>
        <v>High</v>
      </c>
      <c r="L763" t="str">
        <f>IF(Books[[#This Row],[AVERAGE RATING]]&gt;10000,"Popular","Average")</f>
        <v>Average</v>
      </c>
      <c r="M763">
        <f>Books[[#This Row],[AVERAGE RATING]]*Books[[#This Row],[RATINGS COUNT]]</f>
        <v>5</v>
      </c>
    </row>
    <row r="764" spans="1:13" x14ac:dyDescent="0.25">
      <c r="A764" t="s">
        <v>1778</v>
      </c>
      <c r="B764" t="s">
        <v>1779</v>
      </c>
      <c r="C764">
        <v>346</v>
      </c>
      <c r="D764" t="s">
        <v>15</v>
      </c>
      <c r="E764" t="s">
        <v>3650</v>
      </c>
      <c r="F764" t="s">
        <v>122</v>
      </c>
      <c r="G764" t="s">
        <v>4</v>
      </c>
      <c r="H764">
        <v>0</v>
      </c>
      <c r="I764">
        <v>0</v>
      </c>
      <c r="J764">
        <v>2004</v>
      </c>
      <c r="K764" t="str">
        <f>IF(Books[[#This Row],[AVERAGE RATING]]&gt;=4,"High",IF(Books[[#This Row],[AVERAGE RATING]]&gt;=3,"Medium","Low"))</f>
        <v>Low</v>
      </c>
      <c r="L764" t="str">
        <f>IF(Books[[#This Row],[AVERAGE RATING]]&gt;10000,"Popular","Average")</f>
        <v>Average</v>
      </c>
      <c r="M764">
        <f>Books[[#This Row],[AVERAGE RATING]]*Books[[#This Row],[RATINGS COUNT]]</f>
        <v>0</v>
      </c>
    </row>
    <row r="765" spans="1:13" x14ac:dyDescent="0.25">
      <c r="A765" t="s">
        <v>1780</v>
      </c>
      <c r="B765" t="s">
        <v>1781</v>
      </c>
      <c r="C765">
        <v>344</v>
      </c>
      <c r="D765" t="s">
        <v>47</v>
      </c>
      <c r="E765" t="s">
        <v>3067</v>
      </c>
      <c r="F765" t="s">
        <v>837</v>
      </c>
      <c r="G765" t="s">
        <v>4</v>
      </c>
      <c r="H765">
        <v>0</v>
      </c>
      <c r="I765">
        <v>0</v>
      </c>
      <c r="J765">
        <v>2003</v>
      </c>
      <c r="K765" t="str">
        <f>IF(Books[[#This Row],[AVERAGE RATING]]&gt;=4,"High",IF(Books[[#This Row],[AVERAGE RATING]]&gt;=3,"Medium","Low"))</f>
        <v>Low</v>
      </c>
      <c r="L765" t="str">
        <f>IF(Books[[#This Row],[AVERAGE RATING]]&gt;10000,"Popular","Average")</f>
        <v>Average</v>
      </c>
      <c r="M765">
        <f>Books[[#This Row],[AVERAGE RATING]]*Books[[#This Row],[RATINGS COUNT]]</f>
        <v>0</v>
      </c>
    </row>
    <row r="766" spans="1:13" x14ac:dyDescent="0.25">
      <c r="A766" t="s">
        <v>1782</v>
      </c>
      <c r="B766" t="s">
        <v>1783</v>
      </c>
      <c r="C766">
        <v>386</v>
      </c>
      <c r="D766" t="s">
        <v>2</v>
      </c>
      <c r="E766" t="s">
        <v>3651</v>
      </c>
      <c r="F766" t="s">
        <v>421</v>
      </c>
      <c r="G766" t="s">
        <v>4</v>
      </c>
      <c r="H766">
        <v>0</v>
      </c>
      <c r="I766">
        <v>0</v>
      </c>
      <c r="J766">
        <v>2013</v>
      </c>
      <c r="K766" t="str">
        <f>IF(Books[[#This Row],[AVERAGE RATING]]&gt;=4,"High",IF(Books[[#This Row],[AVERAGE RATING]]&gt;=3,"Medium","Low"))</f>
        <v>Low</v>
      </c>
      <c r="L766" t="str">
        <f>IF(Books[[#This Row],[AVERAGE RATING]]&gt;10000,"Popular","Average")</f>
        <v>Average</v>
      </c>
      <c r="M766">
        <f>Books[[#This Row],[AVERAGE RATING]]*Books[[#This Row],[RATINGS COUNT]]</f>
        <v>0</v>
      </c>
    </row>
    <row r="767" spans="1:13" x14ac:dyDescent="0.25">
      <c r="A767" t="s">
        <v>1784</v>
      </c>
      <c r="B767" t="s">
        <v>1785</v>
      </c>
      <c r="C767">
        <v>408</v>
      </c>
      <c r="D767" t="s">
        <v>47</v>
      </c>
      <c r="E767" t="s">
        <v>3652</v>
      </c>
      <c r="F767" t="s">
        <v>1213</v>
      </c>
      <c r="G767" t="s">
        <v>4</v>
      </c>
      <c r="H767">
        <v>0</v>
      </c>
      <c r="I767">
        <v>0</v>
      </c>
      <c r="J767">
        <v>1996</v>
      </c>
      <c r="K767" t="str">
        <f>IF(Books[[#This Row],[AVERAGE RATING]]&gt;=4,"High",IF(Books[[#This Row],[AVERAGE RATING]]&gt;=3,"Medium","Low"))</f>
        <v>Low</v>
      </c>
      <c r="L767" t="str">
        <f>IF(Books[[#This Row],[AVERAGE RATING]]&gt;10000,"Popular","Average")</f>
        <v>Average</v>
      </c>
      <c r="M767">
        <f>Books[[#This Row],[AVERAGE RATING]]*Books[[#This Row],[RATINGS COUNT]]</f>
        <v>0</v>
      </c>
    </row>
    <row r="768" spans="1:13" x14ac:dyDescent="0.25">
      <c r="A768" t="s">
        <v>1786</v>
      </c>
      <c r="B768" t="s">
        <v>1787</v>
      </c>
      <c r="C768">
        <v>46</v>
      </c>
      <c r="D768" t="s">
        <v>47</v>
      </c>
      <c r="E768" t="s">
        <v>3409</v>
      </c>
      <c r="F768" t="s">
        <v>1598</v>
      </c>
      <c r="G768" t="s">
        <v>4</v>
      </c>
      <c r="H768">
        <v>0</v>
      </c>
      <c r="I768">
        <v>0</v>
      </c>
      <c r="J768">
        <v>2020</v>
      </c>
      <c r="K768" t="str">
        <f>IF(Books[[#This Row],[AVERAGE RATING]]&gt;=4,"High",IF(Books[[#This Row],[AVERAGE RATING]]&gt;=3,"Medium","Low"))</f>
        <v>Low</v>
      </c>
      <c r="L768" t="str">
        <f>IF(Books[[#This Row],[AVERAGE RATING]]&gt;10000,"Popular","Average")</f>
        <v>Average</v>
      </c>
      <c r="M768">
        <f>Books[[#This Row],[AVERAGE RATING]]*Books[[#This Row],[RATINGS COUNT]]</f>
        <v>0</v>
      </c>
    </row>
    <row r="769" spans="1:13" x14ac:dyDescent="0.25">
      <c r="A769" t="s">
        <v>1788</v>
      </c>
      <c r="B769" t="s">
        <v>1789</v>
      </c>
      <c r="C769">
        <v>214</v>
      </c>
      <c r="D769" t="s">
        <v>47</v>
      </c>
      <c r="E769" t="s">
        <v>3287</v>
      </c>
      <c r="F769" t="s">
        <v>834</v>
      </c>
      <c r="G769" t="s">
        <v>4</v>
      </c>
      <c r="H769">
        <v>0</v>
      </c>
      <c r="I769">
        <v>0</v>
      </c>
      <c r="J769">
        <v>2010</v>
      </c>
      <c r="K769" t="str">
        <f>IF(Books[[#This Row],[AVERAGE RATING]]&gt;=4,"High",IF(Books[[#This Row],[AVERAGE RATING]]&gt;=3,"Medium","Low"))</f>
        <v>Low</v>
      </c>
      <c r="L769" t="str">
        <f>IF(Books[[#This Row],[AVERAGE RATING]]&gt;10000,"Popular","Average")</f>
        <v>Average</v>
      </c>
      <c r="M769">
        <f>Books[[#This Row],[AVERAGE RATING]]*Books[[#This Row],[RATINGS COUNT]]</f>
        <v>0</v>
      </c>
    </row>
    <row r="770" spans="1:13" x14ac:dyDescent="0.25">
      <c r="A770" t="s">
        <v>1790</v>
      </c>
      <c r="B770" t="s">
        <v>1791</v>
      </c>
      <c r="C770">
        <v>220</v>
      </c>
      <c r="D770" t="s">
        <v>47</v>
      </c>
      <c r="E770" t="s">
        <v>3653</v>
      </c>
      <c r="F770" t="s">
        <v>122</v>
      </c>
      <c r="G770" t="s">
        <v>4</v>
      </c>
      <c r="H770">
        <v>5</v>
      </c>
      <c r="I770">
        <v>1</v>
      </c>
      <c r="J770">
        <v>1989</v>
      </c>
      <c r="K770" t="str">
        <f>IF(Books[[#This Row],[AVERAGE RATING]]&gt;=4,"High",IF(Books[[#This Row],[AVERAGE RATING]]&gt;=3,"Medium","Low"))</f>
        <v>High</v>
      </c>
      <c r="L770" t="str">
        <f>IF(Books[[#This Row],[AVERAGE RATING]]&gt;10000,"Popular","Average")</f>
        <v>Average</v>
      </c>
      <c r="M770">
        <f>Books[[#This Row],[AVERAGE RATING]]*Books[[#This Row],[RATINGS COUNT]]</f>
        <v>5</v>
      </c>
    </row>
    <row r="771" spans="1:13" x14ac:dyDescent="0.25">
      <c r="A771" t="s">
        <v>1792</v>
      </c>
      <c r="B771" t="s">
        <v>1793</v>
      </c>
      <c r="C771">
        <v>283</v>
      </c>
      <c r="D771" t="s">
        <v>11</v>
      </c>
      <c r="E771" t="s">
        <v>3654</v>
      </c>
      <c r="F771" t="s">
        <v>1431</v>
      </c>
      <c r="G771" t="s">
        <v>4</v>
      </c>
      <c r="H771">
        <v>0</v>
      </c>
      <c r="I771">
        <v>0</v>
      </c>
      <c r="J771">
        <v>2012</v>
      </c>
      <c r="K771" t="str">
        <f>IF(Books[[#This Row],[AVERAGE RATING]]&gt;=4,"High",IF(Books[[#This Row],[AVERAGE RATING]]&gt;=3,"Medium","Low"))</f>
        <v>Low</v>
      </c>
      <c r="L771" t="str">
        <f>IF(Books[[#This Row],[AVERAGE RATING]]&gt;10000,"Popular","Average")</f>
        <v>Average</v>
      </c>
      <c r="M771">
        <f>Books[[#This Row],[AVERAGE RATING]]*Books[[#This Row],[RATINGS COUNT]]</f>
        <v>0</v>
      </c>
    </row>
    <row r="772" spans="1:13" x14ac:dyDescent="0.25">
      <c r="A772" t="s">
        <v>1794</v>
      </c>
      <c r="B772" t="s">
        <v>1795</v>
      </c>
      <c r="C772">
        <v>110</v>
      </c>
      <c r="D772" t="s">
        <v>356</v>
      </c>
      <c r="E772" t="s">
        <v>3654</v>
      </c>
      <c r="F772" t="s">
        <v>1431</v>
      </c>
      <c r="G772" t="s">
        <v>4</v>
      </c>
      <c r="H772">
        <v>0</v>
      </c>
      <c r="I772">
        <v>0</v>
      </c>
      <c r="J772">
        <v>2012</v>
      </c>
      <c r="K772" t="str">
        <f>IF(Books[[#This Row],[AVERAGE RATING]]&gt;=4,"High",IF(Books[[#This Row],[AVERAGE RATING]]&gt;=3,"Medium","Low"))</f>
        <v>Low</v>
      </c>
      <c r="L772" t="str">
        <f>IF(Books[[#This Row],[AVERAGE RATING]]&gt;10000,"Popular","Average")</f>
        <v>Average</v>
      </c>
      <c r="M772">
        <f>Books[[#This Row],[AVERAGE RATING]]*Books[[#This Row],[RATINGS COUNT]]</f>
        <v>0</v>
      </c>
    </row>
    <row r="773" spans="1:13" x14ac:dyDescent="0.25">
      <c r="A773" t="s">
        <v>1796</v>
      </c>
      <c r="B773" t="s">
        <v>1797</v>
      </c>
      <c r="C773">
        <v>65</v>
      </c>
      <c r="D773" t="s">
        <v>207</v>
      </c>
      <c r="E773" t="s">
        <v>3654</v>
      </c>
      <c r="F773" t="s">
        <v>1431</v>
      </c>
      <c r="G773" t="s">
        <v>4</v>
      </c>
      <c r="H773">
        <v>0</v>
      </c>
      <c r="I773">
        <v>0</v>
      </c>
      <c r="J773">
        <v>2012</v>
      </c>
      <c r="K773" t="str">
        <f>IF(Books[[#This Row],[AVERAGE RATING]]&gt;=4,"High",IF(Books[[#This Row],[AVERAGE RATING]]&gt;=3,"Medium","Low"))</f>
        <v>Low</v>
      </c>
      <c r="L773" t="str">
        <f>IF(Books[[#This Row],[AVERAGE RATING]]&gt;10000,"Popular","Average")</f>
        <v>Average</v>
      </c>
      <c r="M773">
        <f>Books[[#This Row],[AVERAGE RATING]]*Books[[#This Row],[RATINGS COUNT]]</f>
        <v>0</v>
      </c>
    </row>
    <row r="774" spans="1:13" x14ac:dyDescent="0.25">
      <c r="A774" t="s">
        <v>1798</v>
      </c>
      <c r="B774" t="s">
        <v>1799</v>
      </c>
      <c r="C774">
        <v>245</v>
      </c>
      <c r="D774" t="s">
        <v>2</v>
      </c>
      <c r="E774" t="s">
        <v>3655</v>
      </c>
      <c r="F774" t="s">
        <v>76</v>
      </c>
      <c r="G774" t="s">
        <v>4</v>
      </c>
      <c r="H774">
        <v>0</v>
      </c>
      <c r="I774">
        <v>0</v>
      </c>
      <c r="J774">
        <v>2014</v>
      </c>
      <c r="K774" t="str">
        <f>IF(Books[[#This Row],[AVERAGE RATING]]&gt;=4,"High",IF(Books[[#This Row],[AVERAGE RATING]]&gt;=3,"Medium","Low"))</f>
        <v>Low</v>
      </c>
      <c r="L774" t="str">
        <f>IF(Books[[#This Row],[AVERAGE RATING]]&gt;10000,"Popular","Average")</f>
        <v>Average</v>
      </c>
      <c r="M774">
        <f>Books[[#This Row],[AVERAGE RATING]]*Books[[#This Row],[RATINGS COUNT]]</f>
        <v>0</v>
      </c>
    </row>
    <row r="775" spans="1:13" x14ac:dyDescent="0.25">
      <c r="A775" t="s">
        <v>1800</v>
      </c>
      <c r="B775" t="s">
        <v>1797</v>
      </c>
      <c r="C775">
        <v>43</v>
      </c>
      <c r="D775" t="s">
        <v>207</v>
      </c>
      <c r="E775" t="s">
        <v>3322</v>
      </c>
      <c r="F775" t="s">
        <v>1431</v>
      </c>
      <c r="G775" t="s">
        <v>4</v>
      </c>
      <c r="H775">
        <v>0</v>
      </c>
      <c r="I775">
        <v>0</v>
      </c>
      <c r="J775">
        <v>2012</v>
      </c>
      <c r="K775" t="str">
        <f>IF(Books[[#This Row],[AVERAGE RATING]]&gt;=4,"High",IF(Books[[#This Row],[AVERAGE RATING]]&gt;=3,"Medium","Low"))</f>
        <v>Low</v>
      </c>
      <c r="L775" t="str">
        <f>IF(Books[[#This Row],[AVERAGE RATING]]&gt;10000,"Popular","Average")</f>
        <v>Average</v>
      </c>
      <c r="M775">
        <f>Books[[#This Row],[AVERAGE RATING]]*Books[[#This Row],[RATINGS COUNT]]</f>
        <v>0</v>
      </c>
    </row>
    <row r="776" spans="1:13" x14ac:dyDescent="0.25">
      <c r="A776" t="s">
        <v>1801</v>
      </c>
      <c r="B776" t="s">
        <v>1802</v>
      </c>
      <c r="C776">
        <v>334</v>
      </c>
      <c r="D776" t="s">
        <v>2</v>
      </c>
      <c r="E776" t="s">
        <v>3213</v>
      </c>
      <c r="F776" t="s">
        <v>1803</v>
      </c>
      <c r="G776" t="s">
        <v>4</v>
      </c>
      <c r="H776">
        <v>0</v>
      </c>
      <c r="I776">
        <v>0</v>
      </c>
      <c r="J776">
        <v>2024</v>
      </c>
      <c r="K776" t="str">
        <f>IF(Books[[#This Row],[AVERAGE RATING]]&gt;=4,"High",IF(Books[[#This Row],[AVERAGE RATING]]&gt;=3,"Medium","Low"))</f>
        <v>Low</v>
      </c>
      <c r="L776" t="str">
        <f>IF(Books[[#This Row],[AVERAGE RATING]]&gt;10000,"Popular","Average")</f>
        <v>Average</v>
      </c>
      <c r="M776">
        <f>Books[[#This Row],[AVERAGE RATING]]*Books[[#This Row],[RATINGS COUNT]]</f>
        <v>0</v>
      </c>
    </row>
    <row r="777" spans="1:13" x14ac:dyDescent="0.25">
      <c r="A777" t="s">
        <v>1804</v>
      </c>
      <c r="B777" t="s">
        <v>1805</v>
      </c>
      <c r="C777">
        <v>196</v>
      </c>
      <c r="D777" t="s">
        <v>2</v>
      </c>
      <c r="E777" t="s">
        <v>3322</v>
      </c>
      <c r="F777" t="s">
        <v>1116</v>
      </c>
      <c r="G777" t="s">
        <v>4</v>
      </c>
      <c r="H777">
        <v>0</v>
      </c>
      <c r="I777">
        <v>0</v>
      </c>
      <c r="J777">
        <v>2012</v>
      </c>
      <c r="K777" t="str">
        <f>IF(Books[[#This Row],[AVERAGE RATING]]&gt;=4,"High",IF(Books[[#This Row],[AVERAGE RATING]]&gt;=3,"Medium","Low"))</f>
        <v>Low</v>
      </c>
      <c r="L777" t="str">
        <f>IF(Books[[#This Row],[AVERAGE RATING]]&gt;10000,"Popular","Average")</f>
        <v>Average</v>
      </c>
      <c r="M777">
        <f>Books[[#This Row],[AVERAGE RATING]]*Books[[#This Row],[RATINGS COUNT]]</f>
        <v>0</v>
      </c>
    </row>
    <row r="778" spans="1:13" x14ac:dyDescent="0.25">
      <c r="A778" t="s">
        <v>1806</v>
      </c>
      <c r="B778" t="s">
        <v>1346</v>
      </c>
      <c r="C778">
        <v>241</v>
      </c>
      <c r="D778" t="s">
        <v>207</v>
      </c>
      <c r="E778" t="s">
        <v>3539</v>
      </c>
      <c r="F778" t="s">
        <v>1347</v>
      </c>
      <c r="G778" t="s">
        <v>4</v>
      </c>
      <c r="H778">
        <v>0</v>
      </c>
      <c r="I778">
        <v>0</v>
      </c>
      <c r="J778">
        <v>2023</v>
      </c>
      <c r="K778" t="str">
        <f>IF(Books[[#This Row],[AVERAGE RATING]]&gt;=4,"High",IF(Books[[#This Row],[AVERAGE RATING]]&gt;=3,"Medium","Low"))</f>
        <v>Low</v>
      </c>
      <c r="L778" t="str">
        <f>IF(Books[[#This Row],[AVERAGE RATING]]&gt;10000,"Popular","Average")</f>
        <v>Average</v>
      </c>
      <c r="M778">
        <f>Books[[#This Row],[AVERAGE RATING]]*Books[[#This Row],[RATINGS COUNT]]</f>
        <v>0</v>
      </c>
    </row>
    <row r="779" spans="1:13" x14ac:dyDescent="0.25">
      <c r="A779" t="s">
        <v>1800</v>
      </c>
      <c r="B779" t="s">
        <v>1404</v>
      </c>
      <c r="C779">
        <v>356</v>
      </c>
      <c r="D779" t="s">
        <v>453</v>
      </c>
      <c r="E779" t="s">
        <v>3656</v>
      </c>
      <c r="F779" t="s">
        <v>1405</v>
      </c>
      <c r="G779" t="s">
        <v>1304</v>
      </c>
      <c r="H779">
        <v>0</v>
      </c>
      <c r="I779">
        <v>0</v>
      </c>
      <c r="J779">
        <v>2017</v>
      </c>
      <c r="K779" t="str">
        <f>IF(Books[[#This Row],[AVERAGE RATING]]&gt;=4,"High",IF(Books[[#This Row],[AVERAGE RATING]]&gt;=3,"Medium","Low"))</f>
        <v>Low</v>
      </c>
      <c r="L779" t="str">
        <f>IF(Books[[#This Row],[AVERAGE RATING]]&gt;10000,"Popular","Average")</f>
        <v>Average</v>
      </c>
      <c r="M779">
        <f>Books[[#This Row],[AVERAGE RATING]]*Books[[#This Row],[RATINGS COUNT]]</f>
        <v>0</v>
      </c>
    </row>
    <row r="780" spans="1:13" x14ac:dyDescent="0.25">
      <c r="A780" t="s">
        <v>1807</v>
      </c>
      <c r="B780" t="s">
        <v>1808</v>
      </c>
      <c r="C780">
        <v>228</v>
      </c>
      <c r="D780" t="s">
        <v>118</v>
      </c>
      <c r="E780" t="s">
        <v>3184</v>
      </c>
      <c r="F780" t="s">
        <v>35</v>
      </c>
      <c r="G780" t="s">
        <v>4</v>
      </c>
      <c r="H780">
        <v>0</v>
      </c>
      <c r="I780">
        <v>0</v>
      </c>
      <c r="J780">
        <v>2016</v>
      </c>
      <c r="K780" t="str">
        <f>IF(Books[[#This Row],[AVERAGE RATING]]&gt;=4,"High",IF(Books[[#This Row],[AVERAGE RATING]]&gt;=3,"Medium","Low"))</f>
        <v>Low</v>
      </c>
      <c r="L780" t="str">
        <f>IF(Books[[#This Row],[AVERAGE RATING]]&gt;10000,"Popular","Average")</f>
        <v>Average</v>
      </c>
      <c r="M780">
        <f>Books[[#This Row],[AVERAGE RATING]]*Books[[#This Row],[RATINGS COUNT]]</f>
        <v>0</v>
      </c>
    </row>
    <row r="781" spans="1:13" x14ac:dyDescent="0.25">
      <c r="A781" t="s">
        <v>1809</v>
      </c>
      <c r="B781" t="s">
        <v>1810</v>
      </c>
      <c r="C781">
        <v>116</v>
      </c>
      <c r="D781" t="s">
        <v>2</v>
      </c>
      <c r="E781" t="s">
        <v>3657</v>
      </c>
      <c r="F781" t="s">
        <v>119</v>
      </c>
      <c r="G781" t="s">
        <v>4</v>
      </c>
      <c r="H781">
        <v>0</v>
      </c>
      <c r="I781">
        <v>0</v>
      </c>
      <c r="J781">
        <v>2022</v>
      </c>
      <c r="K781" t="str">
        <f>IF(Books[[#This Row],[AVERAGE RATING]]&gt;=4,"High",IF(Books[[#This Row],[AVERAGE RATING]]&gt;=3,"Medium","Low"))</f>
        <v>Low</v>
      </c>
      <c r="L781" t="str">
        <f>IF(Books[[#This Row],[AVERAGE RATING]]&gt;10000,"Popular","Average")</f>
        <v>Average</v>
      </c>
      <c r="M781">
        <f>Books[[#This Row],[AVERAGE RATING]]*Books[[#This Row],[RATINGS COUNT]]</f>
        <v>0</v>
      </c>
    </row>
    <row r="782" spans="1:13" x14ac:dyDescent="0.25">
      <c r="A782" t="s">
        <v>1811</v>
      </c>
      <c r="B782" t="s">
        <v>1812</v>
      </c>
      <c r="C782">
        <v>202</v>
      </c>
      <c r="D782" t="s">
        <v>15</v>
      </c>
      <c r="E782" t="s">
        <v>3504</v>
      </c>
      <c r="F782" t="s">
        <v>1027</v>
      </c>
      <c r="G782" t="s">
        <v>4</v>
      </c>
      <c r="H782">
        <v>0</v>
      </c>
      <c r="I782">
        <v>0</v>
      </c>
      <c r="J782">
        <v>2014</v>
      </c>
      <c r="K782" t="str">
        <f>IF(Books[[#This Row],[AVERAGE RATING]]&gt;=4,"High",IF(Books[[#This Row],[AVERAGE RATING]]&gt;=3,"Medium","Low"))</f>
        <v>Low</v>
      </c>
      <c r="L782" t="str">
        <f>IF(Books[[#This Row],[AVERAGE RATING]]&gt;10000,"Popular","Average")</f>
        <v>Average</v>
      </c>
      <c r="M782">
        <f>Books[[#This Row],[AVERAGE RATING]]*Books[[#This Row],[RATINGS COUNT]]</f>
        <v>0</v>
      </c>
    </row>
    <row r="783" spans="1:13" x14ac:dyDescent="0.25">
      <c r="A783" t="s">
        <v>1813</v>
      </c>
      <c r="B783" t="s">
        <v>1399</v>
      </c>
      <c r="C783">
        <v>278</v>
      </c>
      <c r="D783" t="s">
        <v>38</v>
      </c>
      <c r="E783" t="s">
        <v>3658</v>
      </c>
      <c r="F783" t="s">
        <v>132</v>
      </c>
      <c r="G783" t="s">
        <v>4</v>
      </c>
      <c r="H783">
        <v>0</v>
      </c>
      <c r="I783">
        <v>0</v>
      </c>
      <c r="J783">
        <v>2012</v>
      </c>
      <c r="K783" t="str">
        <f>IF(Books[[#This Row],[AVERAGE RATING]]&gt;=4,"High",IF(Books[[#This Row],[AVERAGE RATING]]&gt;=3,"Medium","Low"))</f>
        <v>Low</v>
      </c>
      <c r="L783" t="str">
        <f>IF(Books[[#This Row],[AVERAGE RATING]]&gt;10000,"Popular","Average")</f>
        <v>Average</v>
      </c>
      <c r="M783">
        <f>Books[[#This Row],[AVERAGE RATING]]*Books[[#This Row],[RATINGS COUNT]]</f>
        <v>0</v>
      </c>
    </row>
    <row r="784" spans="1:13" x14ac:dyDescent="0.25">
      <c r="A784" t="s">
        <v>1814</v>
      </c>
      <c r="B784" t="s">
        <v>1815</v>
      </c>
      <c r="C784">
        <v>50</v>
      </c>
      <c r="D784" t="s">
        <v>63</v>
      </c>
      <c r="E784" t="s">
        <v>3073</v>
      </c>
      <c r="F784" t="s">
        <v>25</v>
      </c>
      <c r="G784" t="s">
        <v>4</v>
      </c>
      <c r="H784">
        <v>0</v>
      </c>
      <c r="I784">
        <v>0</v>
      </c>
      <c r="J784">
        <v>1992</v>
      </c>
      <c r="K784" t="str">
        <f>IF(Books[[#This Row],[AVERAGE RATING]]&gt;=4,"High",IF(Books[[#This Row],[AVERAGE RATING]]&gt;=3,"Medium","Low"))</f>
        <v>Low</v>
      </c>
      <c r="L784" t="str">
        <f>IF(Books[[#This Row],[AVERAGE RATING]]&gt;10000,"Popular","Average")</f>
        <v>Average</v>
      </c>
      <c r="M784">
        <f>Books[[#This Row],[AVERAGE RATING]]*Books[[#This Row],[RATINGS COUNT]]</f>
        <v>0</v>
      </c>
    </row>
    <row r="785" spans="1:13" x14ac:dyDescent="0.25">
      <c r="A785" t="s">
        <v>1816</v>
      </c>
      <c r="B785" t="s">
        <v>1817</v>
      </c>
      <c r="C785">
        <v>49</v>
      </c>
      <c r="D785" t="s">
        <v>2</v>
      </c>
      <c r="E785" t="s">
        <v>3659</v>
      </c>
      <c r="F785" t="s">
        <v>1431</v>
      </c>
      <c r="G785" t="s">
        <v>4</v>
      </c>
      <c r="H785">
        <v>0</v>
      </c>
      <c r="I785">
        <v>0</v>
      </c>
      <c r="J785">
        <v>2007</v>
      </c>
      <c r="K785" t="str">
        <f>IF(Books[[#This Row],[AVERAGE RATING]]&gt;=4,"High",IF(Books[[#This Row],[AVERAGE RATING]]&gt;=3,"Medium","Low"))</f>
        <v>Low</v>
      </c>
      <c r="L785" t="str">
        <f>IF(Books[[#This Row],[AVERAGE RATING]]&gt;10000,"Popular","Average")</f>
        <v>Average</v>
      </c>
      <c r="M785">
        <f>Books[[#This Row],[AVERAGE RATING]]*Books[[#This Row],[RATINGS COUNT]]</f>
        <v>0</v>
      </c>
    </row>
    <row r="786" spans="1:13" x14ac:dyDescent="0.25">
      <c r="A786" t="s">
        <v>1818</v>
      </c>
      <c r="B786" t="s">
        <v>1819</v>
      </c>
      <c r="C786">
        <v>333</v>
      </c>
      <c r="D786" t="s">
        <v>11</v>
      </c>
      <c r="E786" t="s">
        <v>3322</v>
      </c>
      <c r="F786" t="s">
        <v>1431</v>
      </c>
      <c r="G786" t="s">
        <v>4</v>
      </c>
      <c r="H786">
        <v>4</v>
      </c>
      <c r="I786">
        <v>1</v>
      </c>
      <c r="J786">
        <v>2012</v>
      </c>
      <c r="K786" t="str">
        <f>IF(Books[[#This Row],[AVERAGE RATING]]&gt;=4,"High",IF(Books[[#This Row],[AVERAGE RATING]]&gt;=3,"Medium","Low"))</f>
        <v>High</v>
      </c>
      <c r="L786" t="str">
        <f>IF(Books[[#This Row],[AVERAGE RATING]]&gt;10000,"Popular","Average")</f>
        <v>Average</v>
      </c>
      <c r="M786">
        <f>Books[[#This Row],[AVERAGE RATING]]*Books[[#This Row],[RATINGS COUNT]]</f>
        <v>4</v>
      </c>
    </row>
    <row r="787" spans="1:13" x14ac:dyDescent="0.25">
      <c r="A787" t="s">
        <v>1820</v>
      </c>
      <c r="B787" t="s">
        <v>1821</v>
      </c>
      <c r="C787">
        <v>234</v>
      </c>
      <c r="D787" t="s">
        <v>79</v>
      </c>
      <c r="E787" t="s">
        <v>3660</v>
      </c>
      <c r="F787" t="s">
        <v>1822</v>
      </c>
      <c r="G787" t="s">
        <v>4</v>
      </c>
      <c r="H787">
        <v>0</v>
      </c>
      <c r="I787">
        <v>0</v>
      </c>
      <c r="J787">
        <v>2014</v>
      </c>
      <c r="K787" t="str">
        <f>IF(Books[[#This Row],[AVERAGE RATING]]&gt;=4,"High",IF(Books[[#This Row],[AVERAGE RATING]]&gt;=3,"Medium","Low"))</f>
        <v>Low</v>
      </c>
      <c r="L787" t="str">
        <f>IF(Books[[#This Row],[AVERAGE RATING]]&gt;10000,"Popular","Average")</f>
        <v>Average</v>
      </c>
      <c r="M787">
        <f>Books[[#This Row],[AVERAGE RATING]]*Books[[#This Row],[RATINGS COUNT]]</f>
        <v>0</v>
      </c>
    </row>
    <row r="788" spans="1:13" x14ac:dyDescent="0.25">
      <c r="A788" t="s">
        <v>1823</v>
      </c>
      <c r="B788" t="s">
        <v>1824</v>
      </c>
      <c r="C788">
        <v>248</v>
      </c>
      <c r="D788" t="s">
        <v>28</v>
      </c>
      <c r="E788" t="s">
        <v>3661</v>
      </c>
      <c r="F788" t="s">
        <v>1330</v>
      </c>
      <c r="G788" t="s">
        <v>4</v>
      </c>
      <c r="H788">
        <v>0</v>
      </c>
      <c r="I788">
        <v>0</v>
      </c>
      <c r="J788">
        <v>2007</v>
      </c>
      <c r="K788" t="str">
        <f>IF(Books[[#This Row],[AVERAGE RATING]]&gt;=4,"High",IF(Books[[#This Row],[AVERAGE RATING]]&gt;=3,"Medium","Low"))</f>
        <v>Low</v>
      </c>
      <c r="L788" t="str">
        <f>IF(Books[[#This Row],[AVERAGE RATING]]&gt;10000,"Popular","Average")</f>
        <v>Average</v>
      </c>
      <c r="M788">
        <f>Books[[#This Row],[AVERAGE RATING]]*Books[[#This Row],[RATINGS COUNT]]</f>
        <v>0</v>
      </c>
    </row>
    <row r="789" spans="1:13" x14ac:dyDescent="0.25">
      <c r="A789" t="s">
        <v>1825</v>
      </c>
      <c r="B789" t="s">
        <v>1826</v>
      </c>
      <c r="C789">
        <v>270</v>
      </c>
      <c r="D789" t="s">
        <v>118</v>
      </c>
      <c r="E789" t="s">
        <v>3662</v>
      </c>
      <c r="F789" t="s">
        <v>132</v>
      </c>
      <c r="G789" t="s">
        <v>4</v>
      </c>
      <c r="H789">
        <v>0</v>
      </c>
      <c r="I789">
        <v>0</v>
      </c>
      <c r="J789">
        <v>2013</v>
      </c>
      <c r="K789" t="str">
        <f>IF(Books[[#This Row],[AVERAGE RATING]]&gt;=4,"High",IF(Books[[#This Row],[AVERAGE RATING]]&gt;=3,"Medium","Low"))</f>
        <v>Low</v>
      </c>
      <c r="L789" t="str">
        <f>IF(Books[[#This Row],[AVERAGE RATING]]&gt;10000,"Popular","Average")</f>
        <v>Average</v>
      </c>
      <c r="M789">
        <f>Books[[#This Row],[AVERAGE RATING]]*Books[[#This Row],[RATINGS COUNT]]</f>
        <v>0</v>
      </c>
    </row>
    <row r="790" spans="1:13" x14ac:dyDescent="0.25">
      <c r="A790" t="s">
        <v>1827</v>
      </c>
      <c r="B790" t="s">
        <v>1828</v>
      </c>
      <c r="C790">
        <v>391</v>
      </c>
      <c r="D790" t="s">
        <v>118</v>
      </c>
      <c r="E790" t="s">
        <v>3663</v>
      </c>
      <c r="F790" t="s">
        <v>460</v>
      </c>
      <c r="G790" t="s">
        <v>4</v>
      </c>
      <c r="H790">
        <v>0</v>
      </c>
      <c r="I790">
        <v>0</v>
      </c>
      <c r="J790">
        <v>2007</v>
      </c>
      <c r="K790" t="str">
        <f>IF(Books[[#This Row],[AVERAGE RATING]]&gt;=4,"High",IF(Books[[#This Row],[AVERAGE RATING]]&gt;=3,"Medium","Low"))</f>
        <v>Low</v>
      </c>
      <c r="L790" t="str">
        <f>IF(Books[[#This Row],[AVERAGE RATING]]&gt;10000,"Popular","Average")</f>
        <v>Average</v>
      </c>
      <c r="M790">
        <f>Books[[#This Row],[AVERAGE RATING]]*Books[[#This Row],[RATINGS COUNT]]</f>
        <v>0</v>
      </c>
    </row>
    <row r="791" spans="1:13" x14ac:dyDescent="0.25">
      <c r="A791" t="s">
        <v>1829</v>
      </c>
      <c r="B791" t="s">
        <v>1830</v>
      </c>
      <c r="C791">
        <v>35</v>
      </c>
      <c r="D791" t="s">
        <v>207</v>
      </c>
      <c r="E791" t="s">
        <v>3559</v>
      </c>
      <c r="F791" t="s">
        <v>1545</v>
      </c>
      <c r="G791" t="s">
        <v>4</v>
      </c>
      <c r="H791">
        <v>0</v>
      </c>
      <c r="I791">
        <v>0</v>
      </c>
      <c r="J791">
        <v>2023</v>
      </c>
      <c r="K791" t="str">
        <f>IF(Books[[#This Row],[AVERAGE RATING]]&gt;=4,"High",IF(Books[[#This Row],[AVERAGE RATING]]&gt;=3,"Medium","Low"))</f>
        <v>Low</v>
      </c>
      <c r="L791" t="str">
        <f>IF(Books[[#This Row],[AVERAGE RATING]]&gt;10000,"Popular","Average")</f>
        <v>Average</v>
      </c>
      <c r="M791">
        <f>Books[[#This Row],[AVERAGE RATING]]*Books[[#This Row],[RATINGS COUNT]]</f>
        <v>0</v>
      </c>
    </row>
    <row r="792" spans="1:13" x14ac:dyDescent="0.25">
      <c r="A792" t="s">
        <v>1831</v>
      </c>
      <c r="B792" t="s">
        <v>1832</v>
      </c>
      <c r="C792">
        <v>196</v>
      </c>
      <c r="D792" t="s">
        <v>476</v>
      </c>
      <c r="E792" t="s">
        <v>3099</v>
      </c>
      <c r="F792" t="s">
        <v>901</v>
      </c>
      <c r="G792" t="s">
        <v>4</v>
      </c>
      <c r="H792">
        <v>0</v>
      </c>
      <c r="I792">
        <v>0</v>
      </c>
      <c r="J792">
        <v>2005</v>
      </c>
      <c r="K792" t="str">
        <f>IF(Books[[#This Row],[AVERAGE RATING]]&gt;=4,"High",IF(Books[[#This Row],[AVERAGE RATING]]&gt;=3,"Medium","Low"))</f>
        <v>Low</v>
      </c>
      <c r="L792" t="str">
        <f>IF(Books[[#This Row],[AVERAGE RATING]]&gt;10000,"Popular","Average")</f>
        <v>Average</v>
      </c>
      <c r="M792">
        <f>Books[[#This Row],[AVERAGE RATING]]*Books[[#This Row],[RATINGS COUNT]]</f>
        <v>0</v>
      </c>
    </row>
    <row r="793" spans="1:13" x14ac:dyDescent="0.25">
      <c r="A793" t="s">
        <v>1833</v>
      </c>
      <c r="B793" t="s">
        <v>1834</v>
      </c>
      <c r="C793">
        <v>322</v>
      </c>
      <c r="D793" t="s">
        <v>118</v>
      </c>
      <c r="E793" t="s">
        <v>3664</v>
      </c>
      <c r="F793" t="s">
        <v>1578</v>
      </c>
      <c r="G793" t="s">
        <v>4</v>
      </c>
      <c r="H793">
        <v>0</v>
      </c>
      <c r="I793">
        <v>0</v>
      </c>
      <c r="J793">
        <v>2012</v>
      </c>
      <c r="K793" t="str">
        <f>IF(Books[[#This Row],[AVERAGE RATING]]&gt;=4,"High",IF(Books[[#This Row],[AVERAGE RATING]]&gt;=3,"Medium","Low"))</f>
        <v>Low</v>
      </c>
      <c r="L793" t="str">
        <f>IF(Books[[#This Row],[AVERAGE RATING]]&gt;10000,"Popular","Average")</f>
        <v>Average</v>
      </c>
      <c r="M793">
        <f>Books[[#This Row],[AVERAGE RATING]]*Books[[#This Row],[RATINGS COUNT]]</f>
        <v>0</v>
      </c>
    </row>
    <row r="794" spans="1:13" x14ac:dyDescent="0.25">
      <c r="A794" t="s">
        <v>1835</v>
      </c>
      <c r="B794" t="s">
        <v>1836</v>
      </c>
      <c r="C794">
        <v>316</v>
      </c>
      <c r="D794" t="s">
        <v>118</v>
      </c>
      <c r="E794" t="s">
        <v>3658</v>
      </c>
      <c r="F794" t="s">
        <v>460</v>
      </c>
      <c r="G794" t="s">
        <v>4</v>
      </c>
      <c r="H794">
        <v>0</v>
      </c>
      <c r="I794">
        <v>0</v>
      </c>
      <c r="J794">
        <v>2012</v>
      </c>
      <c r="K794" t="str">
        <f>IF(Books[[#This Row],[AVERAGE RATING]]&gt;=4,"High",IF(Books[[#This Row],[AVERAGE RATING]]&gt;=3,"Medium","Low"))</f>
        <v>Low</v>
      </c>
      <c r="L794" t="str">
        <f>IF(Books[[#This Row],[AVERAGE RATING]]&gt;10000,"Popular","Average")</f>
        <v>Average</v>
      </c>
      <c r="M794">
        <f>Books[[#This Row],[AVERAGE RATING]]*Books[[#This Row],[RATINGS COUNT]]</f>
        <v>0</v>
      </c>
    </row>
    <row r="795" spans="1:13" x14ac:dyDescent="0.25">
      <c r="A795" t="s">
        <v>1837</v>
      </c>
      <c r="B795" t="s">
        <v>1838</v>
      </c>
      <c r="C795">
        <v>311</v>
      </c>
      <c r="D795" t="s">
        <v>118</v>
      </c>
      <c r="E795" t="s">
        <v>3665</v>
      </c>
      <c r="F795" t="s">
        <v>460</v>
      </c>
      <c r="G795" t="s">
        <v>4</v>
      </c>
      <c r="H795">
        <v>0</v>
      </c>
      <c r="I795">
        <v>0</v>
      </c>
      <c r="J795">
        <v>2014</v>
      </c>
      <c r="K795" t="str">
        <f>IF(Books[[#This Row],[AVERAGE RATING]]&gt;=4,"High",IF(Books[[#This Row],[AVERAGE RATING]]&gt;=3,"Medium","Low"))</f>
        <v>Low</v>
      </c>
      <c r="L795" t="str">
        <f>IF(Books[[#This Row],[AVERAGE RATING]]&gt;10000,"Popular","Average")</f>
        <v>Average</v>
      </c>
      <c r="M795">
        <f>Books[[#This Row],[AVERAGE RATING]]*Books[[#This Row],[RATINGS COUNT]]</f>
        <v>0</v>
      </c>
    </row>
    <row r="796" spans="1:13" x14ac:dyDescent="0.25">
      <c r="A796" t="s">
        <v>1839</v>
      </c>
      <c r="B796" t="s">
        <v>1840</v>
      </c>
      <c r="C796">
        <v>583</v>
      </c>
      <c r="D796" t="s">
        <v>11</v>
      </c>
      <c r="E796" t="s">
        <v>3666</v>
      </c>
      <c r="F796" t="s">
        <v>1203</v>
      </c>
      <c r="G796" t="s">
        <v>4</v>
      </c>
      <c r="H796">
        <v>0</v>
      </c>
      <c r="I796">
        <v>0</v>
      </c>
      <c r="J796">
        <v>2009</v>
      </c>
      <c r="K796" t="str">
        <f>IF(Books[[#This Row],[AVERAGE RATING]]&gt;=4,"High",IF(Books[[#This Row],[AVERAGE RATING]]&gt;=3,"Medium","Low"))</f>
        <v>Low</v>
      </c>
      <c r="L796" t="str">
        <f>IF(Books[[#This Row],[AVERAGE RATING]]&gt;10000,"Popular","Average")</f>
        <v>Average</v>
      </c>
      <c r="M796">
        <f>Books[[#This Row],[AVERAGE RATING]]*Books[[#This Row],[RATINGS COUNT]]</f>
        <v>0</v>
      </c>
    </row>
    <row r="797" spans="1:13" x14ac:dyDescent="0.25">
      <c r="A797" t="s">
        <v>1841</v>
      </c>
      <c r="B797" t="s">
        <v>1842</v>
      </c>
      <c r="C797">
        <v>177</v>
      </c>
      <c r="D797" t="s">
        <v>11</v>
      </c>
      <c r="E797" t="s">
        <v>3667</v>
      </c>
      <c r="F797" t="s">
        <v>100</v>
      </c>
      <c r="G797" t="s">
        <v>4</v>
      </c>
      <c r="H797">
        <v>0</v>
      </c>
      <c r="I797">
        <v>0</v>
      </c>
      <c r="J797">
        <v>2017</v>
      </c>
      <c r="K797" t="str">
        <f>IF(Books[[#This Row],[AVERAGE RATING]]&gt;=4,"High",IF(Books[[#This Row],[AVERAGE RATING]]&gt;=3,"Medium","Low"))</f>
        <v>Low</v>
      </c>
      <c r="L797" t="str">
        <f>IF(Books[[#This Row],[AVERAGE RATING]]&gt;10000,"Popular","Average")</f>
        <v>Average</v>
      </c>
      <c r="M797">
        <f>Books[[#This Row],[AVERAGE RATING]]*Books[[#This Row],[RATINGS COUNT]]</f>
        <v>0</v>
      </c>
    </row>
    <row r="798" spans="1:13" x14ac:dyDescent="0.25">
      <c r="A798" t="s">
        <v>1843</v>
      </c>
      <c r="B798" t="s">
        <v>1844</v>
      </c>
      <c r="C798">
        <v>268</v>
      </c>
      <c r="D798" t="s">
        <v>45</v>
      </c>
      <c r="E798" t="s">
        <v>3055</v>
      </c>
      <c r="F798" t="s">
        <v>1845</v>
      </c>
      <c r="G798" t="s">
        <v>4</v>
      </c>
      <c r="H798">
        <v>0</v>
      </c>
      <c r="I798">
        <v>0</v>
      </c>
      <c r="J798">
        <v>2004</v>
      </c>
      <c r="K798" t="str">
        <f>IF(Books[[#This Row],[AVERAGE RATING]]&gt;=4,"High",IF(Books[[#This Row],[AVERAGE RATING]]&gt;=3,"Medium","Low"))</f>
        <v>Low</v>
      </c>
      <c r="L798" t="str">
        <f>IF(Books[[#This Row],[AVERAGE RATING]]&gt;10000,"Popular","Average")</f>
        <v>Average</v>
      </c>
      <c r="M798">
        <f>Books[[#This Row],[AVERAGE RATING]]*Books[[#This Row],[RATINGS COUNT]]</f>
        <v>0</v>
      </c>
    </row>
    <row r="799" spans="1:13" x14ac:dyDescent="0.25">
      <c r="A799" t="s">
        <v>1846</v>
      </c>
      <c r="B799" t="s">
        <v>1847</v>
      </c>
      <c r="C799">
        <v>289</v>
      </c>
      <c r="D799" t="s">
        <v>118</v>
      </c>
      <c r="E799" t="s">
        <v>3668</v>
      </c>
      <c r="F799" t="s">
        <v>122</v>
      </c>
      <c r="G799" t="s">
        <v>4</v>
      </c>
      <c r="H799">
        <v>0</v>
      </c>
      <c r="I799">
        <v>0</v>
      </c>
      <c r="J799">
        <v>2021</v>
      </c>
      <c r="K799" t="str">
        <f>IF(Books[[#This Row],[AVERAGE RATING]]&gt;=4,"High",IF(Books[[#This Row],[AVERAGE RATING]]&gt;=3,"Medium","Low"))</f>
        <v>Low</v>
      </c>
      <c r="L799" t="str">
        <f>IF(Books[[#This Row],[AVERAGE RATING]]&gt;10000,"Popular","Average")</f>
        <v>Average</v>
      </c>
      <c r="M799">
        <f>Books[[#This Row],[AVERAGE RATING]]*Books[[#This Row],[RATINGS COUNT]]</f>
        <v>0</v>
      </c>
    </row>
    <row r="800" spans="1:13" x14ac:dyDescent="0.25">
      <c r="A800" t="s">
        <v>1848</v>
      </c>
      <c r="B800" t="s">
        <v>1849</v>
      </c>
      <c r="C800">
        <v>349</v>
      </c>
      <c r="D800" t="s">
        <v>118</v>
      </c>
      <c r="E800" t="s">
        <v>3669</v>
      </c>
      <c r="F800" t="s">
        <v>122</v>
      </c>
      <c r="G800" t="s">
        <v>4</v>
      </c>
      <c r="H800">
        <v>0</v>
      </c>
      <c r="I800">
        <v>0</v>
      </c>
      <c r="J800">
        <v>2023</v>
      </c>
      <c r="K800" t="str">
        <f>IF(Books[[#This Row],[AVERAGE RATING]]&gt;=4,"High",IF(Books[[#This Row],[AVERAGE RATING]]&gt;=3,"Medium","Low"))</f>
        <v>Low</v>
      </c>
      <c r="L800" t="str">
        <f>IF(Books[[#This Row],[AVERAGE RATING]]&gt;10000,"Popular","Average")</f>
        <v>Average</v>
      </c>
      <c r="M800">
        <f>Books[[#This Row],[AVERAGE RATING]]*Books[[#This Row],[RATINGS COUNT]]</f>
        <v>0</v>
      </c>
    </row>
    <row r="801" spans="1:13" x14ac:dyDescent="0.25">
      <c r="A801" t="s">
        <v>1850</v>
      </c>
      <c r="B801" t="s">
        <v>1851</v>
      </c>
      <c r="C801">
        <v>100</v>
      </c>
      <c r="D801" t="s">
        <v>118</v>
      </c>
      <c r="E801" t="s">
        <v>3670</v>
      </c>
      <c r="F801" t="s">
        <v>348</v>
      </c>
      <c r="G801" t="s">
        <v>4</v>
      </c>
      <c r="H801">
        <v>0</v>
      </c>
      <c r="I801">
        <v>0</v>
      </c>
      <c r="J801">
        <v>2025</v>
      </c>
      <c r="K801" t="str">
        <f>IF(Books[[#This Row],[AVERAGE RATING]]&gt;=4,"High",IF(Books[[#This Row],[AVERAGE RATING]]&gt;=3,"Medium","Low"))</f>
        <v>Low</v>
      </c>
      <c r="L801" t="str">
        <f>IF(Books[[#This Row],[AVERAGE RATING]]&gt;10000,"Popular","Average")</f>
        <v>Average</v>
      </c>
      <c r="M801">
        <f>Books[[#This Row],[AVERAGE RATING]]*Books[[#This Row],[RATINGS COUNT]]</f>
        <v>0</v>
      </c>
    </row>
    <row r="802" spans="1:13" x14ac:dyDescent="0.25">
      <c r="A802" t="s">
        <v>1852</v>
      </c>
      <c r="B802" t="s">
        <v>1853</v>
      </c>
      <c r="C802">
        <v>280</v>
      </c>
      <c r="D802" t="s">
        <v>476</v>
      </c>
      <c r="E802" t="s">
        <v>3671</v>
      </c>
      <c r="F802" t="s">
        <v>39</v>
      </c>
      <c r="G802" t="s">
        <v>4</v>
      </c>
      <c r="H802">
        <v>0</v>
      </c>
      <c r="I802">
        <v>0</v>
      </c>
      <c r="J802">
        <v>2009</v>
      </c>
      <c r="K802" t="str">
        <f>IF(Books[[#This Row],[AVERAGE RATING]]&gt;=4,"High",IF(Books[[#This Row],[AVERAGE RATING]]&gt;=3,"Medium","Low"))</f>
        <v>Low</v>
      </c>
      <c r="L802" t="str">
        <f>IF(Books[[#This Row],[AVERAGE RATING]]&gt;10000,"Popular","Average")</f>
        <v>Average</v>
      </c>
      <c r="M802">
        <f>Books[[#This Row],[AVERAGE RATING]]*Books[[#This Row],[RATINGS COUNT]]</f>
        <v>0</v>
      </c>
    </row>
    <row r="803" spans="1:13" x14ac:dyDescent="0.25">
      <c r="A803" t="s">
        <v>1827</v>
      </c>
      <c r="B803" t="s">
        <v>1851</v>
      </c>
      <c r="C803">
        <v>171</v>
      </c>
      <c r="D803" t="s">
        <v>118</v>
      </c>
      <c r="E803" t="s">
        <v>3672</v>
      </c>
      <c r="F803" t="s">
        <v>348</v>
      </c>
      <c r="G803" t="s">
        <v>4</v>
      </c>
      <c r="H803">
        <v>0</v>
      </c>
      <c r="I803">
        <v>0</v>
      </c>
      <c r="J803">
        <v>2025</v>
      </c>
      <c r="K803" t="str">
        <f>IF(Books[[#This Row],[AVERAGE RATING]]&gt;=4,"High",IF(Books[[#This Row],[AVERAGE RATING]]&gt;=3,"Medium","Low"))</f>
        <v>Low</v>
      </c>
      <c r="L803" t="str">
        <f>IF(Books[[#This Row],[AVERAGE RATING]]&gt;10000,"Popular","Average")</f>
        <v>Average</v>
      </c>
      <c r="M803">
        <f>Books[[#This Row],[AVERAGE RATING]]*Books[[#This Row],[RATINGS COUNT]]</f>
        <v>0</v>
      </c>
    </row>
    <row r="804" spans="1:13" x14ac:dyDescent="0.25">
      <c r="A804" t="s">
        <v>1854</v>
      </c>
      <c r="B804" t="s">
        <v>1855</v>
      </c>
      <c r="C804">
        <v>380</v>
      </c>
      <c r="D804" t="s">
        <v>63</v>
      </c>
      <c r="E804" t="s">
        <v>3284</v>
      </c>
      <c r="F804" t="s">
        <v>1856</v>
      </c>
      <c r="G804" t="s">
        <v>4</v>
      </c>
      <c r="H804">
        <v>0</v>
      </c>
      <c r="I804">
        <v>0</v>
      </c>
      <c r="J804">
        <v>1997</v>
      </c>
      <c r="K804" t="str">
        <f>IF(Books[[#This Row],[AVERAGE RATING]]&gt;=4,"High",IF(Books[[#This Row],[AVERAGE RATING]]&gt;=3,"Medium","Low"))</f>
        <v>Low</v>
      </c>
      <c r="L804" t="str">
        <f>IF(Books[[#This Row],[AVERAGE RATING]]&gt;10000,"Popular","Average")</f>
        <v>Average</v>
      </c>
      <c r="M804">
        <f>Books[[#This Row],[AVERAGE RATING]]*Books[[#This Row],[RATINGS COUNT]]</f>
        <v>0</v>
      </c>
    </row>
    <row r="805" spans="1:13" x14ac:dyDescent="0.25">
      <c r="A805" t="s">
        <v>1857</v>
      </c>
      <c r="B805" t="s">
        <v>1858</v>
      </c>
      <c r="C805">
        <v>445</v>
      </c>
      <c r="D805" t="s">
        <v>118</v>
      </c>
      <c r="E805" t="s">
        <v>3673</v>
      </c>
      <c r="F805" t="s">
        <v>403</v>
      </c>
      <c r="G805" t="s">
        <v>4</v>
      </c>
      <c r="H805">
        <v>0</v>
      </c>
      <c r="I805">
        <v>0</v>
      </c>
      <c r="J805">
        <v>2023</v>
      </c>
      <c r="K805" t="str">
        <f>IF(Books[[#This Row],[AVERAGE RATING]]&gt;=4,"High",IF(Books[[#This Row],[AVERAGE RATING]]&gt;=3,"Medium","Low"))</f>
        <v>Low</v>
      </c>
      <c r="L805" t="str">
        <f>IF(Books[[#This Row],[AVERAGE RATING]]&gt;10000,"Popular","Average")</f>
        <v>Average</v>
      </c>
      <c r="M805">
        <f>Books[[#This Row],[AVERAGE RATING]]*Books[[#This Row],[RATINGS COUNT]]</f>
        <v>0</v>
      </c>
    </row>
    <row r="806" spans="1:13" x14ac:dyDescent="0.25">
      <c r="A806" t="s">
        <v>1859</v>
      </c>
      <c r="B806" t="s">
        <v>1860</v>
      </c>
      <c r="C806">
        <v>342</v>
      </c>
      <c r="D806" t="s">
        <v>118</v>
      </c>
      <c r="E806" t="s">
        <v>3674</v>
      </c>
      <c r="F806" t="s">
        <v>119</v>
      </c>
      <c r="G806" t="s">
        <v>4</v>
      </c>
      <c r="H806">
        <v>0</v>
      </c>
      <c r="I806">
        <v>0</v>
      </c>
      <c r="J806">
        <v>2020</v>
      </c>
      <c r="K806" t="str">
        <f>IF(Books[[#This Row],[AVERAGE RATING]]&gt;=4,"High",IF(Books[[#This Row],[AVERAGE RATING]]&gt;=3,"Medium","Low"))</f>
        <v>Low</v>
      </c>
      <c r="L806" t="str">
        <f>IF(Books[[#This Row],[AVERAGE RATING]]&gt;10000,"Popular","Average")</f>
        <v>Average</v>
      </c>
      <c r="M806">
        <f>Books[[#This Row],[AVERAGE RATING]]*Books[[#This Row],[RATINGS COUNT]]</f>
        <v>0</v>
      </c>
    </row>
    <row r="807" spans="1:13" x14ac:dyDescent="0.25">
      <c r="A807" t="s">
        <v>1861</v>
      </c>
      <c r="B807" t="s">
        <v>1862</v>
      </c>
      <c r="C807">
        <v>362</v>
      </c>
      <c r="D807" t="s">
        <v>476</v>
      </c>
      <c r="E807" t="s">
        <v>3675</v>
      </c>
      <c r="F807" t="s">
        <v>122</v>
      </c>
      <c r="G807" t="s">
        <v>4</v>
      </c>
      <c r="H807">
        <v>4</v>
      </c>
      <c r="I807">
        <v>1</v>
      </c>
      <c r="J807">
        <v>2004</v>
      </c>
      <c r="K807" t="str">
        <f>IF(Books[[#This Row],[AVERAGE RATING]]&gt;=4,"High",IF(Books[[#This Row],[AVERAGE RATING]]&gt;=3,"Medium","Low"))</f>
        <v>High</v>
      </c>
      <c r="L807" t="str">
        <f>IF(Books[[#This Row],[AVERAGE RATING]]&gt;10000,"Popular","Average")</f>
        <v>Average</v>
      </c>
      <c r="M807">
        <f>Books[[#This Row],[AVERAGE RATING]]*Books[[#This Row],[RATINGS COUNT]]</f>
        <v>4</v>
      </c>
    </row>
    <row r="808" spans="1:13" x14ac:dyDescent="0.25">
      <c r="A808" t="s">
        <v>1863</v>
      </c>
      <c r="B808" t="s">
        <v>1864</v>
      </c>
      <c r="C808">
        <v>356</v>
      </c>
      <c r="D808" t="s">
        <v>476</v>
      </c>
      <c r="E808" t="s">
        <v>3676</v>
      </c>
      <c r="F808" t="s">
        <v>460</v>
      </c>
      <c r="G808" t="s">
        <v>4</v>
      </c>
      <c r="H808">
        <v>0</v>
      </c>
      <c r="I808">
        <v>0</v>
      </c>
      <c r="J808">
        <v>1997</v>
      </c>
      <c r="K808" t="str">
        <f>IF(Books[[#This Row],[AVERAGE RATING]]&gt;=4,"High",IF(Books[[#This Row],[AVERAGE RATING]]&gt;=3,"Medium","Low"))</f>
        <v>Low</v>
      </c>
      <c r="L808" t="str">
        <f>IF(Books[[#This Row],[AVERAGE RATING]]&gt;10000,"Popular","Average")</f>
        <v>Average</v>
      </c>
      <c r="M808">
        <f>Books[[#This Row],[AVERAGE RATING]]*Books[[#This Row],[RATINGS COUNT]]</f>
        <v>0</v>
      </c>
    </row>
    <row r="809" spans="1:13" x14ac:dyDescent="0.25">
      <c r="A809" t="s">
        <v>1865</v>
      </c>
      <c r="B809" t="s">
        <v>1866</v>
      </c>
      <c r="C809">
        <v>345</v>
      </c>
      <c r="D809" t="s">
        <v>420</v>
      </c>
      <c r="E809" t="s">
        <v>3677</v>
      </c>
      <c r="F809" t="s">
        <v>460</v>
      </c>
      <c r="G809" t="s">
        <v>4</v>
      </c>
      <c r="H809">
        <v>0</v>
      </c>
      <c r="I809">
        <v>0</v>
      </c>
      <c r="J809">
        <v>2013</v>
      </c>
      <c r="K809" t="str">
        <f>IF(Books[[#This Row],[AVERAGE RATING]]&gt;=4,"High",IF(Books[[#This Row],[AVERAGE RATING]]&gt;=3,"Medium","Low"))</f>
        <v>Low</v>
      </c>
      <c r="L809" t="str">
        <f>IF(Books[[#This Row],[AVERAGE RATING]]&gt;10000,"Popular","Average")</f>
        <v>Average</v>
      </c>
      <c r="M809">
        <f>Books[[#This Row],[AVERAGE RATING]]*Books[[#This Row],[RATINGS COUNT]]</f>
        <v>0</v>
      </c>
    </row>
    <row r="810" spans="1:13" x14ac:dyDescent="0.25">
      <c r="A810" t="s">
        <v>1868</v>
      </c>
      <c r="B810" t="s">
        <v>1869</v>
      </c>
      <c r="C810">
        <v>206</v>
      </c>
      <c r="D810" t="s">
        <v>406</v>
      </c>
      <c r="E810" t="s">
        <v>3078</v>
      </c>
      <c r="F810" t="s">
        <v>264</v>
      </c>
      <c r="G810" t="s">
        <v>4</v>
      </c>
      <c r="H810">
        <v>0</v>
      </c>
      <c r="I810">
        <v>0</v>
      </c>
      <c r="J810">
        <v>1999</v>
      </c>
      <c r="K810" t="str">
        <f>IF(Books[[#This Row],[AVERAGE RATING]]&gt;=4,"High",IF(Books[[#This Row],[AVERAGE RATING]]&gt;=3,"Medium","Low"))</f>
        <v>Low</v>
      </c>
      <c r="L810" t="str">
        <f>IF(Books[[#This Row],[AVERAGE RATING]]&gt;10000,"Popular","Average")</f>
        <v>Average</v>
      </c>
      <c r="M810">
        <f>Books[[#This Row],[AVERAGE RATING]]*Books[[#This Row],[RATINGS COUNT]]</f>
        <v>0</v>
      </c>
    </row>
    <row r="811" spans="1:13" x14ac:dyDescent="0.25">
      <c r="A811" t="s">
        <v>1870</v>
      </c>
      <c r="B811" t="s">
        <v>1871</v>
      </c>
      <c r="C811">
        <v>69</v>
      </c>
      <c r="D811" t="s">
        <v>118</v>
      </c>
      <c r="E811" t="s">
        <v>3260</v>
      </c>
      <c r="F811" t="s">
        <v>1867</v>
      </c>
      <c r="G811" t="s">
        <v>4</v>
      </c>
      <c r="H811">
        <v>0</v>
      </c>
      <c r="I811">
        <v>0</v>
      </c>
      <c r="J811">
        <v>1982</v>
      </c>
      <c r="K811" t="str">
        <f>IF(Books[[#This Row],[AVERAGE RATING]]&gt;=4,"High",IF(Books[[#This Row],[AVERAGE RATING]]&gt;=3,"Medium","Low"))</f>
        <v>Low</v>
      </c>
      <c r="L811" t="str">
        <f>IF(Books[[#This Row],[AVERAGE RATING]]&gt;10000,"Popular","Average")</f>
        <v>Average</v>
      </c>
      <c r="M811">
        <f>Books[[#This Row],[AVERAGE RATING]]*Books[[#This Row],[RATINGS COUNT]]</f>
        <v>0</v>
      </c>
    </row>
    <row r="812" spans="1:13" x14ac:dyDescent="0.25">
      <c r="A812" t="s">
        <v>1872</v>
      </c>
      <c r="B812" t="s">
        <v>1873</v>
      </c>
      <c r="C812">
        <v>309</v>
      </c>
      <c r="D812" t="s">
        <v>420</v>
      </c>
      <c r="E812" t="s">
        <v>3678</v>
      </c>
      <c r="F812" t="s">
        <v>403</v>
      </c>
      <c r="G812" t="s">
        <v>4</v>
      </c>
      <c r="H812">
        <v>0</v>
      </c>
      <c r="I812">
        <v>0</v>
      </c>
      <c r="J812">
        <v>2023</v>
      </c>
      <c r="K812" t="str">
        <f>IF(Books[[#This Row],[AVERAGE RATING]]&gt;=4,"High",IF(Books[[#This Row],[AVERAGE RATING]]&gt;=3,"Medium","Low"))</f>
        <v>Low</v>
      </c>
      <c r="L812" t="str">
        <f>IF(Books[[#This Row],[AVERAGE RATING]]&gt;10000,"Popular","Average")</f>
        <v>Average</v>
      </c>
      <c r="M812">
        <f>Books[[#This Row],[AVERAGE RATING]]*Books[[#This Row],[RATINGS COUNT]]</f>
        <v>0</v>
      </c>
    </row>
    <row r="813" spans="1:13" x14ac:dyDescent="0.25">
      <c r="A813" t="s">
        <v>1874</v>
      </c>
      <c r="B813" t="s">
        <v>1875</v>
      </c>
      <c r="C813">
        <v>484</v>
      </c>
      <c r="D813" t="s">
        <v>15</v>
      </c>
      <c r="E813" t="s">
        <v>3295</v>
      </c>
      <c r="F813" t="s">
        <v>1876</v>
      </c>
      <c r="G813" t="s">
        <v>4</v>
      </c>
      <c r="H813">
        <v>0</v>
      </c>
      <c r="I813">
        <v>0</v>
      </c>
      <c r="J813">
        <v>1989</v>
      </c>
      <c r="K813" t="str">
        <f>IF(Books[[#This Row],[AVERAGE RATING]]&gt;=4,"High",IF(Books[[#This Row],[AVERAGE RATING]]&gt;=3,"Medium","Low"))</f>
        <v>Low</v>
      </c>
      <c r="L813" t="str">
        <f>IF(Books[[#This Row],[AVERAGE RATING]]&gt;10000,"Popular","Average")</f>
        <v>Average</v>
      </c>
      <c r="M813">
        <f>Books[[#This Row],[AVERAGE RATING]]*Books[[#This Row],[RATINGS COUNT]]</f>
        <v>0</v>
      </c>
    </row>
    <row r="814" spans="1:13" x14ac:dyDescent="0.25">
      <c r="A814" t="s">
        <v>1877</v>
      </c>
      <c r="B814" t="s">
        <v>1878</v>
      </c>
      <c r="C814">
        <v>516</v>
      </c>
      <c r="D814" t="s">
        <v>1879</v>
      </c>
      <c r="E814" t="s">
        <v>3149</v>
      </c>
      <c r="F814" t="s">
        <v>1880</v>
      </c>
      <c r="G814" t="s">
        <v>4</v>
      </c>
      <c r="H814">
        <v>0</v>
      </c>
      <c r="I814">
        <v>0</v>
      </c>
      <c r="J814">
        <v>2009</v>
      </c>
      <c r="K814" t="str">
        <f>IF(Books[[#This Row],[AVERAGE RATING]]&gt;=4,"High",IF(Books[[#This Row],[AVERAGE RATING]]&gt;=3,"Medium","Low"))</f>
        <v>Low</v>
      </c>
      <c r="L814" t="str">
        <f>IF(Books[[#This Row],[AVERAGE RATING]]&gt;10000,"Popular","Average")</f>
        <v>Average</v>
      </c>
      <c r="M814">
        <f>Books[[#This Row],[AVERAGE RATING]]*Books[[#This Row],[RATINGS COUNT]]</f>
        <v>0</v>
      </c>
    </row>
    <row r="815" spans="1:13" x14ac:dyDescent="0.25">
      <c r="A815" t="s">
        <v>1881</v>
      </c>
      <c r="B815" t="s">
        <v>1882</v>
      </c>
      <c r="C815">
        <v>786</v>
      </c>
      <c r="D815" t="s">
        <v>298</v>
      </c>
      <c r="E815" t="s">
        <v>3055</v>
      </c>
      <c r="F815" t="s">
        <v>1883</v>
      </c>
      <c r="G815" t="s">
        <v>4</v>
      </c>
      <c r="H815">
        <v>0</v>
      </c>
      <c r="I815">
        <v>0</v>
      </c>
      <c r="J815">
        <v>2004</v>
      </c>
      <c r="K815" t="str">
        <f>IF(Books[[#This Row],[AVERAGE RATING]]&gt;=4,"High",IF(Books[[#This Row],[AVERAGE RATING]]&gt;=3,"Medium","Low"))</f>
        <v>Low</v>
      </c>
      <c r="L815" t="str">
        <f>IF(Books[[#This Row],[AVERAGE RATING]]&gt;10000,"Popular","Average")</f>
        <v>Average</v>
      </c>
      <c r="M815">
        <f>Books[[#This Row],[AVERAGE RATING]]*Books[[#This Row],[RATINGS COUNT]]</f>
        <v>0</v>
      </c>
    </row>
    <row r="816" spans="1:13" x14ac:dyDescent="0.25">
      <c r="A816" t="s">
        <v>1884</v>
      </c>
      <c r="B816" t="s">
        <v>1885</v>
      </c>
      <c r="C816">
        <v>856</v>
      </c>
      <c r="D816" t="s">
        <v>597</v>
      </c>
      <c r="E816" t="s">
        <v>3287</v>
      </c>
      <c r="F816" t="s">
        <v>1886</v>
      </c>
      <c r="G816" t="s">
        <v>4</v>
      </c>
      <c r="H816">
        <v>0</v>
      </c>
      <c r="I816">
        <v>0</v>
      </c>
      <c r="J816">
        <v>2010</v>
      </c>
      <c r="K816" t="str">
        <f>IF(Books[[#This Row],[AVERAGE RATING]]&gt;=4,"High",IF(Books[[#This Row],[AVERAGE RATING]]&gt;=3,"Medium","Low"))</f>
        <v>Low</v>
      </c>
      <c r="L816" t="str">
        <f>IF(Books[[#This Row],[AVERAGE RATING]]&gt;10000,"Popular","Average")</f>
        <v>Average</v>
      </c>
      <c r="M816">
        <f>Books[[#This Row],[AVERAGE RATING]]*Books[[#This Row],[RATINGS COUNT]]</f>
        <v>0</v>
      </c>
    </row>
    <row r="817" spans="1:13" x14ac:dyDescent="0.25">
      <c r="A817" t="s">
        <v>1887</v>
      </c>
      <c r="B817" t="s">
        <v>1888</v>
      </c>
      <c r="C817">
        <v>187</v>
      </c>
      <c r="D817" t="s">
        <v>125</v>
      </c>
      <c r="E817" t="s">
        <v>3671</v>
      </c>
      <c r="F817" t="s">
        <v>39</v>
      </c>
      <c r="G817" t="s">
        <v>4</v>
      </c>
      <c r="H817">
        <v>0</v>
      </c>
      <c r="I817">
        <v>0</v>
      </c>
      <c r="J817">
        <v>2009</v>
      </c>
      <c r="K817" t="str">
        <f>IF(Books[[#This Row],[AVERAGE RATING]]&gt;=4,"High",IF(Books[[#This Row],[AVERAGE RATING]]&gt;=3,"Medium","Low"))</f>
        <v>Low</v>
      </c>
      <c r="L817" t="str">
        <f>IF(Books[[#This Row],[AVERAGE RATING]]&gt;10000,"Popular","Average")</f>
        <v>Average</v>
      </c>
      <c r="M817">
        <f>Books[[#This Row],[AVERAGE RATING]]*Books[[#This Row],[RATINGS COUNT]]</f>
        <v>0</v>
      </c>
    </row>
    <row r="818" spans="1:13" x14ac:dyDescent="0.25">
      <c r="A818" t="s">
        <v>1889</v>
      </c>
      <c r="B818" t="s">
        <v>1890</v>
      </c>
      <c r="C818">
        <v>874</v>
      </c>
      <c r="D818" t="s">
        <v>1891</v>
      </c>
      <c r="E818" t="s">
        <v>3101</v>
      </c>
      <c r="F818" t="s">
        <v>1886</v>
      </c>
      <c r="G818" t="s">
        <v>4</v>
      </c>
      <c r="H818">
        <v>0</v>
      </c>
      <c r="I818">
        <v>0</v>
      </c>
      <c r="J818">
        <v>2000</v>
      </c>
      <c r="K818" t="str">
        <f>IF(Books[[#This Row],[AVERAGE RATING]]&gt;=4,"High",IF(Books[[#This Row],[AVERAGE RATING]]&gt;=3,"Medium","Low"))</f>
        <v>Low</v>
      </c>
      <c r="L818" t="str">
        <f>IF(Books[[#This Row],[AVERAGE RATING]]&gt;10000,"Popular","Average")</f>
        <v>Average</v>
      </c>
      <c r="M818">
        <f>Books[[#This Row],[AVERAGE RATING]]*Books[[#This Row],[RATINGS COUNT]]</f>
        <v>0</v>
      </c>
    </row>
    <row r="819" spans="1:13" x14ac:dyDescent="0.25">
      <c r="A819" t="s">
        <v>1892</v>
      </c>
      <c r="B819" t="s">
        <v>1893</v>
      </c>
      <c r="C819">
        <v>702</v>
      </c>
      <c r="D819" t="s">
        <v>420</v>
      </c>
      <c r="E819" t="s">
        <v>3679</v>
      </c>
      <c r="F819" t="s">
        <v>403</v>
      </c>
      <c r="G819" t="s">
        <v>4</v>
      </c>
      <c r="H819">
        <v>0</v>
      </c>
      <c r="I819">
        <v>0</v>
      </c>
      <c r="J819">
        <v>2013</v>
      </c>
      <c r="K819" t="str">
        <f>IF(Books[[#This Row],[AVERAGE RATING]]&gt;=4,"High",IF(Books[[#This Row],[AVERAGE RATING]]&gt;=3,"Medium","Low"))</f>
        <v>Low</v>
      </c>
      <c r="L819" t="str">
        <f>IF(Books[[#This Row],[AVERAGE RATING]]&gt;10000,"Popular","Average")</f>
        <v>Average</v>
      </c>
      <c r="M819">
        <f>Books[[#This Row],[AVERAGE RATING]]*Books[[#This Row],[RATINGS COUNT]]</f>
        <v>0</v>
      </c>
    </row>
    <row r="820" spans="1:13" x14ac:dyDescent="0.25">
      <c r="A820" t="s">
        <v>1894</v>
      </c>
      <c r="B820" t="s">
        <v>1895</v>
      </c>
      <c r="C820">
        <v>344</v>
      </c>
      <c r="D820" t="s">
        <v>420</v>
      </c>
      <c r="E820" t="s">
        <v>3680</v>
      </c>
      <c r="F820" t="s">
        <v>1896</v>
      </c>
      <c r="G820" t="s">
        <v>4</v>
      </c>
      <c r="H820">
        <v>0</v>
      </c>
      <c r="I820">
        <v>0</v>
      </c>
      <c r="J820">
        <v>2009</v>
      </c>
      <c r="K820" t="str">
        <f>IF(Books[[#This Row],[AVERAGE RATING]]&gt;=4,"High",IF(Books[[#This Row],[AVERAGE RATING]]&gt;=3,"Medium","Low"))</f>
        <v>Low</v>
      </c>
      <c r="L820" t="str">
        <f>IF(Books[[#This Row],[AVERAGE RATING]]&gt;10000,"Popular","Average")</f>
        <v>Average</v>
      </c>
      <c r="M820">
        <f>Books[[#This Row],[AVERAGE RATING]]*Books[[#This Row],[RATINGS COUNT]]</f>
        <v>0</v>
      </c>
    </row>
    <row r="821" spans="1:13" x14ac:dyDescent="0.25">
      <c r="A821" t="s">
        <v>1897</v>
      </c>
      <c r="B821" t="s">
        <v>1898</v>
      </c>
      <c r="C821">
        <v>658</v>
      </c>
      <c r="D821" t="s">
        <v>420</v>
      </c>
      <c r="E821" t="s">
        <v>3681</v>
      </c>
      <c r="F821" t="s">
        <v>132</v>
      </c>
      <c r="G821" t="s">
        <v>4</v>
      </c>
      <c r="H821">
        <v>0</v>
      </c>
      <c r="I821">
        <v>0</v>
      </c>
      <c r="J821">
        <v>2010</v>
      </c>
      <c r="K821" t="str">
        <f>IF(Books[[#This Row],[AVERAGE RATING]]&gt;=4,"High",IF(Books[[#This Row],[AVERAGE RATING]]&gt;=3,"Medium","Low"))</f>
        <v>Low</v>
      </c>
      <c r="L821" t="str">
        <f>IF(Books[[#This Row],[AVERAGE RATING]]&gt;10000,"Popular","Average")</f>
        <v>Average</v>
      </c>
      <c r="M821">
        <f>Books[[#This Row],[AVERAGE RATING]]*Books[[#This Row],[RATINGS COUNT]]</f>
        <v>0</v>
      </c>
    </row>
    <row r="822" spans="1:13" x14ac:dyDescent="0.25">
      <c r="A822" t="s">
        <v>1899</v>
      </c>
      <c r="B822" t="s">
        <v>1900</v>
      </c>
      <c r="C822">
        <v>448</v>
      </c>
      <c r="D822" t="s">
        <v>406</v>
      </c>
      <c r="E822" t="s">
        <v>3682</v>
      </c>
      <c r="F822" t="s">
        <v>119</v>
      </c>
      <c r="G822" t="s">
        <v>4</v>
      </c>
      <c r="H822">
        <v>0</v>
      </c>
      <c r="I822">
        <v>0</v>
      </c>
      <c r="J822">
        <v>2023</v>
      </c>
      <c r="K822" t="str">
        <f>IF(Books[[#This Row],[AVERAGE RATING]]&gt;=4,"High",IF(Books[[#This Row],[AVERAGE RATING]]&gt;=3,"Medium","Low"))</f>
        <v>Low</v>
      </c>
      <c r="L822" t="str">
        <f>IF(Books[[#This Row],[AVERAGE RATING]]&gt;10000,"Popular","Average")</f>
        <v>Average</v>
      </c>
      <c r="M822">
        <f>Books[[#This Row],[AVERAGE RATING]]*Books[[#This Row],[RATINGS COUNT]]</f>
        <v>0</v>
      </c>
    </row>
    <row r="823" spans="1:13" x14ac:dyDescent="0.25">
      <c r="A823" t="s">
        <v>1901</v>
      </c>
      <c r="B823" t="s">
        <v>1902</v>
      </c>
      <c r="C823">
        <v>336</v>
      </c>
      <c r="D823" t="s">
        <v>298</v>
      </c>
      <c r="E823" t="s">
        <v>3683</v>
      </c>
      <c r="F823" t="s">
        <v>132</v>
      </c>
      <c r="G823" t="s">
        <v>4</v>
      </c>
      <c r="H823">
        <v>0</v>
      </c>
      <c r="I823">
        <v>0</v>
      </c>
      <c r="J823">
        <v>2003</v>
      </c>
      <c r="K823" t="str">
        <f>IF(Books[[#This Row],[AVERAGE RATING]]&gt;=4,"High",IF(Books[[#This Row],[AVERAGE RATING]]&gt;=3,"Medium","Low"))</f>
        <v>Low</v>
      </c>
      <c r="L823" t="str">
        <f>IF(Books[[#This Row],[AVERAGE RATING]]&gt;10000,"Popular","Average")</f>
        <v>Average</v>
      </c>
      <c r="M823">
        <f>Books[[#This Row],[AVERAGE RATING]]*Books[[#This Row],[RATINGS COUNT]]</f>
        <v>0</v>
      </c>
    </row>
    <row r="824" spans="1:13" x14ac:dyDescent="0.25">
      <c r="A824" t="s">
        <v>1903</v>
      </c>
      <c r="B824" t="s">
        <v>1904</v>
      </c>
      <c r="C824">
        <v>258</v>
      </c>
      <c r="D824" t="s">
        <v>420</v>
      </c>
      <c r="E824" t="s">
        <v>3684</v>
      </c>
      <c r="F824" t="s">
        <v>403</v>
      </c>
      <c r="G824" t="s">
        <v>4</v>
      </c>
      <c r="H824">
        <v>0</v>
      </c>
      <c r="I824">
        <v>0</v>
      </c>
      <c r="J824">
        <v>2010</v>
      </c>
      <c r="K824" t="str">
        <f>IF(Books[[#This Row],[AVERAGE RATING]]&gt;=4,"High",IF(Books[[#This Row],[AVERAGE RATING]]&gt;=3,"Medium","Low"))</f>
        <v>Low</v>
      </c>
      <c r="L824" t="str">
        <f>IF(Books[[#This Row],[AVERAGE RATING]]&gt;10000,"Popular","Average")</f>
        <v>Average</v>
      </c>
      <c r="M824">
        <f>Books[[#This Row],[AVERAGE RATING]]*Books[[#This Row],[RATINGS COUNT]]</f>
        <v>0</v>
      </c>
    </row>
    <row r="825" spans="1:13" x14ac:dyDescent="0.25">
      <c r="A825" t="s">
        <v>1905</v>
      </c>
      <c r="B825" t="s">
        <v>1906</v>
      </c>
      <c r="C825">
        <v>416</v>
      </c>
      <c r="D825" t="s">
        <v>406</v>
      </c>
      <c r="E825" t="s">
        <v>3685</v>
      </c>
      <c r="F825" t="s">
        <v>119</v>
      </c>
      <c r="G825" t="s">
        <v>4</v>
      </c>
      <c r="H825">
        <v>0</v>
      </c>
      <c r="I825">
        <v>0</v>
      </c>
      <c r="J825">
        <v>2020</v>
      </c>
      <c r="K825" t="str">
        <f>IF(Books[[#This Row],[AVERAGE RATING]]&gt;=4,"High",IF(Books[[#This Row],[AVERAGE RATING]]&gt;=3,"Medium","Low"))</f>
        <v>Low</v>
      </c>
      <c r="L825" t="str">
        <f>IF(Books[[#This Row],[AVERAGE RATING]]&gt;10000,"Popular","Average")</f>
        <v>Average</v>
      </c>
      <c r="M825">
        <f>Books[[#This Row],[AVERAGE RATING]]*Books[[#This Row],[RATINGS COUNT]]</f>
        <v>0</v>
      </c>
    </row>
    <row r="826" spans="1:13" x14ac:dyDescent="0.25">
      <c r="A826" t="s">
        <v>1907</v>
      </c>
      <c r="B826" t="s">
        <v>1908</v>
      </c>
      <c r="C826">
        <v>935</v>
      </c>
      <c r="D826" t="s">
        <v>420</v>
      </c>
      <c r="E826" t="s">
        <v>3486</v>
      </c>
      <c r="F826" t="s">
        <v>460</v>
      </c>
      <c r="G826" t="s">
        <v>4</v>
      </c>
      <c r="H826">
        <v>0</v>
      </c>
      <c r="I826">
        <v>0</v>
      </c>
      <c r="J826">
        <v>2012</v>
      </c>
      <c r="K826" t="str">
        <f>IF(Books[[#This Row],[AVERAGE RATING]]&gt;=4,"High",IF(Books[[#This Row],[AVERAGE RATING]]&gt;=3,"Medium","Low"))</f>
        <v>Low</v>
      </c>
      <c r="L826" t="str">
        <f>IF(Books[[#This Row],[AVERAGE RATING]]&gt;10000,"Popular","Average")</f>
        <v>Average</v>
      </c>
      <c r="M826">
        <f>Books[[#This Row],[AVERAGE RATING]]*Books[[#This Row],[RATINGS COUNT]]</f>
        <v>0</v>
      </c>
    </row>
    <row r="827" spans="1:13" x14ac:dyDescent="0.25">
      <c r="A827" t="s">
        <v>1909</v>
      </c>
      <c r="B827" t="s">
        <v>1910</v>
      </c>
      <c r="C827">
        <v>521</v>
      </c>
      <c r="D827" t="s">
        <v>144</v>
      </c>
      <c r="E827" t="s">
        <v>3686</v>
      </c>
      <c r="F827" t="s">
        <v>1911</v>
      </c>
      <c r="G827" t="s">
        <v>4</v>
      </c>
      <c r="H827">
        <v>0</v>
      </c>
      <c r="I827">
        <v>0</v>
      </c>
      <c r="J827">
        <v>2008</v>
      </c>
      <c r="K827" t="str">
        <f>IF(Books[[#This Row],[AVERAGE RATING]]&gt;=4,"High",IF(Books[[#This Row],[AVERAGE RATING]]&gt;=3,"Medium","Low"))</f>
        <v>Low</v>
      </c>
      <c r="L827" t="str">
        <f>IF(Books[[#This Row],[AVERAGE RATING]]&gt;10000,"Popular","Average")</f>
        <v>Average</v>
      </c>
      <c r="M827">
        <f>Books[[#This Row],[AVERAGE RATING]]*Books[[#This Row],[RATINGS COUNT]]</f>
        <v>0</v>
      </c>
    </row>
    <row r="828" spans="1:13" x14ac:dyDescent="0.25">
      <c r="A828" t="s">
        <v>1912</v>
      </c>
      <c r="B828" t="s">
        <v>1913</v>
      </c>
      <c r="C828">
        <v>333</v>
      </c>
      <c r="D828" t="s">
        <v>118</v>
      </c>
      <c r="E828" t="s">
        <v>3595</v>
      </c>
      <c r="F828" t="s">
        <v>93</v>
      </c>
      <c r="G828" t="s">
        <v>4</v>
      </c>
      <c r="H828">
        <v>0</v>
      </c>
      <c r="I828">
        <v>0</v>
      </c>
      <c r="J828">
        <v>2015</v>
      </c>
      <c r="K828" t="str">
        <f>IF(Books[[#This Row],[AVERAGE RATING]]&gt;=4,"High",IF(Books[[#This Row],[AVERAGE RATING]]&gt;=3,"Medium","Low"))</f>
        <v>Low</v>
      </c>
      <c r="L828" t="str">
        <f>IF(Books[[#This Row],[AVERAGE RATING]]&gt;10000,"Popular","Average")</f>
        <v>Average</v>
      </c>
      <c r="M828">
        <f>Books[[#This Row],[AVERAGE RATING]]*Books[[#This Row],[RATINGS COUNT]]</f>
        <v>0</v>
      </c>
    </row>
    <row r="829" spans="1:13" x14ac:dyDescent="0.25">
      <c r="A829" t="s">
        <v>1914</v>
      </c>
      <c r="B829" t="s">
        <v>1915</v>
      </c>
      <c r="C829">
        <v>518</v>
      </c>
      <c r="D829" t="s">
        <v>28</v>
      </c>
      <c r="E829" t="s">
        <v>3687</v>
      </c>
      <c r="F829" t="s">
        <v>505</v>
      </c>
      <c r="G829" t="s">
        <v>4</v>
      </c>
      <c r="H829">
        <v>0</v>
      </c>
      <c r="I829">
        <v>0</v>
      </c>
      <c r="J829">
        <v>1999</v>
      </c>
      <c r="K829" t="str">
        <f>IF(Books[[#This Row],[AVERAGE RATING]]&gt;=4,"High",IF(Books[[#This Row],[AVERAGE RATING]]&gt;=3,"Medium","Low"))</f>
        <v>Low</v>
      </c>
      <c r="L829" t="str">
        <f>IF(Books[[#This Row],[AVERAGE RATING]]&gt;10000,"Popular","Average")</f>
        <v>Average</v>
      </c>
      <c r="M829">
        <f>Books[[#This Row],[AVERAGE RATING]]*Books[[#This Row],[RATINGS COUNT]]</f>
        <v>0</v>
      </c>
    </row>
    <row r="830" spans="1:13" x14ac:dyDescent="0.25">
      <c r="A830" t="s">
        <v>1916</v>
      </c>
      <c r="B830" t="s">
        <v>1917</v>
      </c>
      <c r="C830">
        <v>168</v>
      </c>
      <c r="D830" t="s">
        <v>420</v>
      </c>
      <c r="E830" t="s">
        <v>3688</v>
      </c>
      <c r="F830" t="s">
        <v>985</v>
      </c>
      <c r="G830" t="s">
        <v>4</v>
      </c>
      <c r="H830">
        <v>0</v>
      </c>
      <c r="I830">
        <v>0</v>
      </c>
      <c r="J830">
        <v>2013</v>
      </c>
      <c r="K830" t="str">
        <f>IF(Books[[#This Row],[AVERAGE RATING]]&gt;=4,"High",IF(Books[[#This Row],[AVERAGE RATING]]&gt;=3,"Medium","Low"))</f>
        <v>Low</v>
      </c>
      <c r="L830" t="str">
        <f>IF(Books[[#This Row],[AVERAGE RATING]]&gt;10000,"Popular","Average")</f>
        <v>Average</v>
      </c>
      <c r="M830">
        <f>Books[[#This Row],[AVERAGE RATING]]*Books[[#This Row],[RATINGS COUNT]]</f>
        <v>0</v>
      </c>
    </row>
    <row r="831" spans="1:13" x14ac:dyDescent="0.25">
      <c r="A831" t="s">
        <v>1916</v>
      </c>
      <c r="B831" t="s">
        <v>1918</v>
      </c>
      <c r="C831">
        <v>264</v>
      </c>
      <c r="D831" t="s">
        <v>420</v>
      </c>
      <c r="E831" t="s">
        <v>3101</v>
      </c>
      <c r="F831" t="s">
        <v>1919</v>
      </c>
      <c r="G831" t="s">
        <v>4</v>
      </c>
      <c r="H831">
        <v>3</v>
      </c>
      <c r="I831">
        <v>1</v>
      </c>
      <c r="J831">
        <v>2000</v>
      </c>
      <c r="K831" t="str">
        <f>IF(Books[[#This Row],[AVERAGE RATING]]&gt;=4,"High",IF(Books[[#This Row],[AVERAGE RATING]]&gt;=3,"Medium","Low"))</f>
        <v>Medium</v>
      </c>
      <c r="L831" t="str">
        <f>IF(Books[[#This Row],[AVERAGE RATING]]&gt;10000,"Popular","Average")</f>
        <v>Average</v>
      </c>
      <c r="M831">
        <f>Books[[#This Row],[AVERAGE RATING]]*Books[[#This Row],[RATINGS COUNT]]</f>
        <v>3</v>
      </c>
    </row>
    <row r="832" spans="1:13" x14ac:dyDescent="0.25">
      <c r="A832" t="s">
        <v>1920</v>
      </c>
      <c r="B832" t="s">
        <v>1921</v>
      </c>
      <c r="C832">
        <v>394</v>
      </c>
      <c r="D832" t="s">
        <v>420</v>
      </c>
      <c r="E832" t="s">
        <v>3116</v>
      </c>
      <c r="F832" t="s">
        <v>403</v>
      </c>
      <c r="G832" t="s">
        <v>4</v>
      </c>
      <c r="H832">
        <v>0</v>
      </c>
      <c r="I832">
        <v>0</v>
      </c>
      <c r="J832">
        <v>2002</v>
      </c>
      <c r="K832" t="str">
        <f>IF(Books[[#This Row],[AVERAGE RATING]]&gt;=4,"High",IF(Books[[#This Row],[AVERAGE RATING]]&gt;=3,"Medium","Low"))</f>
        <v>Low</v>
      </c>
      <c r="L832" t="str">
        <f>IF(Books[[#This Row],[AVERAGE RATING]]&gt;10000,"Popular","Average")</f>
        <v>Average</v>
      </c>
      <c r="M832">
        <f>Books[[#This Row],[AVERAGE RATING]]*Books[[#This Row],[RATINGS COUNT]]</f>
        <v>0</v>
      </c>
    </row>
    <row r="833" spans="1:13" x14ac:dyDescent="0.25">
      <c r="A833" t="s">
        <v>1922</v>
      </c>
      <c r="B833" t="s">
        <v>1923</v>
      </c>
      <c r="C833">
        <v>262</v>
      </c>
      <c r="D833" t="s">
        <v>298</v>
      </c>
      <c r="E833" t="s">
        <v>3153</v>
      </c>
      <c r="F833" t="s">
        <v>652</v>
      </c>
      <c r="G833" t="s">
        <v>4</v>
      </c>
      <c r="H833">
        <v>0</v>
      </c>
      <c r="I833">
        <v>0</v>
      </c>
      <c r="J833">
        <v>2001</v>
      </c>
      <c r="K833" t="str">
        <f>IF(Books[[#This Row],[AVERAGE RATING]]&gt;=4,"High",IF(Books[[#This Row],[AVERAGE RATING]]&gt;=3,"Medium","Low"))</f>
        <v>Low</v>
      </c>
      <c r="L833" t="str">
        <f>IF(Books[[#This Row],[AVERAGE RATING]]&gt;10000,"Popular","Average")</f>
        <v>Average</v>
      </c>
      <c r="M833">
        <f>Books[[#This Row],[AVERAGE RATING]]*Books[[#This Row],[RATINGS COUNT]]</f>
        <v>0</v>
      </c>
    </row>
    <row r="834" spans="1:13" x14ac:dyDescent="0.25">
      <c r="A834" t="s">
        <v>1924</v>
      </c>
      <c r="B834" t="s">
        <v>1885</v>
      </c>
      <c r="C834">
        <v>722</v>
      </c>
      <c r="D834" t="s">
        <v>597</v>
      </c>
      <c r="E834" t="s">
        <v>3287</v>
      </c>
      <c r="F834" t="s">
        <v>1886</v>
      </c>
      <c r="G834" t="s">
        <v>4</v>
      </c>
      <c r="H834">
        <v>0</v>
      </c>
      <c r="I834">
        <v>0</v>
      </c>
      <c r="J834">
        <v>2010</v>
      </c>
      <c r="K834" t="str">
        <f>IF(Books[[#This Row],[AVERAGE RATING]]&gt;=4,"High",IF(Books[[#This Row],[AVERAGE RATING]]&gt;=3,"Medium","Low"))</f>
        <v>Low</v>
      </c>
      <c r="L834" t="str">
        <f>IF(Books[[#This Row],[AVERAGE RATING]]&gt;10000,"Popular","Average")</f>
        <v>Average</v>
      </c>
      <c r="M834">
        <f>Books[[#This Row],[AVERAGE RATING]]*Books[[#This Row],[RATINGS COUNT]]</f>
        <v>0</v>
      </c>
    </row>
    <row r="835" spans="1:13" x14ac:dyDescent="0.25">
      <c r="A835" t="s">
        <v>1925</v>
      </c>
      <c r="B835" t="s">
        <v>1926</v>
      </c>
      <c r="C835">
        <v>613</v>
      </c>
      <c r="D835" t="s">
        <v>79</v>
      </c>
      <c r="E835" t="s">
        <v>3689</v>
      </c>
      <c r="F835" t="s">
        <v>1927</v>
      </c>
      <c r="G835" t="s">
        <v>4</v>
      </c>
      <c r="H835">
        <v>0</v>
      </c>
      <c r="I835">
        <v>0</v>
      </c>
      <c r="J835">
        <v>2016</v>
      </c>
      <c r="K835" t="str">
        <f>IF(Books[[#This Row],[AVERAGE RATING]]&gt;=4,"High",IF(Books[[#This Row],[AVERAGE RATING]]&gt;=3,"Medium","Low"))</f>
        <v>Low</v>
      </c>
      <c r="L835" t="str">
        <f>IF(Books[[#This Row],[AVERAGE RATING]]&gt;10000,"Popular","Average")</f>
        <v>Average</v>
      </c>
      <c r="M835">
        <f>Books[[#This Row],[AVERAGE RATING]]*Books[[#This Row],[RATINGS COUNT]]</f>
        <v>0</v>
      </c>
    </row>
    <row r="836" spans="1:13" x14ac:dyDescent="0.25">
      <c r="A836" t="s">
        <v>1928</v>
      </c>
      <c r="B836" t="s">
        <v>1929</v>
      </c>
      <c r="C836">
        <v>256</v>
      </c>
      <c r="D836" t="s">
        <v>420</v>
      </c>
      <c r="E836" t="s">
        <v>3690</v>
      </c>
      <c r="F836" t="s">
        <v>132</v>
      </c>
      <c r="G836" t="s">
        <v>4</v>
      </c>
      <c r="H836">
        <v>0</v>
      </c>
      <c r="I836">
        <v>0</v>
      </c>
      <c r="J836">
        <v>1991</v>
      </c>
      <c r="K836" t="str">
        <f>IF(Books[[#This Row],[AVERAGE RATING]]&gt;=4,"High",IF(Books[[#This Row],[AVERAGE RATING]]&gt;=3,"Medium","Low"))</f>
        <v>Low</v>
      </c>
      <c r="L836" t="str">
        <f>IF(Books[[#This Row],[AVERAGE RATING]]&gt;10000,"Popular","Average")</f>
        <v>Average</v>
      </c>
      <c r="M836">
        <f>Books[[#This Row],[AVERAGE RATING]]*Books[[#This Row],[RATINGS COUNT]]</f>
        <v>0</v>
      </c>
    </row>
    <row r="837" spans="1:13" x14ac:dyDescent="0.25">
      <c r="A837" t="s">
        <v>1930</v>
      </c>
      <c r="B837" t="s">
        <v>1931</v>
      </c>
      <c r="C837">
        <v>392</v>
      </c>
      <c r="D837" t="s">
        <v>420</v>
      </c>
      <c r="E837" t="s">
        <v>3416</v>
      </c>
      <c r="F837" t="s">
        <v>132</v>
      </c>
      <c r="G837" t="s">
        <v>4</v>
      </c>
      <c r="H837">
        <v>0</v>
      </c>
      <c r="I837">
        <v>0</v>
      </c>
      <c r="J837">
        <v>2008</v>
      </c>
      <c r="K837" t="str">
        <f>IF(Books[[#This Row],[AVERAGE RATING]]&gt;=4,"High",IF(Books[[#This Row],[AVERAGE RATING]]&gt;=3,"Medium","Low"))</f>
        <v>Low</v>
      </c>
      <c r="L837" t="str">
        <f>IF(Books[[#This Row],[AVERAGE RATING]]&gt;10000,"Popular","Average")</f>
        <v>Average</v>
      </c>
      <c r="M837">
        <f>Books[[#This Row],[AVERAGE RATING]]*Books[[#This Row],[RATINGS COUNT]]</f>
        <v>0</v>
      </c>
    </row>
    <row r="838" spans="1:13" x14ac:dyDescent="0.25">
      <c r="A838" t="s">
        <v>1932</v>
      </c>
      <c r="B838" t="s">
        <v>1933</v>
      </c>
      <c r="C838">
        <v>488</v>
      </c>
      <c r="D838" t="s">
        <v>63</v>
      </c>
      <c r="E838" t="s">
        <v>3156</v>
      </c>
      <c r="F838" t="s">
        <v>1934</v>
      </c>
      <c r="G838" t="s">
        <v>4</v>
      </c>
      <c r="H838">
        <v>0</v>
      </c>
      <c r="I838">
        <v>0</v>
      </c>
      <c r="J838">
        <v>2021</v>
      </c>
      <c r="K838" t="str">
        <f>IF(Books[[#This Row],[AVERAGE RATING]]&gt;=4,"High",IF(Books[[#This Row],[AVERAGE RATING]]&gt;=3,"Medium","Low"))</f>
        <v>Low</v>
      </c>
      <c r="L838" t="str">
        <f>IF(Books[[#This Row],[AVERAGE RATING]]&gt;10000,"Popular","Average")</f>
        <v>Average</v>
      </c>
      <c r="M838">
        <f>Books[[#This Row],[AVERAGE RATING]]*Books[[#This Row],[RATINGS COUNT]]</f>
        <v>0</v>
      </c>
    </row>
    <row r="839" spans="1:13" x14ac:dyDescent="0.25">
      <c r="A839" t="s">
        <v>1935</v>
      </c>
      <c r="B839" t="s">
        <v>1936</v>
      </c>
      <c r="C839">
        <v>132</v>
      </c>
      <c r="D839" t="s">
        <v>63</v>
      </c>
      <c r="E839" t="s">
        <v>3155</v>
      </c>
      <c r="F839" t="s">
        <v>559</v>
      </c>
      <c r="G839" t="s">
        <v>4</v>
      </c>
      <c r="H839">
        <v>0</v>
      </c>
      <c r="I839">
        <v>0</v>
      </c>
      <c r="J839">
        <v>2006</v>
      </c>
      <c r="K839" t="str">
        <f>IF(Books[[#This Row],[AVERAGE RATING]]&gt;=4,"High",IF(Books[[#This Row],[AVERAGE RATING]]&gt;=3,"Medium","Low"))</f>
        <v>Low</v>
      </c>
      <c r="L839" t="str">
        <f>IF(Books[[#This Row],[AVERAGE RATING]]&gt;10000,"Popular","Average")</f>
        <v>Average</v>
      </c>
      <c r="M839">
        <f>Books[[#This Row],[AVERAGE RATING]]*Books[[#This Row],[RATINGS COUNT]]</f>
        <v>0</v>
      </c>
    </row>
    <row r="840" spans="1:13" x14ac:dyDescent="0.25">
      <c r="A840" t="s">
        <v>1937</v>
      </c>
      <c r="B840" t="s">
        <v>1676</v>
      </c>
      <c r="C840">
        <v>32</v>
      </c>
      <c r="D840" t="s">
        <v>2</v>
      </c>
      <c r="E840" t="s">
        <v>3691</v>
      </c>
      <c r="F840" t="s">
        <v>1938</v>
      </c>
      <c r="G840" t="s">
        <v>4</v>
      </c>
      <c r="H840">
        <v>0</v>
      </c>
      <c r="I840">
        <v>0</v>
      </c>
      <c r="J840">
        <v>2016</v>
      </c>
      <c r="K840" t="str">
        <f>IF(Books[[#This Row],[AVERAGE RATING]]&gt;=4,"High",IF(Books[[#This Row],[AVERAGE RATING]]&gt;=3,"Medium","Low"))</f>
        <v>Low</v>
      </c>
      <c r="L840" t="str">
        <f>IF(Books[[#This Row],[AVERAGE RATING]]&gt;10000,"Popular","Average")</f>
        <v>Average</v>
      </c>
      <c r="M840">
        <f>Books[[#This Row],[AVERAGE RATING]]*Books[[#This Row],[RATINGS COUNT]]</f>
        <v>0</v>
      </c>
    </row>
    <row r="841" spans="1:13" x14ac:dyDescent="0.25">
      <c r="A841" t="s">
        <v>1939</v>
      </c>
      <c r="B841" t="s">
        <v>1940</v>
      </c>
      <c r="C841">
        <v>124</v>
      </c>
      <c r="D841" t="s">
        <v>298</v>
      </c>
      <c r="E841" t="s">
        <v>3153</v>
      </c>
      <c r="F841" t="s">
        <v>1941</v>
      </c>
      <c r="G841" t="s">
        <v>4</v>
      </c>
      <c r="H841">
        <v>0</v>
      </c>
      <c r="I841">
        <v>0</v>
      </c>
      <c r="J841">
        <v>2001</v>
      </c>
      <c r="K841" t="str">
        <f>IF(Books[[#This Row],[AVERAGE RATING]]&gt;=4,"High",IF(Books[[#This Row],[AVERAGE RATING]]&gt;=3,"Medium","Low"))</f>
        <v>Low</v>
      </c>
      <c r="L841" t="str">
        <f>IF(Books[[#This Row],[AVERAGE RATING]]&gt;10000,"Popular","Average")</f>
        <v>Average</v>
      </c>
      <c r="M841">
        <f>Books[[#This Row],[AVERAGE RATING]]*Books[[#This Row],[RATINGS COUNT]]</f>
        <v>0</v>
      </c>
    </row>
    <row r="842" spans="1:13" x14ac:dyDescent="0.25">
      <c r="A842" t="s">
        <v>1942</v>
      </c>
      <c r="B842" t="s">
        <v>1943</v>
      </c>
      <c r="C842">
        <v>322</v>
      </c>
      <c r="D842" t="s">
        <v>406</v>
      </c>
      <c r="E842" t="s">
        <v>3692</v>
      </c>
      <c r="F842" t="s">
        <v>977</v>
      </c>
      <c r="G842" t="s">
        <v>4</v>
      </c>
      <c r="H842">
        <v>0</v>
      </c>
      <c r="I842">
        <v>0</v>
      </c>
      <c r="J842">
        <v>2016</v>
      </c>
      <c r="K842" t="str">
        <f>IF(Books[[#This Row],[AVERAGE RATING]]&gt;=4,"High",IF(Books[[#This Row],[AVERAGE RATING]]&gt;=3,"Medium","Low"))</f>
        <v>Low</v>
      </c>
      <c r="L842" t="str">
        <f>IF(Books[[#This Row],[AVERAGE RATING]]&gt;10000,"Popular","Average")</f>
        <v>Average</v>
      </c>
      <c r="M842">
        <f>Books[[#This Row],[AVERAGE RATING]]*Books[[#This Row],[RATINGS COUNT]]</f>
        <v>0</v>
      </c>
    </row>
    <row r="843" spans="1:13" x14ac:dyDescent="0.25">
      <c r="A843" t="s">
        <v>1944</v>
      </c>
      <c r="B843" t="s">
        <v>1945</v>
      </c>
      <c r="C843">
        <v>462</v>
      </c>
      <c r="D843" t="s">
        <v>63</v>
      </c>
      <c r="E843" t="s">
        <v>3693</v>
      </c>
      <c r="F843" t="s">
        <v>119</v>
      </c>
      <c r="G843" t="s">
        <v>4</v>
      </c>
      <c r="H843">
        <v>0</v>
      </c>
      <c r="I843">
        <v>0</v>
      </c>
      <c r="J843">
        <v>2023</v>
      </c>
      <c r="K843" t="str">
        <f>IF(Books[[#This Row],[AVERAGE RATING]]&gt;=4,"High",IF(Books[[#This Row],[AVERAGE RATING]]&gt;=3,"Medium","Low"))</f>
        <v>Low</v>
      </c>
      <c r="L843" t="str">
        <f>IF(Books[[#This Row],[AVERAGE RATING]]&gt;10000,"Popular","Average")</f>
        <v>Average</v>
      </c>
      <c r="M843">
        <f>Books[[#This Row],[AVERAGE RATING]]*Books[[#This Row],[RATINGS COUNT]]</f>
        <v>0</v>
      </c>
    </row>
    <row r="844" spans="1:13" x14ac:dyDescent="0.25">
      <c r="A844" t="s">
        <v>1946</v>
      </c>
      <c r="B844" t="s">
        <v>1947</v>
      </c>
      <c r="C844">
        <v>300</v>
      </c>
      <c r="D844" t="s">
        <v>17</v>
      </c>
      <c r="E844" t="s">
        <v>3694</v>
      </c>
      <c r="F844" t="s">
        <v>1948</v>
      </c>
      <c r="G844" t="s">
        <v>4</v>
      </c>
      <c r="H844">
        <v>0</v>
      </c>
      <c r="I844">
        <v>0</v>
      </c>
      <c r="J844">
        <v>2011</v>
      </c>
      <c r="K844" t="str">
        <f>IF(Books[[#This Row],[AVERAGE RATING]]&gt;=4,"High",IF(Books[[#This Row],[AVERAGE RATING]]&gt;=3,"Medium","Low"))</f>
        <v>Low</v>
      </c>
      <c r="L844" t="str">
        <f>IF(Books[[#This Row],[AVERAGE RATING]]&gt;10000,"Popular","Average")</f>
        <v>Average</v>
      </c>
      <c r="M844">
        <f>Books[[#This Row],[AVERAGE RATING]]*Books[[#This Row],[RATINGS COUNT]]</f>
        <v>0</v>
      </c>
    </row>
    <row r="845" spans="1:13" x14ac:dyDescent="0.25">
      <c r="A845" t="s">
        <v>1949</v>
      </c>
      <c r="B845" t="s">
        <v>1950</v>
      </c>
      <c r="C845">
        <v>220</v>
      </c>
      <c r="D845" t="s">
        <v>420</v>
      </c>
      <c r="E845" t="s">
        <v>3155</v>
      </c>
      <c r="F845" t="s">
        <v>1951</v>
      </c>
      <c r="G845" t="s">
        <v>4</v>
      </c>
      <c r="H845">
        <v>0</v>
      </c>
      <c r="I845">
        <v>0</v>
      </c>
      <c r="J845">
        <v>2006</v>
      </c>
      <c r="K845" t="str">
        <f>IF(Books[[#This Row],[AVERAGE RATING]]&gt;=4,"High",IF(Books[[#This Row],[AVERAGE RATING]]&gt;=3,"Medium","Low"))</f>
        <v>Low</v>
      </c>
      <c r="L845" t="str">
        <f>IF(Books[[#This Row],[AVERAGE RATING]]&gt;10000,"Popular","Average")</f>
        <v>Average</v>
      </c>
      <c r="M845">
        <f>Books[[#This Row],[AVERAGE RATING]]*Books[[#This Row],[RATINGS COUNT]]</f>
        <v>0</v>
      </c>
    </row>
    <row r="846" spans="1:13" x14ac:dyDescent="0.25">
      <c r="A846" t="s">
        <v>1952</v>
      </c>
      <c r="B846" t="s">
        <v>1953</v>
      </c>
      <c r="C846">
        <v>132</v>
      </c>
      <c r="D846" t="s">
        <v>298</v>
      </c>
      <c r="E846" t="s">
        <v>3055</v>
      </c>
      <c r="F846" t="s">
        <v>1941</v>
      </c>
      <c r="G846" t="s">
        <v>4</v>
      </c>
      <c r="H846">
        <v>0</v>
      </c>
      <c r="I846">
        <v>0</v>
      </c>
      <c r="J846">
        <v>2004</v>
      </c>
      <c r="K846" t="str">
        <f>IF(Books[[#This Row],[AVERAGE RATING]]&gt;=4,"High",IF(Books[[#This Row],[AVERAGE RATING]]&gt;=3,"Medium","Low"))</f>
        <v>Low</v>
      </c>
      <c r="L846" t="str">
        <f>IF(Books[[#This Row],[AVERAGE RATING]]&gt;10000,"Popular","Average")</f>
        <v>Average</v>
      </c>
      <c r="M846">
        <f>Books[[#This Row],[AVERAGE RATING]]*Books[[#This Row],[RATINGS COUNT]]</f>
        <v>0</v>
      </c>
    </row>
    <row r="847" spans="1:13" x14ac:dyDescent="0.25">
      <c r="A847" t="s">
        <v>1954</v>
      </c>
      <c r="B847" t="s">
        <v>1955</v>
      </c>
      <c r="C847">
        <v>130</v>
      </c>
      <c r="D847" t="s">
        <v>673</v>
      </c>
      <c r="E847" t="s">
        <v>3695</v>
      </c>
      <c r="F847" t="s">
        <v>1956</v>
      </c>
      <c r="G847" t="s">
        <v>4</v>
      </c>
      <c r="H847">
        <v>0</v>
      </c>
      <c r="I847">
        <v>0</v>
      </c>
      <c r="J847">
        <v>2019</v>
      </c>
      <c r="K847" t="str">
        <f>IF(Books[[#This Row],[AVERAGE RATING]]&gt;=4,"High",IF(Books[[#This Row],[AVERAGE RATING]]&gt;=3,"Medium","Low"))</f>
        <v>Low</v>
      </c>
      <c r="L847" t="str">
        <f>IF(Books[[#This Row],[AVERAGE RATING]]&gt;10000,"Popular","Average")</f>
        <v>Average</v>
      </c>
      <c r="M847">
        <f>Books[[#This Row],[AVERAGE RATING]]*Books[[#This Row],[RATINGS COUNT]]</f>
        <v>0</v>
      </c>
    </row>
    <row r="848" spans="1:13" x14ac:dyDescent="0.25">
      <c r="A848" t="s">
        <v>1957</v>
      </c>
      <c r="B848" t="s">
        <v>1958</v>
      </c>
      <c r="C848">
        <v>131</v>
      </c>
      <c r="D848" t="s">
        <v>118</v>
      </c>
      <c r="E848" t="s">
        <v>3696</v>
      </c>
      <c r="F848" t="s">
        <v>1959</v>
      </c>
      <c r="G848" t="s">
        <v>4</v>
      </c>
      <c r="H848">
        <v>5</v>
      </c>
      <c r="I848">
        <v>2</v>
      </c>
      <c r="J848">
        <v>2016</v>
      </c>
      <c r="K848" t="str">
        <f>IF(Books[[#This Row],[AVERAGE RATING]]&gt;=4,"High",IF(Books[[#This Row],[AVERAGE RATING]]&gt;=3,"Medium","Low"))</f>
        <v>High</v>
      </c>
      <c r="L848" t="str">
        <f>IF(Books[[#This Row],[AVERAGE RATING]]&gt;10000,"Popular","Average")</f>
        <v>Average</v>
      </c>
      <c r="M848">
        <f>Books[[#This Row],[AVERAGE RATING]]*Books[[#This Row],[RATINGS COUNT]]</f>
        <v>10</v>
      </c>
    </row>
    <row r="849" spans="1:13" x14ac:dyDescent="0.25">
      <c r="A849" t="s">
        <v>1960</v>
      </c>
      <c r="B849" t="s">
        <v>1950</v>
      </c>
      <c r="C849">
        <v>244</v>
      </c>
      <c r="D849" t="s">
        <v>1961</v>
      </c>
      <c r="E849" t="s">
        <v>3099</v>
      </c>
      <c r="F849" t="s">
        <v>1951</v>
      </c>
      <c r="G849" t="s">
        <v>4</v>
      </c>
      <c r="H849">
        <v>4</v>
      </c>
      <c r="I849">
        <v>1</v>
      </c>
      <c r="J849">
        <v>2005</v>
      </c>
      <c r="K849" t="str">
        <f>IF(Books[[#This Row],[AVERAGE RATING]]&gt;=4,"High",IF(Books[[#This Row],[AVERAGE RATING]]&gt;=3,"Medium","Low"))</f>
        <v>High</v>
      </c>
      <c r="L849" t="str">
        <f>IF(Books[[#This Row],[AVERAGE RATING]]&gt;10000,"Popular","Average")</f>
        <v>Average</v>
      </c>
      <c r="M849">
        <f>Books[[#This Row],[AVERAGE RATING]]*Books[[#This Row],[RATINGS COUNT]]</f>
        <v>4</v>
      </c>
    </row>
    <row r="850" spans="1:13" x14ac:dyDescent="0.25">
      <c r="A850" t="s">
        <v>1962</v>
      </c>
      <c r="B850" t="s">
        <v>1963</v>
      </c>
      <c r="C850">
        <v>602</v>
      </c>
      <c r="D850" t="s">
        <v>406</v>
      </c>
      <c r="E850" t="s">
        <v>3697</v>
      </c>
      <c r="F850" t="s">
        <v>403</v>
      </c>
      <c r="G850" t="s">
        <v>4</v>
      </c>
      <c r="H850">
        <v>0</v>
      </c>
      <c r="I850">
        <v>0</v>
      </c>
      <c r="J850">
        <v>2007</v>
      </c>
      <c r="K850" t="str">
        <f>IF(Books[[#This Row],[AVERAGE RATING]]&gt;=4,"High",IF(Books[[#This Row],[AVERAGE RATING]]&gt;=3,"Medium","Low"))</f>
        <v>Low</v>
      </c>
      <c r="L850" t="str">
        <f>IF(Books[[#This Row],[AVERAGE RATING]]&gt;10000,"Popular","Average")</f>
        <v>Average</v>
      </c>
      <c r="M850">
        <f>Books[[#This Row],[AVERAGE RATING]]*Books[[#This Row],[RATINGS COUNT]]</f>
        <v>0</v>
      </c>
    </row>
    <row r="851" spans="1:13" x14ac:dyDescent="0.25">
      <c r="A851" t="s">
        <v>1964</v>
      </c>
      <c r="B851" t="s">
        <v>1965</v>
      </c>
      <c r="C851">
        <v>527</v>
      </c>
      <c r="D851" t="s">
        <v>144</v>
      </c>
      <c r="E851" t="s">
        <v>3698</v>
      </c>
      <c r="F851" t="s">
        <v>39</v>
      </c>
      <c r="G851" t="s">
        <v>4</v>
      </c>
      <c r="H851">
        <v>0</v>
      </c>
      <c r="I851">
        <v>0</v>
      </c>
      <c r="J851">
        <v>2010</v>
      </c>
      <c r="K851" t="str">
        <f>IF(Books[[#This Row],[AVERAGE RATING]]&gt;=4,"High",IF(Books[[#This Row],[AVERAGE RATING]]&gt;=3,"Medium","Low"))</f>
        <v>Low</v>
      </c>
      <c r="L851" t="str">
        <f>IF(Books[[#This Row],[AVERAGE RATING]]&gt;10000,"Popular","Average")</f>
        <v>Average</v>
      </c>
      <c r="M851">
        <f>Books[[#This Row],[AVERAGE RATING]]*Books[[#This Row],[RATINGS COUNT]]</f>
        <v>0</v>
      </c>
    </row>
    <row r="852" spans="1:13" x14ac:dyDescent="0.25">
      <c r="A852" t="s">
        <v>1966</v>
      </c>
      <c r="B852" t="s">
        <v>1967</v>
      </c>
      <c r="C852">
        <v>118</v>
      </c>
      <c r="D852" t="s">
        <v>79</v>
      </c>
      <c r="E852" t="s">
        <v>3699</v>
      </c>
      <c r="F852" t="s">
        <v>100</v>
      </c>
      <c r="G852" t="s">
        <v>4</v>
      </c>
      <c r="H852">
        <v>0</v>
      </c>
      <c r="I852">
        <v>0</v>
      </c>
      <c r="J852">
        <v>2019</v>
      </c>
      <c r="K852" t="str">
        <f>IF(Books[[#This Row],[AVERAGE RATING]]&gt;=4,"High",IF(Books[[#This Row],[AVERAGE RATING]]&gt;=3,"Medium","Low"))</f>
        <v>Low</v>
      </c>
      <c r="L852" t="str">
        <f>IF(Books[[#This Row],[AVERAGE RATING]]&gt;10000,"Popular","Average")</f>
        <v>Average</v>
      </c>
      <c r="M852">
        <f>Books[[#This Row],[AVERAGE RATING]]*Books[[#This Row],[RATINGS COUNT]]</f>
        <v>0</v>
      </c>
    </row>
    <row r="853" spans="1:13" x14ac:dyDescent="0.25">
      <c r="A853" t="s">
        <v>1968</v>
      </c>
      <c r="B853" t="s">
        <v>1969</v>
      </c>
      <c r="C853">
        <v>23</v>
      </c>
      <c r="D853" t="s">
        <v>79</v>
      </c>
      <c r="E853" t="s">
        <v>3700</v>
      </c>
      <c r="F853" t="s">
        <v>776</v>
      </c>
      <c r="G853" t="s">
        <v>4</v>
      </c>
      <c r="H853">
        <v>0</v>
      </c>
      <c r="I853">
        <v>0</v>
      </c>
      <c r="J853">
        <v>2007</v>
      </c>
      <c r="K853" t="str">
        <f>IF(Books[[#This Row],[AVERAGE RATING]]&gt;=4,"High",IF(Books[[#This Row],[AVERAGE RATING]]&gt;=3,"Medium","Low"))</f>
        <v>Low</v>
      </c>
      <c r="L853" t="str">
        <f>IF(Books[[#This Row],[AVERAGE RATING]]&gt;10000,"Popular","Average")</f>
        <v>Average</v>
      </c>
      <c r="M853">
        <f>Books[[#This Row],[AVERAGE RATING]]*Books[[#This Row],[RATINGS COUNT]]</f>
        <v>0</v>
      </c>
    </row>
    <row r="854" spans="1:13" x14ac:dyDescent="0.25">
      <c r="A854" t="s">
        <v>1970</v>
      </c>
      <c r="B854" t="s">
        <v>1971</v>
      </c>
      <c r="C854">
        <v>148</v>
      </c>
      <c r="D854" t="s">
        <v>298</v>
      </c>
      <c r="E854" t="s">
        <v>3116</v>
      </c>
      <c r="F854" t="s">
        <v>1941</v>
      </c>
      <c r="G854" t="s">
        <v>4</v>
      </c>
      <c r="H854">
        <v>0</v>
      </c>
      <c r="I854">
        <v>0</v>
      </c>
      <c r="J854">
        <v>2002</v>
      </c>
      <c r="K854" t="str">
        <f>IF(Books[[#This Row],[AVERAGE RATING]]&gt;=4,"High",IF(Books[[#This Row],[AVERAGE RATING]]&gt;=3,"Medium","Low"))</f>
        <v>Low</v>
      </c>
      <c r="L854" t="str">
        <f>IF(Books[[#This Row],[AVERAGE RATING]]&gt;10000,"Popular","Average")</f>
        <v>Average</v>
      </c>
      <c r="M854">
        <f>Books[[#This Row],[AVERAGE RATING]]*Books[[#This Row],[RATINGS COUNT]]</f>
        <v>0</v>
      </c>
    </row>
    <row r="855" spans="1:13" x14ac:dyDescent="0.25">
      <c r="A855" t="s">
        <v>1972</v>
      </c>
      <c r="B855" t="s">
        <v>1973</v>
      </c>
      <c r="C855">
        <v>292</v>
      </c>
      <c r="D855" t="s">
        <v>298</v>
      </c>
      <c r="E855" t="s">
        <v>3056</v>
      </c>
      <c r="F855" t="s">
        <v>1974</v>
      </c>
      <c r="G855" t="s">
        <v>4</v>
      </c>
      <c r="H855">
        <v>0</v>
      </c>
      <c r="I855">
        <v>0</v>
      </c>
      <c r="J855">
        <v>2007</v>
      </c>
      <c r="K855" t="str">
        <f>IF(Books[[#This Row],[AVERAGE RATING]]&gt;=4,"High",IF(Books[[#This Row],[AVERAGE RATING]]&gt;=3,"Medium","Low"))</f>
        <v>Low</v>
      </c>
      <c r="L855" t="str">
        <f>IF(Books[[#This Row],[AVERAGE RATING]]&gt;10000,"Popular","Average")</f>
        <v>Average</v>
      </c>
      <c r="M855">
        <f>Books[[#This Row],[AVERAGE RATING]]*Books[[#This Row],[RATINGS COUNT]]</f>
        <v>0</v>
      </c>
    </row>
    <row r="856" spans="1:13" x14ac:dyDescent="0.25">
      <c r="A856" t="s">
        <v>1975</v>
      </c>
      <c r="B856" t="s">
        <v>1976</v>
      </c>
      <c r="C856">
        <v>52</v>
      </c>
      <c r="D856" t="s">
        <v>339</v>
      </c>
      <c r="E856" t="s">
        <v>3701</v>
      </c>
      <c r="F856" t="s">
        <v>1977</v>
      </c>
      <c r="G856" t="s">
        <v>4</v>
      </c>
      <c r="H856">
        <v>0</v>
      </c>
      <c r="I856">
        <v>0</v>
      </c>
      <c r="J856">
        <v>2012</v>
      </c>
      <c r="K856" t="str">
        <f>IF(Books[[#This Row],[AVERAGE RATING]]&gt;=4,"High",IF(Books[[#This Row],[AVERAGE RATING]]&gt;=3,"Medium","Low"))</f>
        <v>Low</v>
      </c>
      <c r="L856" t="str">
        <f>IF(Books[[#This Row],[AVERAGE RATING]]&gt;10000,"Popular","Average")</f>
        <v>Average</v>
      </c>
      <c r="M856">
        <f>Books[[#This Row],[AVERAGE RATING]]*Books[[#This Row],[RATINGS COUNT]]</f>
        <v>0</v>
      </c>
    </row>
    <row r="857" spans="1:13" x14ac:dyDescent="0.25">
      <c r="A857" t="s">
        <v>1978</v>
      </c>
      <c r="B857" t="s">
        <v>1979</v>
      </c>
      <c r="C857">
        <v>323</v>
      </c>
      <c r="D857" t="s">
        <v>2</v>
      </c>
      <c r="E857" t="s">
        <v>3605</v>
      </c>
      <c r="F857" t="s">
        <v>1979</v>
      </c>
      <c r="G857" t="s">
        <v>4</v>
      </c>
      <c r="H857">
        <v>0</v>
      </c>
      <c r="I857">
        <v>0</v>
      </c>
      <c r="J857">
        <v>2021</v>
      </c>
      <c r="K857" t="str">
        <f>IF(Books[[#This Row],[AVERAGE RATING]]&gt;=4,"High",IF(Books[[#This Row],[AVERAGE RATING]]&gt;=3,"Medium","Low"))</f>
        <v>Low</v>
      </c>
      <c r="L857" t="str">
        <f>IF(Books[[#This Row],[AVERAGE RATING]]&gt;10000,"Popular","Average")</f>
        <v>Average</v>
      </c>
      <c r="M857">
        <f>Books[[#This Row],[AVERAGE RATING]]*Books[[#This Row],[RATINGS COUNT]]</f>
        <v>0</v>
      </c>
    </row>
    <row r="858" spans="1:13" x14ac:dyDescent="0.25">
      <c r="A858" t="s">
        <v>1980</v>
      </c>
      <c r="B858" t="s">
        <v>1981</v>
      </c>
      <c r="C858">
        <v>786</v>
      </c>
      <c r="D858" t="s">
        <v>406</v>
      </c>
      <c r="E858" t="s">
        <v>3099</v>
      </c>
      <c r="F858" t="s">
        <v>1982</v>
      </c>
      <c r="G858" t="s">
        <v>4</v>
      </c>
      <c r="H858">
        <v>4.5</v>
      </c>
      <c r="I858">
        <v>2</v>
      </c>
      <c r="J858">
        <v>2005</v>
      </c>
      <c r="K858" t="str">
        <f>IF(Books[[#This Row],[AVERAGE RATING]]&gt;=4,"High",IF(Books[[#This Row],[AVERAGE RATING]]&gt;=3,"Medium","Low"))</f>
        <v>High</v>
      </c>
      <c r="L858" t="str">
        <f>IF(Books[[#This Row],[AVERAGE RATING]]&gt;10000,"Popular","Average")</f>
        <v>Average</v>
      </c>
      <c r="M858">
        <f>Books[[#This Row],[AVERAGE RATING]]*Books[[#This Row],[RATINGS COUNT]]</f>
        <v>9</v>
      </c>
    </row>
    <row r="859" spans="1:13" x14ac:dyDescent="0.25">
      <c r="A859" t="s">
        <v>1983</v>
      </c>
      <c r="B859" t="s">
        <v>1984</v>
      </c>
      <c r="C859">
        <v>351</v>
      </c>
      <c r="D859" t="s">
        <v>406</v>
      </c>
      <c r="E859" t="s">
        <v>3702</v>
      </c>
      <c r="F859" t="s">
        <v>1985</v>
      </c>
      <c r="G859" t="s">
        <v>4</v>
      </c>
      <c r="H859">
        <v>0</v>
      </c>
      <c r="I859">
        <v>0</v>
      </c>
      <c r="J859">
        <v>2023</v>
      </c>
      <c r="K859" t="str">
        <f>IF(Books[[#This Row],[AVERAGE RATING]]&gt;=4,"High",IF(Books[[#This Row],[AVERAGE RATING]]&gt;=3,"Medium","Low"))</f>
        <v>Low</v>
      </c>
      <c r="L859" t="str">
        <f>IF(Books[[#This Row],[AVERAGE RATING]]&gt;10000,"Popular","Average")</f>
        <v>Average</v>
      </c>
      <c r="M859">
        <f>Books[[#This Row],[AVERAGE RATING]]*Books[[#This Row],[RATINGS COUNT]]</f>
        <v>0</v>
      </c>
    </row>
    <row r="860" spans="1:13" x14ac:dyDescent="0.25">
      <c r="A860" t="s">
        <v>1986</v>
      </c>
      <c r="B860" t="s">
        <v>1987</v>
      </c>
      <c r="C860">
        <v>20</v>
      </c>
      <c r="D860" t="s">
        <v>387</v>
      </c>
      <c r="E860" t="s">
        <v>3703</v>
      </c>
      <c r="F860" t="s">
        <v>1987</v>
      </c>
      <c r="G860" t="s">
        <v>4</v>
      </c>
      <c r="H860">
        <v>0</v>
      </c>
      <c r="I860">
        <v>0</v>
      </c>
      <c r="J860">
        <v>2023</v>
      </c>
      <c r="K860" t="str">
        <f>IF(Books[[#This Row],[AVERAGE RATING]]&gt;=4,"High",IF(Books[[#This Row],[AVERAGE RATING]]&gt;=3,"Medium","Low"))</f>
        <v>Low</v>
      </c>
      <c r="L860" t="str">
        <f>IF(Books[[#This Row],[AVERAGE RATING]]&gt;10000,"Popular","Average")</f>
        <v>Average</v>
      </c>
      <c r="M860">
        <f>Books[[#This Row],[AVERAGE RATING]]*Books[[#This Row],[RATINGS COUNT]]</f>
        <v>0</v>
      </c>
    </row>
    <row r="861" spans="1:13" x14ac:dyDescent="0.25">
      <c r="A861" t="s">
        <v>1990</v>
      </c>
      <c r="B861" t="s">
        <v>1988</v>
      </c>
      <c r="C861">
        <v>494</v>
      </c>
      <c r="D861" t="s">
        <v>11</v>
      </c>
      <c r="E861" t="s">
        <v>3704</v>
      </c>
      <c r="F861" t="s">
        <v>1991</v>
      </c>
      <c r="G861" t="s">
        <v>1992</v>
      </c>
      <c r="H861">
        <v>0</v>
      </c>
      <c r="I861">
        <v>0</v>
      </c>
      <c r="J861">
        <v>2014</v>
      </c>
      <c r="K861" t="str">
        <f>IF(Books[[#This Row],[AVERAGE RATING]]&gt;=4,"High",IF(Books[[#This Row],[AVERAGE RATING]]&gt;=3,"Medium","Low"))</f>
        <v>Low</v>
      </c>
      <c r="L861" t="str">
        <f>IF(Books[[#This Row],[AVERAGE RATING]]&gt;10000,"Popular","Average")</f>
        <v>Average</v>
      </c>
      <c r="M861">
        <f>Books[[#This Row],[AVERAGE RATING]]*Books[[#This Row],[RATINGS COUNT]]</f>
        <v>0</v>
      </c>
    </row>
    <row r="862" spans="1:13" x14ac:dyDescent="0.25">
      <c r="A862" t="s">
        <v>1993</v>
      </c>
      <c r="B862" t="s">
        <v>1994</v>
      </c>
      <c r="C862">
        <v>68</v>
      </c>
      <c r="D862" t="s">
        <v>339</v>
      </c>
      <c r="E862" t="s">
        <v>3705</v>
      </c>
      <c r="F862" t="s">
        <v>1995</v>
      </c>
      <c r="G862" t="s">
        <v>4</v>
      </c>
      <c r="H862">
        <v>0</v>
      </c>
      <c r="I862">
        <v>0</v>
      </c>
      <c r="J862">
        <v>2017</v>
      </c>
      <c r="K862" t="str">
        <f>IF(Books[[#This Row],[AVERAGE RATING]]&gt;=4,"High",IF(Books[[#This Row],[AVERAGE RATING]]&gt;=3,"Medium","Low"))</f>
        <v>Low</v>
      </c>
      <c r="L862" t="str">
        <f>IF(Books[[#This Row],[AVERAGE RATING]]&gt;10000,"Popular","Average")</f>
        <v>Average</v>
      </c>
      <c r="M862">
        <f>Books[[#This Row],[AVERAGE RATING]]*Books[[#This Row],[RATINGS COUNT]]</f>
        <v>0</v>
      </c>
    </row>
    <row r="863" spans="1:13" x14ac:dyDescent="0.25">
      <c r="A863" t="s">
        <v>1997</v>
      </c>
      <c r="B863" t="s">
        <v>1996</v>
      </c>
      <c r="C863">
        <v>154</v>
      </c>
      <c r="D863" t="s">
        <v>339</v>
      </c>
      <c r="E863" t="s">
        <v>3706</v>
      </c>
      <c r="F863" t="s">
        <v>1998</v>
      </c>
      <c r="G863" t="s">
        <v>4</v>
      </c>
      <c r="H863">
        <v>0</v>
      </c>
      <c r="I863">
        <v>0</v>
      </c>
      <c r="J863">
        <v>2012</v>
      </c>
      <c r="K863" t="str">
        <f>IF(Books[[#This Row],[AVERAGE RATING]]&gt;=4,"High",IF(Books[[#This Row],[AVERAGE RATING]]&gt;=3,"Medium","Low"))</f>
        <v>Low</v>
      </c>
      <c r="L863" t="str">
        <f>IF(Books[[#This Row],[AVERAGE RATING]]&gt;10000,"Popular","Average")</f>
        <v>Average</v>
      </c>
      <c r="M863">
        <f>Books[[#This Row],[AVERAGE RATING]]*Books[[#This Row],[RATINGS COUNT]]</f>
        <v>0</v>
      </c>
    </row>
    <row r="864" spans="1:13" x14ac:dyDescent="0.25">
      <c r="A864" t="s">
        <v>1999</v>
      </c>
      <c r="B864" t="s">
        <v>2000</v>
      </c>
      <c r="C864">
        <v>205</v>
      </c>
      <c r="D864" t="s">
        <v>38</v>
      </c>
      <c r="E864" t="s">
        <v>3707</v>
      </c>
      <c r="F864" t="s">
        <v>132</v>
      </c>
      <c r="G864" t="s">
        <v>4</v>
      </c>
      <c r="H864">
        <v>5</v>
      </c>
      <c r="I864">
        <v>1</v>
      </c>
      <c r="J864">
        <v>2011</v>
      </c>
      <c r="K864" t="str">
        <f>IF(Books[[#This Row],[AVERAGE RATING]]&gt;=4,"High",IF(Books[[#This Row],[AVERAGE RATING]]&gt;=3,"Medium","Low"))</f>
        <v>High</v>
      </c>
      <c r="L864" t="str">
        <f>IF(Books[[#This Row],[AVERAGE RATING]]&gt;10000,"Popular","Average")</f>
        <v>Average</v>
      </c>
      <c r="M864">
        <f>Books[[#This Row],[AVERAGE RATING]]*Books[[#This Row],[RATINGS COUNT]]</f>
        <v>5</v>
      </c>
    </row>
    <row r="865" spans="1:13" x14ac:dyDescent="0.25">
      <c r="A865" t="s">
        <v>2001</v>
      </c>
      <c r="B865" t="s">
        <v>2002</v>
      </c>
      <c r="C865">
        <v>366</v>
      </c>
      <c r="D865" t="s">
        <v>328</v>
      </c>
      <c r="E865" t="s">
        <v>3708</v>
      </c>
      <c r="F865" t="s">
        <v>1330</v>
      </c>
      <c r="G865" t="s">
        <v>4</v>
      </c>
      <c r="H865">
        <v>0</v>
      </c>
      <c r="I865">
        <v>0</v>
      </c>
      <c r="J865">
        <v>2011</v>
      </c>
      <c r="K865" t="str">
        <f>IF(Books[[#This Row],[AVERAGE RATING]]&gt;=4,"High",IF(Books[[#This Row],[AVERAGE RATING]]&gt;=3,"Medium","Low"))</f>
        <v>Low</v>
      </c>
      <c r="L865" t="str">
        <f>IF(Books[[#This Row],[AVERAGE RATING]]&gt;10000,"Popular","Average")</f>
        <v>Average</v>
      </c>
      <c r="M865">
        <f>Books[[#This Row],[AVERAGE RATING]]*Books[[#This Row],[RATINGS COUNT]]</f>
        <v>0</v>
      </c>
    </row>
    <row r="866" spans="1:13" x14ac:dyDescent="0.25">
      <c r="A866" t="s">
        <v>2003</v>
      </c>
      <c r="B866" t="s">
        <v>2004</v>
      </c>
      <c r="C866">
        <v>137</v>
      </c>
      <c r="D866" t="s">
        <v>79</v>
      </c>
      <c r="E866" t="s">
        <v>3709</v>
      </c>
      <c r="F866" t="s">
        <v>100</v>
      </c>
      <c r="G866" t="s">
        <v>4</v>
      </c>
      <c r="H866">
        <v>0</v>
      </c>
      <c r="I866">
        <v>0</v>
      </c>
      <c r="J866">
        <v>2008</v>
      </c>
      <c r="K866" t="str">
        <f>IF(Books[[#This Row],[AVERAGE RATING]]&gt;=4,"High",IF(Books[[#This Row],[AVERAGE RATING]]&gt;=3,"Medium","Low"))</f>
        <v>Low</v>
      </c>
      <c r="L866" t="str">
        <f>IF(Books[[#This Row],[AVERAGE RATING]]&gt;10000,"Popular","Average")</f>
        <v>Average</v>
      </c>
      <c r="M866">
        <f>Books[[#This Row],[AVERAGE RATING]]*Books[[#This Row],[RATINGS COUNT]]</f>
        <v>0</v>
      </c>
    </row>
    <row r="867" spans="1:13" x14ac:dyDescent="0.25">
      <c r="A867" t="s">
        <v>2005</v>
      </c>
      <c r="B867" t="s">
        <v>2006</v>
      </c>
      <c r="C867">
        <v>347</v>
      </c>
      <c r="D867" t="s">
        <v>2</v>
      </c>
      <c r="E867" t="s">
        <v>3710</v>
      </c>
      <c r="F867" t="s">
        <v>998</v>
      </c>
      <c r="G867" t="s">
        <v>4</v>
      </c>
      <c r="H867">
        <v>5</v>
      </c>
      <c r="I867">
        <v>1</v>
      </c>
      <c r="J867">
        <v>2010</v>
      </c>
      <c r="K867" t="str">
        <f>IF(Books[[#This Row],[AVERAGE RATING]]&gt;=4,"High",IF(Books[[#This Row],[AVERAGE RATING]]&gt;=3,"Medium","Low"))</f>
        <v>High</v>
      </c>
      <c r="L867" t="str">
        <f>IF(Books[[#This Row],[AVERAGE RATING]]&gt;10000,"Popular","Average")</f>
        <v>Average</v>
      </c>
      <c r="M867">
        <f>Books[[#This Row],[AVERAGE RATING]]*Books[[#This Row],[RATINGS COUNT]]</f>
        <v>5</v>
      </c>
    </row>
    <row r="868" spans="1:13" x14ac:dyDescent="0.25">
      <c r="A868" t="s">
        <v>2003</v>
      </c>
      <c r="B868" t="s">
        <v>2007</v>
      </c>
      <c r="C868">
        <v>68</v>
      </c>
      <c r="D868" t="s">
        <v>2</v>
      </c>
      <c r="E868" t="s">
        <v>3155</v>
      </c>
      <c r="F868" t="s">
        <v>2008</v>
      </c>
      <c r="G868" t="s">
        <v>4</v>
      </c>
      <c r="H868">
        <v>4</v>
      </c>
      <c r="I868">
        <v>1</v>
      </c>
      <c r="J868">
        <v>2006</v>
      </c>
      <c r="K868" t="str">
        <f>IF(Books[[#This Row],[AVERAGE RATING]]&gt;=4,"High",IF(Books[[#This Row],[AVERAGE RATING]]&gt;=3,"Medium","Low"))</f>
        <v>High</v>
      </c>
      <c r="L868" t="str">
        <f>IF(Books[[#This Row],[AVERAGE RATING]]&gt;10000,"Popular","Average")</f>
        <v>Average</v>
      </c>
      <c r="M868">
        <f>Books[[#This Row],[AVERAGE RATING]]*Books[[#This Row],[RATINGS COUNT]]</f>
        <v>4</v>
      </c>
    </row>
    <row r="869" spans="1:13" x14ac:dyDescent="0.25">
      <c r="A869" t="s">
        <v>2009</v>
      </c>
      <c r="B869" t="s">
        <v>2010</v>
      </c>
      <c r="C869">
        <v>88</v>
      </c>
      <c r="D869" t="s">
        <v>79</v>
      </c>
      <c r="E869" t="s">
        <v>3267</v>
      </c>
      <c r="F869" t="s">
        <v>2011</v>
      </c>
      <c r="G869" t="s">
        <v>4</v>
      </c>
      <c r="H869">
        <v>0</v>
      </c>
      <c r="I869">
        <v>0</v>
      </c>
      <c r="J869">
        <v>2006</v>
      </c>
      <c r="K869" t="str">
        <f>IF(Books[[#This Row],[AVERAGE RATING]]&gt;=4,"High",IF(Books[[#This Row],[AVERAGE RATING]]&gt;=3,"Medium","Low"))</f>
        <v>Low</v>
      </c>
      <c r="L869" t="str">
        <f>IF(Books[[#This Row],[AVERAGE RATING]]&gt;10000,"Popular","Average")</f>
        <v>Average</v>
      </c>
      <c r="M869">
        <f>Books[[#This Row],[AVERAGE RATING]]*Books[[#This Row],[RATINGS COUNT]]</f>
        <v>0</v>
      </c>
    </row>
    <row r="870" spans="1:13" x14ac:dyDescent="0.25">
      <c r="A870" t="s">
        <v>2012</v>
      </c>
      <c r="B870" t="s">
        <v>2013</v>
      </c>
      <c r="C870">
        <v>143</v>
      </c>
      <c r="D870" t="s">
        <v>2</v>
      </c>
      <c r="E870" t="s">
        <v>3155</v>
      </c>
      <c r="F870" t="s">
        <v>2014</v>
      </c>
      <c r="G870" t="s">
        <v>4</v>
      </c>
      <c r="H870">
        <v>4</v>
      </c>
      <c r="I870">
        <v>3</v>
      </c>
      <c r="J870">
        <v>2006</v>
      </c>
      <c r="K870" t="str">
        <f>IF(Books[[#This Row],[AVERAGE RATING]]&gt;=4,"High",IF(Books[[#This Row],[AVERAGE RATING]]&gt;=3,"Medium","Low"))</f>
        <v>High</v>
      </c>
      <c r="L870" t="str">
        <f>IF(Books[[#This Row],[AVERAGE RATING]]&gt;10000,"Popular","Average")</f>
        <v>Average</v>
      </c>
      <c r="M870">
        <f>Books[[#This Row],[AVERAGE RATING]]*Books[[#This Row],[RATINGS COUNT]]</f>
        <v>12</v>
      </c>
    </row>
    <row r="871" spans="1:13" x14ac:dyDescent="0.25">
      <c r="A871" t="s">
        <v>2015</v>
      </c>
      <c r="B871" t="s">
        <v>2016</v>
      </c>
      <c r="C871">
        <v>135</v>
      </c>
      <c r="D871" t="s">
        <v>79</v>
      </c>
      <c r="E871" t="s">
        <v>3711</v>
      </c>
      <c r="F871" t="s">
        <v>2017</v>
      </c>
      <c r="G871" t="s">
        <v>4</v>
      </c>
      <c r="H871">
        <v>0</v>
      </c>
      <c r="I871">
        <v>0</v>
      </c>
      <c r="J871">
        <v>2004</v>
      </c>
      <c r="K871" t="str">
        <f>IF(Books[[#This Row],[AVERAGE RATING]]&gt;=4,"High",IF(Books[[#This Row],[AVERAGE RATING]]&gt;=3,"Medium","Low"))</f>
        <v>Low</v>
      </c>
      <c r="L871" t="str">
        <f>IF(Books[[#This Row],[AVERAGE RATING]]&gt;10000,"Popular","Average")</f>
        <v>Average</v>
      </c>
      <c r="M871">
        <f>Books[[#This Row],[AVERAGE RATING]]*Books[[#This Row],[RATINGS COUNT]]</f>
        <v>0</v>
      </c>
    </row>
    <row r="872" spans="1:13" x14ac:dyDescent="0.25">
      <c r="A872" t="s">
        <v>2018</v>
      </c>
      <c r="B872" t="s">
        <v>2019</v>
      </c>
      <c r="C872">
        <v>100</v>
      </c>
      <c r="D872" t="s">
        <v>79</v>
      </c>
      <c r="E872" t="s">
        <v>3055</v>
      </c>
      <c r="F872" t="s">
        <v>2020</v>
      </c>
      <c r="G872" t="s">
        <v>4</v>
      </c>
      <c r="H872">
        <v>0</v>
      </c>
      <c r="I872">
        <v>0</v>
      </c>
      <c r="J872">
        <v>2004</v>
      </c>
      <c r="K872" t="str">
        <f>IF(Books[[#This Row],[AVERAGE RATING]]&gt;=4,"High",IF(Books[[#This Row],[AVERAGE RATING]]&gt;=3,"Medium","Low"))</f>
        <v>Low</v>
      </c>
      <c r="L872" t="str">
        <f>IF(Books[[#This Row],[AVERAGE RATING]]&gt;10000,"Popular","Average")</f>
        <v>Average</v>
      </c>
      <c r="M872">
        <f>Books[[#This Row],[AVERAGE RATING]]*Books[[#This Row],[RATINGS COUNT]]</f>
        <v>0</v>
      </c>
    </row>
    <row r="873" spans="1:13" x14ac:dyDescent="0.25">
      <c r="A873" t="s">
        <v>2021</v>
      </c>
      <c r="B873" t="s">
        <v>2022</v>
      </c>
      <c r="C873">
        <v>264</v>
      </c>
      <c r="D873" t="s">
        <v>79</v>
      </c>
      <c r="E873" t="s">
        <v>3303</v>
      </c>
      <c r="F873" t="s">
        <v>2023</v>
      </c>
      <c r="G873" t="s">
        <v>4</v>
      </c>
      <c r="H873">
        <v>0</v>
      </c>
      <c r="I873">
        <v>0</v>
      </c>
      <c r="J873">
        <v>2006</v>
      </c>
      <c r="K873" t="str">
        <f>IF(Books[[#This Row],[AVERAGE RATING]]&gt;=4,"High",IF(Books[[#This Row],[AVERAGE RATING]]&gt;=3,"Medium","Low"))</f>
        <v>Low</v>
      </c>
      <c r="L873" t="str">
        <f>IF(Books[[#This Row],[AVERAGE RATING]]&gt;10000,"Popular","Average")</f>
        <v>Average</v>
      </c>
      <c r="M873">
        <f>Books[[#This Row],[AVERAGE RATING]]*Books[[#This Row],[RATINGS COUNT]]</f>
        <v>0</v>
      </c>
    </row>
    <row r="874" spans="1:13" x14ac:dyDescent="0.25">
      <c r="A874" t="s">
        <v>2024</v>
      </c>
      <c r="B874" t="s">
        <v>2025</v>
      </c>
      <c r="C874">
        <v>96</v>
      </c>
      <c r="D874" t="s">
        <v>2</v>
      </c>
      <c r="E874" t="s">
        <v>3155</v>
      </c>
      <c r="F874" t="s">
        <v>2026</v>
      </c>
      <c r="G874" t="s">
        <v>1442</v>
      </c>
      <c r="H874">
        <v>0</v>
      </c>
      <c r="I874">
        <v>0</v>
      </c>
      <c r="J874">
        <v>2006</v>
      </c>
      <c r="K874" t="str">
        <f>IF(Books[[#This Row],[AVERAGE RATING]]&gt;=4,"High",IF(Books[[#This Row],[AVERAGE RATING]]&gt;=3,"Medium","Low"))</f>
        <v>Low</v>
      </c>
      <c r="L874" t="str">
        <f>IF(Books[[#This Row],[AVERAGE RATING]]&gt;10000,"Popular","Average")</f>
        <v>Average</v>
      </c>
      <c r="M874">
        <f>Books[[#This Row],[AVERAGE RATING]]*Books[[#This Row],[RATINGS COUNT]]</f>
        <v>0</v>
      </c>
    </row>
    <row r="875" spans="1:13" x14ac:dyDescent="0.25">
      <c r="A875" t="s">
        <v>2027</v>
      </c>
      <c r="B875" t="s">
        <v>2028</v>
      </c>
      <c r="C875">
        <v>116</v>
      </c>
      <c r="D875" t="s">
        <v>2</v>
      </c>
      <c r="E875" t="s">
        <v>3712</v>
      </c>
      <c r="F875" t="s">
        <v>2029</v>
      </c>
      <c r="G875" t="s">
        <v>4</v>
      </c>
      <c r="H875">
        <v>0</v>
      </c>
      <c r="I875">
        <v>0</v>
      </c>
      <c r="J875">
        <v>2005</v>
      </c>
      <c r="K875" t="str">
        <f>IF(Books[[#This Row],[AVERAGE RATING]]&gt;=4,"High",IF(Books[[#This Row],[AVERAGE RATING]]&gt;=3,"Medium","Low"))</f>
        <v>Low</v>
      </c>
      <c r="L875" t="str">
        <f>IF(Books[[#This Row],[AVERAGE RATING]]&gt;10000,"Popular","Average")</f>
        <v>Average</v>
      </c>
      <c r="M875">
        <f>Books[[#This Row],[AVERAGE RATING]]*Books[[#This Row],[RATINGS COUNT]]</f>
        <v>0</v>
      </c>
    </row>
    <row r="876" spans="1:13" x14ac:dyDescent="0.25">
      <c r="A876" t="s">
        <v>2030</v>
      </c>
      <c r="B876" t="s">
        <v>2031</v>
      </c>
      <c r="C876">
        <v>178</v>
      </c>
      <c r="D876" t="s">
        <v>45</v>
      </c>
      <c r="E876" t="s">
        <v>3099</v>
      </c>
      <c r="F876" t="s">
        <v>2032</v>
      </c>
      <c r="G876" t="s">
        <v>4</v>
      </c>
      <c r="H876">
        <v>3.5</v>
      </c>
      <c r="I876">
        <v>7</v>
      </c>
      <c r="J876">
        <v>2005</v>
      </c>
      <c r="K876" t="str">
        <f>IF(Books[[#This Row],[AVERAGE RATING]]&gt;=4,"High",IF(Books[[#This Row],[AVERAGE RATING]]&gt;=3,"Medium","Low"))</f>
        <v>Medium</v>
      </c>
      <c r="L876" t="str">
        <f>IF(Books[[#This Row],[AVERAGE RATING]]&gt;10000,"Popular","Average")</f>
        <v>Average</v>
      </c>
      <c r="M876">
        <f>Books[[#This Row],[AVERAGE RATING]]*Books[[#This Row],[RATINGS COUNT]]</f>
        <v>24.5</v>
      </c>
    </row>
    <row r="877" spans="1:13" x14ac:dyDescent="0.25">
      <c r="A877" t="s">
        <v>2033</v>
      </c>
      <c r="B877" t="s">
        <v>2034</v>
      </c>
      <c r="C877">
        <v>263</v>
      </c>
      <c r="D877" t="s">
        <v>11</v>
      </c>
      <c r="E877" t="s">
        <v>3713</v>
      </c>
      <c r="F877" t="s">
        <v>2035</v>
      </c>
      <c r="G877" t="s">
        <v>4</v>
      </c>
      <c r="H877">
        <v>0</v>
      </c>
      <c r="I877">
        <v>0</v>
      </c>
      <c r="J877">
        <v>2015</v>
      </c>
      <c r="K877" t="str">
        <f>IF(Books[[#This Row],[AVERAGE RATING]]&gt;=4,"High",IF(Books[[#This Row],[AVERAGE RATING]]&gt;=3,"Medium","Low"))</f>
        <v>Low</v>
      </c>
      <c r="L877" t="str">
        <f>IF(Books[[#This Row],[AVERAGE RATING]]&gt;10000,"Popular","Average")</f>
        <v>Average</v>
      </c>
      <c r="M877">
        <f>Books[[#This Row],[AVERAGE RATING]]*Books[[#This Row],[RATINGS COUNT]]</f>
        <v>0</v>
      </c>
    </row>
    <row r="878" spans="1:13" x14ac:dyDescent="0.25">
      <c r="A878" t="s">
        <v>2033</v>
      </c>
      <c r="B878" t="s">
        <v>2036</v>
      </c>
      <c r="C878">
        <v>351</v>
      </c>
      <c r="D878" t="s">
        <v>11</v>
      </c>
      <c r="E878" t="s">
        <v>3714</v>
      </c>
      <c r="F878" t="s">
        <v>2037</v>
      </c>
      <c r="G878" t="s">
        <v>4</v>
      </c>
      <c r="H878">
        <v>0</v>
      </c>
      <c r="I878">
        <v>0</v>
      </c>
      <c r="J878">
        <v>2002</v>
      </c>
      <c r="K878" t="str">
        <f>IF(Books[[#This Row],[AVERAGE RATING]]&gt;=4,"High",IF(Books[[#This Row],[AVERAGE RATING]]&gt;=3,"Medium","Low"))</f>
        <v>Low</v>
      </c>
      <c r="L878" t="str">
        <f>IF(Books[[#This Row],[AVERAGE RATING]]&gt;10000,"Popular","Average")</f>
        <v>Average</v>
      </c>
      <c r="M878">
        <f>Books[[#This Row],[AVERAGE RATING]]*Books[[#This Row],[RATINGS COUNT]]</f>
        <v>0</v>
      </c>
    </row>
    <row r="879" spans="1:13" x14ac:dyDescent="0.25">
      <c r="A879" t="s">
        <v>2038</v>
      </c>
      <c r="B879" t="s">
        <v>2039</v>
      </c>
      <c r="C879">
        <v>245</v>
      </c>
      <c r="D879" t="s">
        <v>2</v>
      </c>
      <c r="E879" t="s">
        <v>3623</v>
      </c>
      <c r="F879" t="s">
        <v>76</v>
      </c>
      <c r="G879" t="s">
        <v>4</v>
      </c>
      <c r="H879">
        <v>4</v>
      </c>
      <c r="I879">
        <v>3</v>
      </c>
      <c r="J879">
        <v>2014</v>
      </c>
      <c r="K879" t="str">
        <f>IF(Books[[#This Row],[AVERAGE RATING]]&gt;=4,"High",IF(Books[[#This Row],[AVERAGE RATING]]&gt;=3,"Medium","Low"))</f>
        <v>High</v>
      </c>
      <c r="L879" t="str">
        <f>IF(Books[[#This Row],[AVERAGE RATING]]&gt;10000,"Popular","Average")</f>
        <v>Average</v>
      </c>
      <c r="M879">
        <f>Books[[#This Row],[AVERAGE RATING]]*Books[[#This Row],[RATINGS COUNT]]</f>
        <v>12</v>
      </c>
    </row>
    <row r="880" spans="1:13" x14ac:dyDescent="0.25">
      <c r="A880" t="s">
        <v>2040</v>
      </c>
      <c r="B880" t="s">
        <v>2041</v>
      </c>
      <c r="C880">
        <v>212</v>
      </c>
      <c r="D880" t="s">
        <v>28</v>
      </c>
      <c r="E880" t="s">
        <v>3715</v>
      </c>
      <c r="F880" t="s">
        <v>2042</v>
      </c>
      <c r="G880" t="s">
        <v>4</v>
      </c>
      <c r="H880">
        <v>0</v>
      </c>
      <c r="I880">
        <v>0</v>
      </c>
      <c r="J880">
        <v>2025</v>
      </c>
      <c r="K880" t="str">
        <f>IF(Books[[#This Row],[AVERAGE RATING]]&gt;=4,"High",IF(Books[[#This Row],[AVERAGE RATING]]&gt;=3,"Medium","Low"))</f>
        <v>Low</v>
      </c>
      <c r="L880" t="str">
        <f>IF(Books[[#This Row],[AVERAGE RATING]]&gt;10000,"Popular","Average")</f>
        <v>Average</v>
      </c>
      <c r="M880">
        <f>Books[[#This Row],[AVERAGE RATING]]*Books[[#This Row],[RATINGS COUNT]]</f>
        <v>0</v>
      </c>
    </row>
    <row r="881" spans="1:13" x14ac:dyDescent="0.25">
      <c r="A881" t="s">
        <v>2043</v>
      </c>
      <c r="B881" t="s">
        <v>2044</v>
      </c>
      <c r="C881">
        <v>316</v>
      </c>
      <c r="D881" t="s">
        <v>32</v>
      </c>
      <c r="E881" t="s">
        <v>3287</v>
      </c>
      <c r="F881" t="s">
        <v>834</v>
      </c>
      <c r="G881" t="s">
        <v>4</v>
      </c>
      <c r="H881">
        <v>0</v>
      </c>
      <c r="I881">
        <v>0</v>
      </c>
      <c r="J881">
        <v>2010</v>
      </c>
      <c r="K881" t="str">
        <f>IF(Books[[#This Row],[AVERAGE RATING]]&gt;=4,"High",IF(Books[[#This Row],[AVERAGE RATING]]&gt;=3,"Medium","Low"))</f>
        <v>Low</v>
      </c>
      <c r="L881" t="str">
        <f>IF(Books[[#This Row],[AVERAGE RATING]]&gt;10000,"Popular","Average")</f>
        <v>Average</v>
      </c>
      <c r="M881">
        <f>Books[[#This Row],[AVERAGE RATING]]*Books[[#This Row],[RATINGS COUNT]]</f>
        <v>0</v>
      </c>
    </row>
    <row r="882" spans="1:13" x14ac:dyDescent="0.25">
      <c r="A882" t="s">
        <v>2045</v>
      </c>
      <c r="B882" t="s">
        <v>2046</v>
      </c>
      <c r="C882">
        <v>255</v>
      </c>
      <c r="D882" t="s">
        <v>2</v>
      </c>
      <c r="E882" t="s">
        <v>3623</v>
      </c>
      <c r="F882" t="s">
        <v>76</v>
      </c>
      <c r="G882" t="s">
        <v>4</v>
      </c>
      <c r="H882">
        <v>0</v>
      </c>
      <c r="I882">
        <v>0</v>
      </c>
      <c r="J882">
        <v>2014</v>
      </c>
      <c r="K882" t="str">
        <f>IF(Books[[#This Row],[AVERAGE RATING]]&gt;=4,"High",IF(Books[[#This Row],[AVERAGE RATING]]&gt;=3,"Medium","Low"))</f>
        <v>Low</v>
      </c>
      <c r="L882" t="str">
        <f>IF(Books[[#This Row],[AVERAGE RATING]]&gt;10000,"Popular","Average")</f>
        <v>Average</v>
      </c>
      <c r="M882">
        <f>Books[[#This Row],[AVERAGE RATING]]*Books[[#This Row],[RATINGS COUNT]]</f>
        <v>0</v>
      </c>
    </row>
    <row r="883" spans="1:13" x14ac:dyDescent="0.25">
      <c r="A883" t="s">
        <v>2033</v>
      </c>
      <c r="B883" t="s">
        <v>2047</v>
      </c>
      <c r="C883">
        <v>206</v>
      </c>
      <c r="D883" t="s">
        <v>11</v>
      </c>
      <c r="E883" t="s">
        <v>3529</v>
      </c>
      <c r="F883" t="s">
        <v>88</v>
      </c>
      <c r="G883" t="s">
        <v>4</v>
      </c>
      <c r="H883">
        <v>0</v>
      </c>
      <c r="I883">
        <v>0</v>
      </c>
      <c r="J883">
        <v>2020</v>
      </c>
      <c r="K883" t="str">
        <f>IF(Books[[#This Row],[AVERAGE RATING]]&gt;=4,"High",IF(Books[[#This Row],[AVERAGE RATING]]&gt;=3,"Medium","Low"))</f>
        <v>Low</v>
      </c>
      <c r="L883" t="str">
        <f>IF(Books[[#This Row],[AVERAGE RATING]]&gt;10000,"Popular","Average")</f>
        <v>Average</v>
      </c>
      <c r="M883">
        <f>Books[[#This Row],[AVERAGE RATING]]*Books[[#This Row],[RATINGS COUNT]]</f>
        <v>0</v>
      </c>
    </row>
    <row r="884" spans="1:13" x14ac:dyDescent="0.25">
      <c r="A884" t="s">
        <v>2048</v>
      </c>
      <c r="B884" t="s">
        <v>2049</v>
      </c>
      <c r="C884">
        <v>252</v>
      </c>
      <c r="D884" t="s">
        <v>2</v>
      </c>
      <c r="E884" t="s">
        <v>3716</v>
      </c>
      <c r="F884" t="s">
        <v>421</v>
      </c>
      <c r="G884" t="s">
        <v>4</v>
      </c>
      <c r="H884">
        <v>0</v>
      </c>
      <c r="I884">
        <v>0</v>
      </c>
      <c r="J884">
        <v>2013</v>
      </c>
      <c r="K884" t="str">
        <f>IF(Books[[#This Row],[AVERAGE RATING]]&gt;=4,"High",IF(Books[[#This Row],[AVERAGE RATING]]&gt;=3,"Medium","Low"))</f>
        <v>Low</v>
      </c>
      <c r="L884" t="str">
        <f>IF(Books[[#This Row],[AVERAGE RATING]]&gt;10000,"Popular","Average")</f>
        <v>Average</v>
      </c>
      <c r="M884">
        <f>Books[[#This Row],[AVERAGE RATING]]*Books[[#This Row],[RATINGS COUNT]]</f>
        <v>0</v>
      </c>
    </row>
    <row r="885" spans="1:13" x14ac:dyDescent="0.25">
      <c r="A885" t="s">
        <v>2050</v>
      </c>
      <c r="B885" t="s">
        <v>2051</v>
      </c>
      <c r="C885">
        <v>60</v>
      </c>
      <c r="D885" t="s">
        <v>47</v>
      </c>
      <c r="E885" t="s">
        <v>3155</v>
      </c>
      <c r="F885" t="s">
        <v>1276</v>
      </c>
      <c r="G885" t="s">
        <v>4</v>
      </c>
      <c r="H885">
        <v>0</v>
      </c>
      <c r="I885">
        <v>0</v>
      </c>
      <c r="J885">
        <v>2006</v>
      </c>
      <c r="K885" t="str">
        <f>IF(Books[[#This Row],[AVERAGE RATING]]&gt;=4,"High",IF(Books[[#This Row],[AVERAGE RATING]]&gt;=3,"Medium","Low"))</f>
        <v>Low</v>
      </c>
      <c r="L885" t="str">
        <f>IF(Books[[#This Row],[AVERAGE RATING]]&gt;10000,"Popular","Average")</f>
        <v>Average</v>
      </c>
      <c r="M885">
        <f>Books[[#This Row],[AVERAGE RATING]]*Books[[#This Row],[RATINGS COUNT]]</f>
        <v>0</v>
      </c>
    </row>
    <row r="886" spans="1:13" x14ac:dyDescent="0.25">
      <c r="A886" t="s">
        <v>2033</v>
      </c>
      <c r="B886" t="s">
        <v>2052</v>
      </c>
      <c r="C886">
        <v>324</v>
      </c>
      <c r="D886" t="s">
        <v>11</v>
      </c>
      <c r="E886" t="s">
        <v>3717</v>
      </c>
      <c r="F886" t="s">
        <v>1203</v>
      </c>
      <c r="G886" t="s">
        <v>4</v>
      </c>
      <c r="H886">
        <v>0</v>
      </c>
      <c r="I886">
        <v>0</v>
      </c>
      <c r="J886">
        <v>2010</v>
      </c>
      <c r="K886" t="str">
        <f>IF(Books[[#This Row],[AVERAGE RATING]]&gt;=4,"High",IF(Books[[#This Row],[AVERAGE RATING]]&gt;=3,"Medium","Low"))</f>
        <v>Low</v>
      </c>
      <c r="L886" t="str">
        <f>IF(Books[[#This Row],[AVERAGE RATING]]&gt;10000,"Popular","Average")</f>
        <v>Average</v>
      </c>
      <c r="M886">
        <f>Books[[#This Row],[AVERAGE RATING]]*Books[[#This Row],[RATINGS COUNT]]</f>
        <v>0</v>
      </c>
    </row>
    <row r="887" spans="1:13" x14ac:dyDescent="0.25">
      <c r="A887" t="s">
        <v>2053</v>
      </c>
      <c r="B887" t="s">
        <v>2054</v>
      </c>
      <c r="C887">
        <v>112</v>
      </c>
      <c r="D887" t="s">
        <v>54</v>
      </c>
      <c r="E887" t="s">
        <v>3718</v>
      </c>
      <c r="F887" t="s">
        <v>2055</v>
      </c>
      <c r="G887" t="s">
        <v>4</v>
      </c>
      <c r="H887">
        <v>0</v>
      </c>
      <c r="I887">
        <v>0</v>
      </c>
      <c r="J887">
        <v>2021</v>
      </c>
      <c r="K887" t="str">
        <f>IF(Books[[#This Row],[AVERAGE RATING]]&gt;=4,"High",IF(Books[[#This Row],[AVERAGE RATING]]&gt;=3,"Medium","Low"))</f>
        <v>Low</v>
      </c>
      <c r="L887" t="str">
        <f>IF(Books[[#This Row],[AVERAGE RATING]]&gt;10000,"Popular","Average")</f>
        <v>Average</v>
      </c>
      <c r="M887">
        <f>Books[[#This Row],[AVERAGE RATING]]*Books[[#This Row],[RATINGS COUNT]]</f>
        <v>0</v>
      </c>
    </row>
    <row r="888" spans="1:13" x14ac:dyDescent="0.25">
      <c r="A888" t="s">
        <v>2033</v>
      </c>
      <c r="B888" t="s">
        <v>2056</v>
      </c>
      <c r="C888">
        <v>224</v>
      </c>
      <c r="D888" t="s">
        <v>11</v>
      </c>
      <c r="E888" t="s">
        <v>3719</v>
      </c>
      <c r="F888" t="s">
        <v>1203</v>
      </c>
      <c r="G888" t="s">
        <v>4</v>
      </c>
      <c r="H888">
        <v>0</v>
      </c>
      <c r="I888">
        <v>0</v>
      </c>
      <c r="J888">
        <v>2013</v>
      </c>
      <c r="K888" t="str">
        <f>IF(Books[[#This Row],[AVERAGE RATING]]&gt;=4,"High",IF(Books[[#This Row],[AVERAGE RATING]]&gt;=3,"Medium","Low"))</f>
        <v>Low</v>
      </c>
      <c r="L888" t="str">
        <f>IF(Books[[#This Row],[AVERAGE RATING]]&gt;10000,"Popular","Average")</f>
        <v>Average</v>
      </c>
      <c r="M888">
        <f>Books[[#This Row],[AVERAGE RATING]]*Books[[#This Row],[RATINGS COUNT]]</f>
        <v>0</v>
      </c>
    </row>
    <row r="889" spans="1:13" x14ac:dyDescent="0.25">
      <c r="A889" t="s">
        <v>2057</v>
      </c>
      <c r="B889" t="s">
        <v>2058</v>
      </c>
      <c r="C889">
        <v>388</v>
      </c>
      <c r="D889" t="s">
        <v>11</v>
      </c>
      <c r="E889" t="s">
        <v>3720</v>
      </c>
      <c r="F889" t="s">
        <v>998</v>
      </c>
      <c r="G889" t="s">
        <v>4</v>
      </c>
      <c r="H889">
        <v>0</v>
      </c>
      <c r="I889">
        <v>0</v>
      </c>
      <c r="J889">
        <v>2013</v>
      </c>
      <c r="K889" t="str">
        <f>IF(Books[[#This Row],[AVERAGE RATING]]&gt;=4,"High",IF(Books[[#This Row],[AVERAGE RATING]]&gt;=3,"Medium","Low"))</f>
        <v>Low</v>
      </c>
      <c r="L889" t="str">
        <f>IF(Books[[#This Row],[AVERAGE RATING]]&gt;10000,"Popular","Average")</f>
        <v>Average</v>
      </c>
      <c r="M889">
        <f>Books[[#This Row],[AVERAGE RATING]]*Books[[#This Row],[RATINGS COUNT]]</f>
        <v>0</v>
      </c>
    </row>
    <row r="890" spans="1:13" x14ac:dyDescent="0.25">
      <c r="A890" t="s">
        <v>2059</v>
      </c>
      <c r="B890" t="s">
        <v>2060</v>
      </c>
      <c r="C890">
        <v>459</v>
      </c>
      <c r="D890" t="s">
        <v>28</v>
      </c>
      <c r="E890" t="s">
        <v>3721</v>
      </c>
      <c r="F890" t="s">
        <v>93</v>
      </c>
      <c r="G890" t="s">
        <v>4</v>
      </c>
      <c r="H890">
        <v>0</v>
      </c>
      <c r="I890">
        <v>0</v>
      </c>
      <c r="J890">
        <v>2011</v>
      </c>
      <c r="K890" t="str">
        <f>IF(Books[[#This Row],[AVERAGE RATING]]&gt;=4,"High",IF(Books[[#This Row],[AVERAGE RATING]]&gt;=3,"Medium","Low"))</f>
        <v>Low</v>
      </c>
      <c r="L890" t="str">
        <f>IF(Books[[#This Row],[AVERAGE RATING]]&gt;10000,"Popular","Average")</f>
        <v>Average</v>
      </c>
      <c r="M890">
        <f>Books[[#This Row],[AVERAGE RATING]]*Books[[#This Row],[RATINGS COUNT]]</f>
        <v>0</v>
      </c>
    </row>
    <row r="891" spans="1:13" x14ac:dyDescent="0.25">
      <c r="A891" t="s">
        <v>2061</v>
      </c>
      <c r="B891" t="s">
        <v>2062</v>
      </c>
      <c r="C891">
        <v>958</v>
      </c>
      <c r="D891" t="s">
        <v>640</v>
      </c>
      <c r="E891" t="s">
        <v>3722</v>
      </c>
      <c r="F891" t="s">
        <v>2063</v>
      </c>
      <c r="G891" t="s">
        <v>4</v>
      </c>
      <c r="H891">
        <v>0</v>
      </c>
      <c r="I891">
        <v>0</v>
      </c>
      <c r="J891">
        <v>2011</v>
      </c>
      <c r="K891" t="str">
        <f>IF(Books[[#This Row],[AVERAGE RATING]]&gt;=4,"High",IF(Books[[#This Row],[AVERAGE RATING]]&gt;=3,"Medium","Low"))</f>
        <v>Low</v>
      </c>
      <c r="L891" t="str">
        <f>IF(Books[[#This Row],[AVERAGE RATING]]&gt;10000,"Popular","Average")</f>
        <v>Average</v>
      </c>
      <c r="M891">
        <f>Books[[#This Row],[AVERAGE RATING]]*Books[[#This Row],[RATINGS COUNT]]</f>
        <v>0</v>
      </c>
    </row>
    <row r="892" spans="1:13" x14ac:dyDescent="0.25">
      <c r="A892" t="s">
        <v>2064</v>
      </c>
      <c r="B892" t="s">
        <v>2065</v>
      </c>
      <c r="C892">
        <v>104</v>
      </c>
      <c r="D892" t="s">
        <v>339</v>
      </c>
      <c r="E892" t="s">
        <v>3143</v>
      </c>
      <c r="F892" t="s">
        <v>2066</v>
      </c>
      <c r="G892" t="s">
        <v>4</v>
      </c>
      <c r="H892">
        <v>0</v>
      </c>
      <c r="I892">
        <v>0</v>
      </c>
      <c r="J892">
        <v>2010</v>
      </c>
      <c r="K892" t="str">
        <f>IF(Books[[#This Row],[AVERAGE RATING]]&gt;=4,"High",IF(Books[[#This Row],[AVERAGE RATING]]&gt;=3,"Medium","Low"))</f>
        <v>Low</v>
      </c>
      <c r="L892" t="str">
        <f>IF(Books[[#This Row],[AVERAGE RATING]]&gt;10000,"Popular","Average")</f>
        <v>Average</v>
      </c>
      <c r="M892">
        <f>Books[[#This Row],[AVERAGE RATING]]*Books[[#This Row],[RATINGS COUNT]]</f>
        <v>0</v>
      </c>
    </row>
    <row r="893" spans="1:13" x14ac:dyDescent="0.25">
      <c r="A893" t="s">
        <v>2033</v>
      </c>
      <c r="B893" t="s">
        <v>2067</v>
      </c>
      <c r="C893">
        <v>162</v>
      </c>
      <c r="D893" t="s">
        <v>243</v>
      </c>
      <c r="E893" t="s">
        <v>3723</v>
      </c>
      <c r="F893" t="s">
        <v>322</v>
      </c>
      <c r="G893" t="s">
        <v>4</v>
      </c>
      <c r="H893">
        <v>0</v>
      </c>
      <c r="I893">
        <v>0</v>
      </c>
      <c r="J893">
        <v>2009</v>
      </c>
      <c r="K893" t="str">
        <f>IF(Books[[#This Row],[AVERAGE RATING]]&gt;=4,"High",IF(Books[[#This Row],[AVERAGE RATING]]&gt;=3,"Medium","Low"))</f>
        <v>Low</v>
      </c>
      <c r="L893" t="str">
        <f>IF(Books[[#This Row],[AVERAGE RATING]]&gt;10000,"Popular","Average")</f>
        <v>Average</v>
      </c>
      <c r="M893">
        <f>Books[[#This Row],[AVERAGE RATING]]*Books[[#This Row],[RATINGS COUNT]]</f>
        <v>0</v>
      </c>
    </row>
    <row r="894" spans="1:13" x14ac:dyDescent="0.25">
      <c r="A894" t="s">
        <v>2068</v>
      </c>
      <c r="B894" t="s">
        <v>2069</v>
      </c>
      <c r="C894">
        <v>121</v>
      </c>
      <c r="D894" t="s">
        <v>383</v>
      </c>
      <c r="E894" t="s">
        <v>3724</v>
      </c>
      <c r="F894" t="s">
        <v>2070</v>
      </c>
      <c r="G894" t="s">
        <v>4</v>
      </c>
      <c r="H894">
        <v>0</v>
      </c>
      <c r="I894">
        <v>0</v>
      </c>
      <c r="J894">
        <v>2022</v>
      </c>
      <c r="K894" t="str">
        <f>IF(Books[[#This Row],[AVERAGE RATING]]&gt;=4,"High",IF(Books[[#This Row],[AVERAGE RATING]]&gt;=3,"Medium","Low"))</f>
        <v>Low</v>
      </c>
      <c r="L894" t="str">
        <f>IF(Books[[#This Row],[AVERAGE RATING]]&gt;10000,"Popular","Average")</f>
        <v>Average</v>
      </c>
      <c r="M894">
        <f>Books[[#This Row],[AVERAGE RATING]]*Books[[#This Row],[RATINGS COUNT]]</f>
        <v>0</v>
      </c>
    </row>
    <row r="895" spans="1:13" x14ac:dyDescent="0.25">
      <c r="A895" t="s">
        <v>2071</v>
      </c>
      <c r="B895" t="s">
        <v>2072</v>
      </c>
      <c r="C895">
        <v>269</v>
      </c>
      <c r="D895" t="s">
        <v>28</v>
      </c>
      <c r="E895" t="s">
        <v>3407</v>
      </c>
      <c r="F895" t="s">
        <v>2073</v>
      </c>
      <c r="G895" t="s">
        <v>4</v>
      </c>
      <c r="H895">
        <v>0</v>
      </c>
      <c r="I895">
        <v>0</v>
      </c>
      <c r="J895">
        <v>2016</v>
      </c>
      <c r="K895" t="str">
        <f>IF(Books[[#This Row],[AVERAGE RATING]]&gt;=4,"High",IF(Books[[#This Row],[AVERAGE RATING]]&gt;=3,"Medium","Low"))</f>
        <v>Low</v>
      </c>
      <c r="L895" t="str">
        <f>IF(Books[[#This Row],[AVERAGE RATING]]&gt;10000,"Popular","Average")</f>
        <v>Average</v>
      </c>
      <c r="M895">
        <f>Books[[#This Row],[AVERAGE RATING]]*Books[[#This Row],[RATINGS COUNT]]</f>
        <v>0</v>
      </c>
    </row>
    <row r="896" spans="1:13" x14ac:dyDescent="0.25">
      <c r="A896" t="s">
        <v>2074</v>
      </c>
      <c r="B896" t="s">
        <v>2075</v>
      </c>
      <c r="C896">
        <v>229</v>
      </c>
      <c r="D896" t="s">
        <v>328</v>
      </c>
      <c r="E896" t="s">
        <v>3463</v>
      </c>
      <c r="F896" t="s">
        <v>2076</v>
      </c>
      <c r="G896" t="s">
        <v>4</v>
      </c>
      <c r="H896">
        <v>0</v>
      </c>
      <c r="I896">
        <v>0</v>
      </c>
      <c r="J896">
        <v>2012</v>
      </c>
      <c r="K896" t="str">
        <f>IF(Books[[#This Row],[AVERAGE RATING]]&gt;=4,"High",IF(Books[[#This Row],[AVERAGE RATING]]&gt;=3,"Medium","Low"))</f>
        <v>Low</v>
      </c>
      <c r="L896" t="str">
        <f>IF(Books[[#This Row],[AVERAGE RATING]]&gt;10000,"Popular","Average")</f>
        <v>Average</v>
      </c>
      <c r="M896">
        <f>Books[[#This Row],[AVERAGE RATING]]*Books[[#This Row],[RATINGS COUNT]]</f>
        <v>0</v>
      </c>
    </row>
    <row r="897" spans="1:13" x14ac:dyDescent="0.25">
      <c r="A897" t="s">
        <v>2077</v>
      </c>
      <c r="B897" t="s">
        <v>2078</v>
      </c>
      <c r="C897">
        <v>274</v>
      </c>
      <c r="D897" t="s">
        <v>328</v>
      </c>
      <c r="E897" t="s">
        <v>3725</v>
      </c>
      <c r="F897" t="s">
        <v>2079</v>
      </c>
      <c r="G897" t="s">
        <v>4</v>
      </c>
      <c r="H897">
        <v>0</v>
      </c>
      <c r="I897">
        <v>0</v>
      </c>
      <c r="J897">
        <v>2011</v>
      </c>
      <c r="K897" t="str">
        <f>IF(Books[[#This Row],[AVERAGE RATING]]&gt;=4,"High",IF(Books[[#This Row],[AVERAGE RATING]]&gt;=3,"Medium","Low"))</f>
        <v>Low</v>
      </c>
      <c r="L897" t="str">
        <f>IF(Books[[#This Row],[AVERAGE RATING]]&gt;10000,"Popular","Average")</f>
        <v>Average</v>
      </c>
      <c r="M897">
        <f>Books[[#This Row],[AVERAGE RATING]]*Books[[#This Row],[RATINGS COUNT]]</f>
        <v>0</v>
      </c>
    </row>
    <row r="898" spans="1:13" x14ac:dyDescent="0.25">
      <c r="A898" t="s">
        <v>2033</v>
      </c>
      <c r="B898" t="s">
        <v>2080</v>
      </c>
      <c r="C898">
        <v>362</v>
      </c>
      <c r="D898" t="s">
        <v>118</v>
      </c>
      <c r="E898" t="s">
        <v>3726</v>
      </c>
      <c r="F898" t="s">
        <v>93</v>
      </c>
      <c r="G898" t="s">
        <v>4</v>
      </c>
      <c r="H898">
        <v>0</v>
      </c>
      <c r="I898">
        <v>0</v>
      </c>
      <c r="J898">
        <v>2013</v>
      </c>
      <c r="K898" t="str">
        <f>IF(Books[[#This Row],[AVERAGE RATING]]&gt;=4,"High",IF(Books[[#This Row],[AVERAGE RATING]]&gt;=3,"Medium","Low"))</f>
        <v>Low</v>
      </c>
      <c r="L898" t="str">
        <f>IF(Books[[#This Row],[AVERAGE RATING]]&gt;10000,"Popular","Average")</f>
        <v>Average</v>
      </c>
      <c r="M898">
        <f>Books[[#This Row],[AVERAGE RATING]]*Books[[#This Row],[RATINGS COUNT]]</f>
        <v>0</v>
      </c>
    </row>
    <row r="899" spans="1:13" x14ac:dyDescent="0.25">
      <c r="A899" t="s">
        <v>2081</v>
      </c>
      <c r="B899" t="s">
        <v>1278</v>
      </c>
      <c r="C899">
        <v>334</v>
      </c>
      <c r="D899" t="s">
        <v>54</v>
      </c>
      <c r="E899" t="s">
        <v>3727</v>
      </c>
      <c r="F899" t="s">
        <v>1339</v>
      </c>
      <c r="G899" t="s">
        <v>4</v>
      </c>
      <c r="H899">
        <v>0</v>
      </c>
      <c r="I899">
        <v>0</v>
      </c>
      <c r="J899">
        <v>2019</v>
      </c>
      <c r="K899" t="str">
        <f>IF(Books[[#This Row],[AVERAGE RATING]]&gt;=4,"High",IF(Books[[#This Row],[AVERAGE RATING]]&gt;=3,"Medium","Low"))</f>
        <v>Low</v>
      </c>
      <c r="L899" t="str">
        <f>IF(Books[[#This Row],[AVERAGE RATING]]&gt;10000,"Popular","Average")</f>
        <v>Average</v>
      </c>
      <c r="M899">
        <f>Books[[#This Row],[AVERAGE RATING]]*Books[[#This Row],[RATINGS COUNT]]</f>
        <v>0</v>
      </c>
    </row>
    <row r="900" spans="1:13" x14ac:dyDescent="0.25">
      <c r="A900" t="s">
        <v>2082</v>
      </c>
      <c r="B900" t="s">
        <v>1278</v>
      </c>
      <c r="C900">
        <v>304</v>
      </c>
      <c r="D900" t="s">
        <v>54</v>
      </c>
      <c r="E900" t="s">
        <v>3585</v>
      </c>
      <c r="F900" t="s">
        <v>1339</v>
      </c>
      <c r="G900" t="s">
        <v>4</v>
      </c>
      <c r="H900">
        <v>4</v>
      </c>
      <c r="I900">
        <v>1</v>
      </c>
      <c r="J900">
        <v>2012</v>
      </c>
      <c r="K900" t="str">
        <f>IF(Books[[#This Row],[AVERAGE RATING]]&gt;=4,"High",IF(Books[[#This Row],[AVERAGE RATING]]&gt;=3,"Medium","Low"))</f>
        <v>High</v>
      </c>
      <c r="L900" t="str">
        <f>IF(Books[[#This Row],[AVERAGE RATING]]&gt;10000,"Popular","Average")</f>
        <v>Average</v>
      </c>
      <c r="M900">
        <f>Books[[#This Row],[AVERAGE RATING]]*Books[[#This Row],[RATINGS COUNT]]</f>
        <v>4</v>
      </c>
    </row>
    <row r="901" spans="1:13" x14ac:dyDescent="0.25">
      <c r="A901" t="s">
        <v>2083</v>
      </c>
      <c r="B901" t="s">
        <v>1278</v>
      </c>
      <c r="C901">
        <v>787</v>
      </c>
      <c r="D901" t="s">
        <v>54</v>
      </c>
      <c r="E901" t="s">
        <v>3728</v>
      </c>
      <c r="F901" t="s">
        <v>1339</v>
      </c>
      <c r="G901" t="s">
        <v>4</v>
      </c>
      <c r="H901">
        <v>4.5</v>
      </c>
      <c r="I901">
        <v>2</v>
      </c>
      <c r="J901">
        <v>2013</v>
      </c>
      <c r="K901" t="str">
        <f>IF(Books[[#This Row],[AVERAGE RATING]]&gt;=4,"High",IF(Books[[#This Row],[AVERAGE RATING]]&gt;=3,"Medium","Low"))</f>
        <v>High</v>
      </c>
      <c r="L901" t="str">
        <f>IF(Books[[#This Row],[AVERAGE RATING]]&gt;10000,"Popular","Average")</f>
        <v>Average</v>
      </c>
      <c r="M901">
        <f>Books[[#This Row],[AVERAGE RATING]]*Books[[#This Row],[RATINGS COUNT]]</f>
        <v>9</v>
      </c>
    </row>
    <row r="902" spans="1:13" x14ac:dyDescent="0.25">
      <c r="A902" t="s">
        <v>2084</v>
      </c>
      <c r="B902" t="s">
        <v>2085</v>
      </c>
      <c r="C902">
        <v>255</v>
      </c>
      <c r="D902" t="s">
        <v>2</v>
      </c>
      <c r="E902" t="s">
        <v>3729</v>
      </c>
      <c r="F902" t="s">
        <v>76</v>
      </c>
      <c r="G902" t="s">
        <v>4</v>
      </c>
      <c r="H902">
        <v>0</v>
      </c>
      <c r="I902">
        <v>0</v>
      </c>
      <c r="J902">
        <v>2012</v>
      </c>
      <c r="K902" t="str">
        <f>IF(Books[[#This Row],[AVERAGE RATING]]&gt;=4,"High",IF(Books[[#This Row],[AVERAGE RATING]]&gt;=3,"Medium","Low"))</f>
        <v>Low</v>
      </c>
      <c r="L902" t="str">
        <f>IF(Books[[#This Row],[AVERAGE RATING]]&gt;10000,"Popular","Average")</f>
        <v>Average</v>
      </c>
      <c r="M902">
        <f>Books[[#This Row],[AVERAGE RATING]]*Books[[#This Row],[RATINGS COUNT]]</f>
        <v>0</v>
      </c>
    </row>
    <row r="903" spans="1:13" x14ac:dyDescent="0.25">
      <c r="A903" t="s">
        <v>2086</v>
      </c>
      <c r="B903" t="s">
        <v>2087</v>
      </c>
      <c r="C903">
        <v>249</v>
      </c>
      <c r="D903" t="s">
        <v>207</v>
      </c>
      <c r="E903" t="s">
        <v>3730</v>
      </c>
      <c r="F903" t="s">
        <v>2088</v>
      </c>
      <c r="G903" t="s">
        <v>4</v>
      </c>
      <c r="H903">
        <v>0</v>
      </c>
      <c r="I903">
        <v>0</v>
      </c>
      <c r="J903">
        <v>2015</v>
      </c>
      <c r="K903" t="str">
        <f>IF(Books[[#This Row],[AVERAGE RATING]]&gt;=4,"High",IF(Books[[#This Row],[AVERAGE RATING]]&gt;=3,"Medium","Low"))</f>
        <v>Low</v>
      </c>
      <c r="L903" t="str">
        <f>IF(Books[[#This Row],[AVERAGE RATING]]&gt;10000,"Popular","Average")</f>
        <v>Average</v>
      </c>
      <c r="M903">
        <f>Books[[#This Row],[AVERAGE RATING]]*Books[[#This Row],[RATINGS COUNT]]</f>
        <v>0</v>
      </c>
    </row>
    <row r="904" spans="1:13" x14ac:dyDescent="0.25">
      <c r="A904" t="s">
        <v>2089</v>
      </c>
      <c r="B904" t="s">
        <v>2090</v>
      </c>
      <c r="C904">
        <v>23</v>
      </c>
      <c r="D904" t="s">
        <v>339</v>
      </c>
      <c r="E904" t="s">
        <v>3731</v>
      </c>
      <c r="F904" t="s">
        <v>2066</v>
      </c>
      <c r="G904" t="s">
        <v>4</v>
      </c>
      <c r="H904">
        <v>0</v>
      </c>
      <c r="I904">
        <v>0</v>
      </c>
      <c r="J904">
        <v>2015</v>
      </c>
      <c r="K904" t="str">
        <f>IF(Books[[#This Row],[AVERAGE RATING]]&gt;=4,"High",IF(Books[[#This Row],[AVERAGE RATING]]&gt;=3,"Medium","Low"))</f>
        <v>Low</v>
      </c>
      <c r="L904" t="str">
        <f>IF(Books[[#This Row],[AVERAGE RATING]]&gt;10000,"Popular","Average")</f>
        <v>Average</v>
      </c>
      <c r="M904">
        <f>Books[[#This Row],[AVERAGE RATING]]*Books[[#This Row],[RATINGS COUNT]]</f>
        <v>0</v>
      </c>
    </row>
    <row r="905" spans="1:13" x14ac:dyDescent="0.25">
      <c r="A905" t="s">
        <v>2091</v>
      </c>
      <c r="B905" t="s">
        <v>1332</v>
      </c>
      <c r="C905">
        <v>26</v>
      </c>
      <c r="D905" t="s">
        <v>11</v>
      </c>
      <c r="E905" t="s">
        <v>3732</v>
      </c>
      <c r="F905" t="s">
        <v>935</v>
      </c>
      <c r="G905" t="s">
        <v>4</v>
      </c>
      <c r="H905">
        <v>0</v>
      </c>
      <c r="I905">
        <v>0</v>
      </c>
      <c r="J905">
        <v>2014</v>
      </c>
      <c r="K905" t="str">
        <f>IF(Books[[#This Row],[AVERAGE RATING]]&gt;=4,"High",IF(Books[[#This Row],[AVERAGE RATING]]&gt;=3,"Medium","Low"))</f>
        <v>Low</v>
      </c>
      <c r="L905" t="str">
        <f>IF(Books[[#This Row],[AVERAGE RATING]]&gt;10000,"Popular","Average")</f>
        <v>Average</v>
      </c>
      <c r="M905">
        <f>Books[[#This Row],[AVERAGE RATING]]*Books[[#This Row],[RATINGS COUNT]]</f>
        <v>0</v>
      </c>
    </row>
    <row r="906" spans="1:13" x14ac:dyDescent="0.25">
      <c r="A906" t="s">
        <v>2092</v>
      </c>
      <c r="B906" t="s">
        <v>1346</v>
      </c>
      <c r="C906">
        <v>246</v>
      </c>
      <c r="D906" t="s">
        <v>207</v>
      </c>
      <c r="E906" t="s">
        <v>3733</v>
      </c>
      <c r="F906" t="s">
        <v>1347</v>
      </c>
      <c r="G906" t="s">
        <v>4</v>
      </c>
      <c r="H906">
        <v>0</v>
      </c>
      <c r="I906">
        <v>0</v>
      </c>
      <c r="J906">
        <v>2023</v>
      </c>
      <c r="K906" t="str">
        <f>IF(Books[[#This Row],[AVERAGE RATING]]&gt;=4,"High",IF(Books[[#This Row],[AVERAGE RATING]]&gt;=3,"Medium","Low"))</f>
        <v>Low</v>
      </c>
      <c r="L906" t="str">
        <f>IF(Books[[#This Row],[AVERAGE RATING]]&gt;10000,"Popular","Average")</f>
        <v>Average</v>
      </c>
      <c r="M906">
        <f>Books[[#This Row],[AVERAGE RATING]]*Books[[#This Row],[RATINGS COUNT]]</f>
        <v>0</v>
      </c>
    </row>
    <row r="907" spans="1:13" x14ac:dyDescent="0.25">
      <c r="A907" t="s">
        <v>2093</v>
      </c>
      <c r="B907" t="s">
        <v>2094</v>
      </c>
      <c r="C907">
        <v>186</v>
      </c>
      <c r="D907" t="s">
        <v>207</v>
      </c>
      <c r="E907" t="s">
        <v>3734</v>
      </c>
      <c r="F907" t="s">
        <v>1339</v>
      </c>
      <c r="G907" t="s">
        <v>4</v>
      </c>
      <c r="H907">
        <v>0</v>
      </c>
      <c r="I907">
        <v>0</v>
      </c>
      <c r="J907">
        <v>2012</v>
      </c>
      <c r="K907" t="str">
        <f>IF(Books[[#This Row],[AVERAGE RATING]]&gt;=4,"High",IF(Books[[#This Row],[AVERAGE RATING]]&gt;=3,"Medium","Low"))</f>
        <v>Low</v>
      </c>
      <c r="L907" t="str">
        <f>IF(Books[[#This Row],[AVERAGE RATING]]&gt;10000,"Popular","Average")</f>
        <v>Average</v>
      </c>
      <c r="M907">
        <f>Books[[#This Row],[AVERAGE RATING]]*Books[[#This Row],[RATINGS COUNT]]</f>
        <v>0</v>
      </c>
    </row>
    <row r="908" spans="1:13" x14ac:dyDescent="0.25">
      <c r="A908" t="s">
        <v>2095</v>
      </c>
      <c r="B908" t="s">
        <v>2096</v>
      </c>
      <c r="C908">
        <v>196</v>
      </c>
      <c r="D908" t="s">
        <v>135</v>
      </c>
      <c r="E908" t="s">
        <v>3735</v>
      </c>
      <c r="F908" t="s">
        <v>1710</v>
      </c>
      <c r="G908" t="s">
        <v>4</v>
      </c>
      <c r="H908">
        <v>0</v>
      </c>
      <c r="I908">
        <v>0</v>
      </c>
      <c r="J908">
        <v>2014</v>
      </c>
      <c r="K908" t="str">
        <f>IF(Books[[#This Row],[AVERAGE RATING]]&gt;=4,"High",IF(Books[[#This Row],[AVERAGE RATING]]&gt;=3,"Medium","Low"))</f>
        <v>Low</v>
      </c>
      <c r="L908" t="str">
        <f>IF(Books[[#This Row],[AVERAGE RATING]]&gt;10000,"Popular","Average")</f>
        <v>Average</v>
      </c>
      <c r="M908">
        <f>Books[[#This Row],[AVERAGE RATING]]*Books[[#This Row],[RATINGS COUNT]]</f>
        <v>0</v>
      </c>
    </row>
    <row r="909" spans="1:13" x14ac:dyDescent="0.25">
      <c r="A909" t="s">
        <v>2097</v>
      </c>
      <c r="B909" t="s">
        <v>2098</v>
      </c>
      <c r="C909">
        <v>203</v>
      </c>
      <c r="D909" t="s">
        <v>2</v>
      </c>
      <c r="E909" t="s">
        <v>3736</v>
      </c>
      <c r="F909" t="s">
        <v>76</v>
      </c>
      <c r="G909" t="s">
        <v>4</v>
      </c>
      <c r="H909">
        <v>0</v>
      </c>
      <c r="I909">
        <v>0</v>
      </c>
      <c r="J909">
        <v>2012</v>
      </c>
      <c r="K909" t="str">
        <f>IF(Books[[#This Row],[AVERAGE RATING]]&gt;=4,"High",IF(Books[[#This Row],[AVERAGE RATING]]&gt;=3,"Medium","Low"))</f>
        <v>Low</v>
      </c>
      <c r="L909" t="str">
        <f>IF(Books[[#This Row],[AVERAGE RATING]]&gt;10000,"Popular","Average")</f>
        <v>Average</v>
      </c>
      <c r="M909">
        <f>Books[[#This Row],[AVERAGE RATING]]*Books[[#This Row],[RATINGS COUNT]]</f>
        <v>0</v>
      </c>
    </row>
    <row r="910" spans="1:13" x14ac:dyDescent="0.25">
      <c r="A910" t="s">
        <v>2099</v>
      </c>
      <c r="B910" t="s">
        <v>2100</v>
      </c>
      <c r="C910">
        <v>265</v>
      </c>
      <c r="D910" t="s">
        <v>2</v>
      </c>
      <c r="E910" t="s">
        <v>3737</v>
      </c>
      <c r="F910" t="s">
        <v>76</v>
      </c>
      <c r="G910" t="s">
        <v>4</v>
      </c>
      <c r="H910">
        <v>0</v>
      </c>
      <c r="I910">
        <v>0</v>
      </c>
      <c r="J910">
        <v>2014</v>
      </c>
      <c r="K910" t="str">
        <f>IF(Books[[#This Row],[AVERAGE RATING]]&gt;=4,"High",IF(Books[[#This Row],[AVERAGE RATING]]&gt;=3,"Medium","Low"))</f>
        <v>Low</v>
      </c>
      <c r="L910" t="str">
        <f>IF(Books[[#This Row],[AVERAGE RATING]]&gt;10000,"Popular","Average")</f>
        <v>Average</v>
      </c>
      <c r="M910">
        <f>Books[[#This Row],[AVERAGE RATING]]*Books[[#This Row],[RATINGS COUNT]]</f>
        <v>0</v>
      </c>
    </row>
    <row r="911" spans="1:13" x14ac:dyDescent="0.25">
      <c r="A911" t="s">
        <v>2101</v>
      </c>
      <c r="B911" t="s">
        <v>1278</v>
      </c>
      <c r="C911">
        <v>340</v>
      </c>
      <c r="D911" t="s">
        <v>11</v>
      </c>
      <c r="E911" t="s">
        <v>3287</v>
      </c>
      <c r="F911" t="s">
        <v>2102</v>
      </c>
      <c r="G911" t="s">
        <v>2103</v>
      </c>
      <c r="H911">
        <v>0</v>
      </c>
      <c r="I911">
        <v>0</v>
      </c>
      <c r="J911">
        <v>2010</v>
      </c>
      <c r="K911" t="str">
        <f>IF(Books[[#This Row],[AVERAGE RATING]]&gt;=4,"High",IF(Books[[#This Row],[AVERAGE RATING]]&gt;=3,"Medium","Low"))</f>
        <v>Low</v>
      </c>
      <c r="L911" t="str">
        <f>IF(Books[[#This Row],[AVERAGE RATING]]&gt;10000,"Popular","Average")</f>
        <v>Average</v>
      </c>
      <c r="M911">
        <f>Books[[#This Row],[AVERAGE RATING]]*Books[[#This Row],[RATINGS COUNT]]</f>
        <v>0</v>
      </c>
    </row>
    <row r="912" spans="1:13" x14ac:dyDescent="0.25">
      <c r="A912" t="s">
        <v>2104</v>
      </c>
      <c r="B912" t="s">
        <v>2105</v>
      </c>
      <c r="C912">
        <v>347</v>
      </c>
      <c r="D912" t="s">
        <v>54</v>
      </c>
      <c r="E912" t="s">
        <v>3311</v>
      </c>
      <c r="F912" t="s">
        <v>2102</v>
      </c>
      <c r="G912" t="s">
        <v>2103</v>
      </c>
      <c r="H912">
        <v>0</v>
      </c>
      <c r="I912">
        <v>0</v>
      </c>
      <c r="J912">
        <v>2019</v>
      </c>
      <c r="K912" t="str">
        <f>IF(Books[[#This Row],[AVERAGE RATING]]&gt;=4,"High",IF(Books[[#This Row],[AVERAGE RATING]]&gt;=3,"Medium","Low"))</f>
        <v>Low</v>
      </c>
      <c r="L912" t="str">
        <f>IF(Books[[#This Row],[AVERAGE RATING]]&gt;10000,"Popular","Average")</f>
        <v>Average</v>
      </c>
      <c r="M912">
        <f>Books[[#This Row],[AVERAGE RATING]]*Books[[#This Row],[RATINGS COUNT]]</f>
        <v>0</v>
      </c>
    </row>
    <row r="913" spans="1:13" x14ac:dyDescent="0.25">
      <c r="A913" t="s">
        <v>2106</v>
      </c>
      <c r="B913" t="s">
        <v>2107</v>
      </c>
      <c r="C913">
        <v>240</v>
      </c>
      <c r="D913" t="s">
        <v>45</v>
      </c>
      <c r="E913" t="s">
        <v>3738</v>
      </c>
      <c r="F913" t="s">
        <v>1664</v>
      </c>
      <c r="G913" t="s">
        <v>4</v>
      </c>
      <c r="H913">
        <v>0</v>
      </c>
      <c r="I913">
        <v>0</v>
      </c>
      <c r="J913">
        <v>2012</v>
      </c>
      <c r="K913" t="str">
        <f>IF(Books[[#This Row],[AVERAGE RATING]]&gt;=4,"High",IF(Books[[#This Row],[AVERAGE RATING]]&gt;=3,"Medium","Low"))</f>
        <v>Low</v>
      </c>
      <c r="L913" t="str">
        <f>IF(Books[[#This Row],[AVERAGE RATING]]&gt;10000,"Popular","Average")</f>
        <v>Average</v>
      </c>
      <c r="M913">
        <f>Books[[#This Row],[AVERAGE RATING]]*Books[[#This Row],[RATINGS COUNT]]</f>
        <v>0</v>
      </c>
    </row>
    <row r="914" spans="1:13" x14ac:dyDescent="0.25">
      <c r="A914" t="s">
        <v>2108</v>
      </c>
      <c r="B914" t="s">
        <v>2109</v>
      </c>
      <c r="C914">
        <v>74</v>
      </c>
      <c r="D914" t="s">
        <v>63</v>
      </c>
      <c r="E914" t="s">
        <v>3217</v>
      </c>
      <c r="F914" t="s">
        <v>2110</v>
      </c>
      <c r="G914" t="s">
        <v>4</v>
      </c>
      <c r="H914">
        <v>0</v>
      </c>
      <c r="I914">
        <v>0</v>
      </c>
      <c r="J914">
        <v>2016</v>
      </c>
      <c r="K914" t="str">
        <f>IF(Books[[#This Row],[AVERAGE RATING]]&gt;=4,"High",IF(Books[[#This Row],[AVERAGE RATING]]&gt;=3,"Medium","Low"))</f>
        <v>Low</v>
      </c>
      <c r="L914" t="str">
        <f>IF(Books[[#This Row],[AVERAGE RATING]]&gt;10000,"Popular","Average")</f>
        <v>Average</v>
      </c>
      <c r="M914">
        <f>Books[[#This Row],[AVERAGE RATING]]*Books[[#This Row],[RATINGS COUNT]]</f>
        <v>0</v>
      </c>
    </row>
    <row r="915" spans="1:13" x14ac:dyDescent="0.25">
      <c r="A915" t="s">
        <v>2111</v>
      </c>
      <c r="B915" t="s">
        <v>2112</v>
      </c>
      <c r="C915">
        <v>201</v>
      </c>
      <c r="D915" t="s">
        <v>2</v>
      </c>
      <c r="E915" t="s">
        <v>3739</v>
      </c>
      <c r="F915" t="s">
        <v>76</v>
      </c>
      <c r="G915" t="s">
        <v>4</v>
      </c>
      <c r="H915">
        <v>0</v>
      </c>
      <c r="I915">
        <v>0</v>
      </c>
      <c r="J915">
        <v>2015</v>
      </c>
      <c r="K915" t="str">
        <f>IF(Books[[#This Row],[AVERAGE RATING]]&gt;=4,"High",IF(Books[[#This Row],[AVERAGE RATING]]&gt;=3,"Medium","Low"))</f>
        <v>Low</v>
      </c>
      <c r="L915" t="str">
        <f>IF(Books[[#This Row],[AVERAGE RATING]]&gt;10000,"Popular","Average")</f>
        <v>Average</v>
      </c>
      <c r="M915">
        <f>Books[[#This Row],[AVERAGE RATING]]*Books[[#This Row],[RATINGS COUNT]]</f>
        <v>0</v>
      </c>
    </row>
    <row r="916" spans="1:13" x14ac:dyDescent="0.25">
      <c r="A916" t="s">
        <v>2113</v>
      </c>
      <c r="B916" t="s">
        <v>2105</v>
      </c>
      <c r="C916">
        <v>371</v>
      </c>
      <c r="D916" t="s">
        <v>11</v>
      </c>
      <c r="E916" t="s">
        <v>3409</v>
      </c>
      <c r="F916" t="s">
        <v>2102</v>
      </c>
      <c r="G916" t="s">
        <v>2103</v>
      </c>
      <c r="H916">
        <v>0</v>
      </c>
      <c r="I916">
        <v>0</v>
      </c>
      <c r="J916">
        <v>2020</v>
      </c>
      <c r="K916" t="str">
        <f>IF(Books[[#This Row],[AVERAGE RATING]]&gt;=4,"High",IF(Books[[#This Row],[AVERAGE RATING]]&gt;=3,"Medium","Low"))</f>
        <v>Low</v>
      </c>
      <c r="L916" t="str">
        <f>IF(Books[[#This Row],[AVERAGE RATING]]&gt;10000,"Popular","Average")</f>
        <v>Average</v>
      </c>
      <c r="M916">
        <f>Books[[#This Row],[AVERAGE RATING]]*Books[[#This Row],[RATINGS COUNT]]</f>
        <v>0</v>
      </c>
    </row>
    <row r="917" spans="1:13" x14ac:dyDescent="0.25">
      <c r="A917" t="s">
        <v>2114</v>
      </c>
      <c r="B917" t="s">
        <v>2115</v>
      </c>
      <c r="C917">
        <v>95</v>
      </c>
      <c r="D917" t="s">
        <v>38</v>
      </c>
      <c r="E917" t="s">
        <v>3740</v>
      </c>
      <c r="F917" t="s">
        <v>18</v>
      </c>
      <c r="G917" t="s">
        <v>4</v>
      </c>
      <c r="H917">
        <v>0</v>
      </c>
      <c r="I917">
        <v>0</v>
      </c>
      <c r="J917">
        <v>2020</v>
      </c>
      <c r="K917" t="str">
        <f>IF(Books[[#This Row],[AVERAGE RATING]]&gt;=4,"High",IF(Books[[#This Row],[AVERAGE RATING]]&gt;=3,"Medium","Low"))</f>
        <v>Low</v>
      </c>
      <c r="L917" t="str">
        <f>IF(Books[[#This Row],[AVERAGE RATING]]&gt;10000,"Popular","Average")</f>
        <v>Average</v>
      </c>
      <c r="M917">
        <f>Books[[#This Row],[AVERAGE RATING]]*Books[[#This Row],[RATINGS COUNT]]</f>
        <v>0</v>
      </c>
    </row>
    <row r="918" spans="1:13" x14ac:dyDescent="0.25">
      <c r="A918" t="s">
        <v>2116</v>
      </c>
      <c r="B918" t="s">
        <v>1278</v>
      </c>
      <c r="C918">
        <v>564</v>
      </c>
      <c r="D918" t="s">
        <v>453</v>
      </c>
      <c r="E918" t="s">
        <v>3420</v>
      </c>
      <c r="F918" t="s">
        <v>1279</v>
      </c>
      <c r="G918" t="s">
        <v>4</v>
      </c>
      <c r="H918">
        <v>0</v>
      </c>
      <c r="I918">
        <v>0</v>
      </c>
      <c r="J918">
        <v>2025</v>
      </c>
      <c r="K918" t="str">
        <f>IF(Books[[#This Row],[AVERAGE RATING]]&gt;=4,"High",IF(Books[[#This Row],[AVERAGE RATING]]&gt;=3,"Medium","Low"))</f>
        <v>Low</v>
      </c>
      <c r="L918" t="str">
        <f>IF(Books[[#This Row],[AVERAGE RATING]]&gt;10000,"Popular","Average")</f>
        <v>Average</v>
      </c>
      <c r="M918">
        <f>Books[[#This Row],[AVERAGE RATING]]*Books[[#This Row],[RATINGS COUNT]]</f>
        <v>0</v>
      </c>
    </row>
    <row r="919" spans="1:13" x14ac:dyDescent="0.25">
      <c r="A919" t="s">
        <v>2117</v>
      </c>
      <c r="B919" t="s">
        <v>2118</v>
      </c>
      <c r="C919">
        <v>418</v>
      </c>
      <c r="D919" t="s">
        <v>673</v>
      </c>
      <c r="E919" t="s">
        <v>3101</v>
      </c>
      <c r="F919" t="s">
        <v>1956</v>
      </c>
      <c r="G919" t="s">
        <v>4</v>
      </c>
      <c r="H919">
        <v>0</v>
      </c>
      <c r="I919">
        <v>0</v>
      </c>
      <c r="J919">
        <v>2000</v>
      </c>
      <c r="K919" t="str">
        <f>IF(Books[[#This Row],[AVERAGE RATING]]&gt;=4,"High",IF(Books[[#This Row],[AVERAGE RATING]]&gt;=3,"Medium","Low"))</f>
        <v>Low</v>
      </c>
      <c r="L919" t="str">
        <f>IF(Books[[#This Row],[AVERAGE RATING]]&gt;10000,"Popular","Average")</f>
        <v>Average</v>
      </c>
      <c r="M919">
        <f>Books[[#This Row],[AVERAGE RATING]]*Books[[#This Row],[RATINGS COUNT]]</f>
        <v>0</v>
      </c>
    </row>
    <row r="920" spans="1:13" x14ac:dyDescent="0.25">
      <c r="A920" t="s">
        <v>2119</v>
      </c>
      <c r="B920" t="s">
        <v>2120</v>
      </c>
      <c r="C920">
        <v>162</v>
      </c>
      <c r="D920" t="s">
        <v>59</v>
      </c>
      <c r="E920" t="s">
        <v>3283</v>
      </c>
      <c r="F920" t="s">
        <v>348</v>
      </c>
      <c r="G920" t="s">
        <v>4</v>
      </c>
      <c r="H920">
        <v>0</v>
      </c>
      <c r="I920">
        <v>0</v>
      </c>
      <c r="J920">
        <v>2025</v>
      </c>
      <c r="K920" t="str">
        <f>IF(Books[[#This Row],[AVERAGE RATING]]&gt;=4,"High",IF(Books[[#This Row],[AVERAGE RATING]]&gt;=3,"Medium","Low"))</f>
        <v>Low</v>
      </c>
      <c r="L920" t="str">
        <f>IF(Books[[#This Row],[AVERAGE RATING]]&gt;10000,"Popular","Average")</f>
        <v>Average</v>
      </c>
      <c r="M920">
        <f>Books[[#This Row],[AVERAGE RATING]]*Books[[#This Row],[RATINGS COUNT]]</f>
        <v>0</v>
      </c>
    </row>
    <row r="921" spans="1:13" x14ac:dyDescent="0.25">
      <c r="A921" t="s">
        <v>2121</v>
      </c>
      <c r="B921" t="s">
        <v>2122</v>
      </c>
      <c r="C921">
        <v>356</v>
      </c>
      <c r="D921" t="s">
        <v>673</v>
      </c>
      <c r="E921" t="s">
        <v>3741</v>
      </c>
      <c r="F921" t="s">
        <v>1956</v>
      </c>
      <c r="G921" t="s">
        <v>4</v>
      </c>
      <c r="H921">
        <v>0</v>
      </c>
      <c r="I921">
        <v>0</v>
      </c>
      <c r="J921">
        <v>1960</v>
      </c>
      <c r="K921" t="str">
        <f>IF(Books[[#This Row],[AVERAGE RATING]]&gt;=4,"High",IF(Books[[#This Row],[AVERAGE RATING]]&gt;=3,"Medium","Low"))</f>
        <v>Low</v>
      </c>
      <c r="L921" t="str">
        <f>IF(Books[[#This Row],[AVERAGE RATING]]&gt;10000,"Popular","Average")</f>
        <v>Average</v>
      </c>
      <c r="M921">
        <f>Books[[#This Row],[AVERAGE RATING]]*Books[[#This Row],[RATINGS COUNT]]</f>
        <v>0</v>
      </c>
    </row>
    <row r="922" spans="1:13" x14ac:dyDescent="0.25">
      <c r="A922" t="s">
        <v>2123</v>
      </c>
      <c r="B922" t="s">
        <v>2124</v>
      </c>
      <c r="C922">
        <v>111</v>
      </c>
      <c r="D922" t="s">
        <v>263</v>
      </c>
      <c r="E922" t="s">
        <v>3742</v>
      </c>
      <c r="F922" t="s">
        <v>2125</v>
      </c>
      <c r="G922" t="s">
        <v>4</v>
      </c>
      <c r="H922">
        <v>0</v>
      </c>
      <c r="I922">
        <v>0</v>
      </c>
      <c r="J922">
        <v>2023</v>
      </c>
      <c r="K922" t="str">
        <f>IF(Books[[#This Row],[AVERAGE RATING]]&gt;=4,"High",IF(Books[[#This Row],[AVERAGE RATING]]&gt;=3,"Medium","Low"))</f>
        <v>Low</v>
      </c>
      <c r="L922" t="str">
        <f>IF(Books[[#This Row],[AVERAGE RATING]]&gt;10000,"Popular","Average")</f>
        <v>Average</v>
      </c>
      <c r="M922">
        <f>Books[[#This Row],[AVERAGE RATING]]*Books[[#This Row],[RATINGS COUNT]]</f>
        <v>0</v>
      </c>
    </row>
    <row r="923" spans="1:13" x14ac:dyDescent="0.25">
      <c r="A923" t="s">
        <v>2126</v>
      </c>
      <c r="B923" t="s">
        <v>2127</v>
      </c>
      <c r="C923">
        <v>200</v>
      </c>
      <c r="D923" t="s">
        <v>28</v>
      </c>
      <c r="E923" t="s">
        <v>3743</v>
      </c>
      <c r="F923" t="s">
        <v>594</v>
      </c>
      <c r="G923" t="s">
        <v>4</v>
      </c>
      <c r="H923">
        <v>0</v>
      </c>
      <c r="I923">
        <v>0</v>
      </c>
      <c r="J923">
        <v>2011</v>
      </c>
      <c r="K923" t="str">
        <f>IF(Books[[#This Row],[AVERAGE RATING]]&gt;=4,"High",IF(Books[[#This Row],[AVERAGE RATING]]&gt;=3,"Medium","Low"))</f>
        <v>Low</v>
      </c>
      <c r="L923" t="str">
        <f>IF(Books[[#This Row],[AVERAGE RATING]]&gt;10000,"Popular","Average")</f>
        <v>Average</v>
      </c>
      <c r="M923">
        <f>Books[[#This Row],[AVERAGE RATING]]*Books[[#This Row],[RATINGS COUNT]]</f>
        <v>0</v>
      </c>
    </row>
    <row r="924" spans="1:13" x14ac:dyDescent="0.25">
      <c r="A924" t="s">
        <v>2128</v>
      </c>
      <c r="B924" t="s">
        <v>2129</v>
      </c>
      <c r="C924">
        <v>152</v>
      </c>
      <c r="D924" t="s">
        <v>125</v>
      </c>
      <c r="E924" t="s">
        <v>3744</v>
      </c>
      <c r="F924" t="s">
        <v>122</v>
      </c>
      <c r="G924" t="s">
        <v>4</v>
      </c>
      <c r="H924">
        <v>0</v>
      </c>
      <c r="I924">
        <v>0</v>
      </c>
      <c r="J924">
        <v>2024</v>
      </c>
      <c r="K924" t="str">
        <f>IF(Books[[#This Row],[AVERAGE RATING]]&gt;=4,"High",IF(Books[[#This Row],[AVERAGE RATING]]&gt;=3,"Medium","Low"))</f>
        <v>Low</v>
      </c>
      <c r="L924" t="str">
        <f>IF(Books[[#This Row],[AVERAGE RATING]]&gt;10000,"Popular","Average")</f>
        <v>Average</v>
      </c>
      <c r="M924">
        <f>Books[[#This Row],[AVERAGE RATING]]*Books[[#This Row],[RATINGS COUNT]]</f>
        <v>0</v>
      </c>
    </row>
    <row r="925" spans="1:13" x14ac:dyDescent="0.25">
      <c r="A925" t="s">
        <v>2130</v>
      </c>
      <c r="B925" t="s">
        <v>2131</v>
      </c>
      <c r="C925">
        <v>360</v>
      </c>
      <c r="D925" t="s">
        <v>118</v>
      </c>
      <c r="E925" t="s">
        <v>3745</v>
      </c>
      <c r="F925" t="s">
        <v>119</v>
      </c>
      <c r="G925" t="s">
        <v>4</v>
      </c>
      <c r="H925">
        <v>0</v>
      </c>
      <c r="I925">
        <v>0</v>
      </c>
      <c r="J925">
        <v>2021</v>
      </c>
      <c r="K925" t="str">
        <f>IF(Books[[#This Row],[AVERAGE RATING]]&gt;=4,"High",IF(Books[[#This Row],[AVERAGE RATING]]&gt;=3,"Medium","Low"))</f>
        <v>Low</v>
      </c>
      <c r="L925" t="str">
        <f>IF(Books[[#This Row],[AVERAGE RATING]]&gt;10000,"Popular","Average")</f>
        <v>Average</v>
      </c>
      <c r="M925">
        <f>Books[[#This Row],[AVERAGE RATING]]*Books[[#This Row],[RATINGS COUNT]]</f>
        <v>0</v>
      </c>
    </row>
    <row r="926" spans="1:13" x14ac:dyDescent="0.25">
      <c r="A926" t="s">
        <v>2132</v>
      </c>
      <c r="B926" t="s">
        <v>2133</v>
      </c>
      <c r="C926">
        <v>476</v>
      </c>
      <c r="D926" t="s">
        <v>28</v>
      </c>
      <c r="E926" t="s">
        <v>3746</v>
      </c>
      <c r="F926" t="s">
        <v>122</v>
      </c>
      <c r="G926" t="s">
        <v>4</v>
      </c>
      <c r="H926">
        <v>0</v>
      </c>
      <c r="I926">
        <v>0</v>
      </c>
      <c r="J926">
        <v>2006</v>
      </c>
      <c r="K926" t="str">
        <f>IF(Books[[#This Row],[AVERAGE RATING]]&gt;=4,"High",IF(Books[[#This Row],[AVERAGE RATING]]&gt;=3,"Medium","Low"))</f>
        <v>Low</v>
      </c>
      <c r="L926" t="str">
        <f>IF(Books[[#This Row],[AVERAGE RATING]]&gt;10000,"Popular","Average")</f>
        <v>Average</v>
      </c>
      <c r="M926">
        <f>Books[[#This Row],[AVERAGE RATING]]*Books[[#This Row],[RATINGS COUNT]]</f>
        <v>0</v>
      </c>
    </row>
    <row r="927" spans="1:13" x14ac:dyDescent="0.25">
      <c r="A927" t="s">
        <v>2134</v>
      </c>
      <c r="B927" t="s">
        <v>2135</v>
      </c>
      <c r="C927">
        <v>154</v>
      </c>
      <c r="D927" t="s">
        <v>54</v>
      </c>
      <c r="E927" t="s">
        <v>3747</v>
      </c>
      <c r="F927" t="s">
        <v>2136</v>
      </c>
      <c r="G927" t="s">
        <v>4</v>
      </c>
      <c r="H927">
        <v>0</v>
      </c>
      <c r="I927">
        <v>0</v>
      </c>
      <c r="J927">
        <v>2016</v>
      </c>
      <c r="K927" t="str">
        <f>IF(Books[[#This Row],[AVERAGE RATING]]&gt;=4,"High",IF(Books[[#This Row],[AVERAGE RATING]]&gt;=3,"Medium","Low"))</f>
        <v>Low</v>
      </c>
      <c r="L927" t="str">
        <f>IF(Books[[#This Row],[AVERAGE RATING]]&gt;10000,"Popular","Average")</f>
        <v>Average</v>
      </c>
      <c r="M927">
        <f>Books[[#This Row],[AVERAGE RATING]]*Books[[#This Row],[RATINGS COUNT]]</f>
        <v>0</v>
      </c>
    </row>
    <row r="928" spans="1:13" x14ac:dyDescent="0.25">
      <c r="A928" t="s">
        <v>2137</v>
      </c>
      <c r="B928" t="s">
        <v>2140</v>
      </c>
      <c r="C928">
        <v>143</v>
      </c>
      <c r="D928" t="s">
        <v>11</v>
      </c>
      <c r="E928" t="s">
        <v>3748</v>
      </c>
      <c r="F928" t="s">
        <v>2138</v>
      </c>
      <c r="G928" t="s">
        <v>4</v>
      </c>
      <c r="H928">
        <v>0</v>
      </c>
      <c r="I928">
        <v>0</v>
      </c>
      <c r="J928">
        <v>2023</v>
      </c>
      <c r="K928" t="str">
        <f>IF(Books[[#This Row],[AVERAGE RATING]]&gt;=4,"High",IF(Books[[#This Row],[AVERAGE RATING]]&gt;=3,"Medium","Low"))</f>
        <v>Low</v>
      </c>
      <c r="L928" t="str">
        <f>IF(Books[[#This Row],[AVERAGE RATING]]&gt;10000,"Popular","Average")</f>
        <v>Average</v>
      </c>
      <c r="M928">
        <f>Books[[#This Row],[AVERAGE RATING]]*Books[[#This Row],[RATINGS COUNT]]</f>
        <v>0</v>
      </c>
    </row>
    <row r="929" spans="1:13" x14ac:dyDescent="0.25">
      <c r="A929" t="s">
        <v>2139</v>
      </c>
      <c r="B929" t="s">
        <v>2140</v>
      </c>
      <c r="C929">
        <v>121</v>
      </c>
      <c r="D929" t="s">
        <v>158</v>
      </c>
      <c r="E929" t="s">
        <v>3748</v>
      </c>
      <c r="F929" t="s">
        <v>2138</v>
      </c>
      <c r="G929" t="s">
        <v>4</v>
      </c>
      <c r="H929">
        <v>0</v>
      </c>
      <c r="I929">
        <v>0</v>
      </c>
      <c r="J929">
        <v>2023</v>
      </c>
      <c r="K929" t="str">
        <f>IF(Books[[#This Row],[AVERAGE RATING]]&gt;=4,"High",IF(Books[[#This Row],[AVERAGE RATING]]&gt;=3,"Medium","Low"))</f>
        <v>Low</v>
      </c>
      <c r="L929" t="str">
        <f>IF(Books[[#This Row],[AVERAGE RATING]]&gt;10000,"Popular","Average")</f>
        <v>Average</v>
      </c>
      <c r="M929">
        <f>Books[[#This Row],[AVERAGE RATING]]*Books[[#This Row],[RATINGS COUNT]]</f>
        <v>0</v>
      </c>
    </row>
    <row r="930" spans="1:13" x14ac:dyDescent="0.25">
      <c r="A930" t="s">
        <v>2141</v>
      </c>
      <c r="B930" t="s">
        <v>2140</v>
      </c>
      <c r="C930">
        <v>802</v>
      </c>
      <c r="D930" t="s">
        <v>11</v>
      </c>
      <c r="E930" t="s">
        <v>3376</v>
      </c>
      <c r="F930" t="s">
        <v>73</v>
      </c>
      <c r="G930" t="s">
        <v>4</v>
      </c>
      <c r="H930">
        <v>0</v>
      </c>
      <c r="I930">
        <v>0</v>
      </c>
      <c r="J930">
        <v>2023</v>
      </c>
      <c r="K930" t="str">
        <f>IF(Books[[#This Row],[AVERAGE RATING]]&gt;=4,"High",IF(Books[[#This Row],[AVERAGE RATING]]&gt;=3,"Medium","Low"))</f>
        <v>Low</v>
      </c>
      <c r="L930" t="str">
        <f>IF(Books[[#This Row],[AVERAGE RATING]]&gt;10000,"Popular","Average")</f>
        <v>Average</v>
      </c>
      <c r="M930">
        <f>Books[[#This Row],[AVERAGE RATING]]*Books[[#This Row],[RATINGS COUNT]]</f>
        <v>0</v>
      </c>
    </row>
    <row r="931" spans="1:13" x14ac:dyDescent="0.25">
      <c r="A931" t="s">
        <v>2142</v>
      </c>
      <c r="B931" t="s">
        <v>2140</v>
      </c>
      <c r="C931">
        <v>388</v>
      </c>
      <c r="D931" t="s">
        <v>11</v>
      </c>
      <c r="E931" t="s">
        <v>3749</v>
      </c>
      <c r="F931" t="s">
        <v>2143</v>
      </c>
      <c r="G931" t="s">
        <v>4</v>
      </c>
      <c r="H931">
        <v>0</v>
      </c>
      <c r="I931">
        <v>0</v>
      </c>
      <c r="J931">
        <v>2024</v>
      </c>
      <c r="K931" t="str">
        <f>IF(Books[[#This Row],[AVERAGE RATING]]&gt;=4,"High",IF(Books[[#This Row],[AVERAGE RATING]]&gt;=3,"Medium","Low"))</f>
        <v>Low</v>
      </c>
      <c r="L931" t="str">
        <f>IF(Books[[#This Row],[AVERAGE RATING]]&gt;10000,"Popular","Average")</f>
        <v>Average</v>
      </c>
      <c r="M931">
        <f>Books[[#This Row],[AVERAGE RATING]]*Books[[#This Row],[RATINGS COUNT]]</f>
        <v>0</v>
      </c>
    </row>
    <row r="932" spans="1:13" x14ac:dyDescent="0.25">
      <c r="A932" t="s">
        <v>2144</v>
      </c>
      <c r="B932" t="s">
        <v>2145</v>
      </c>
      <c r="C932">
        <v>197</v>
      </c>
      <c r="D932" t="s">
        <v>2</v>
      </c>
      <c r="E932" t="s">
        <v>3750</v>
      </c>
      <c r="F932" t="s">
        <v>76</v>
      </c>
      <c r="G932" t="s">
        <v>4</v>
      </c>
      <c r="H932">
        <v>0</v>
      </c>
      <c r="I932">
        <v>0</v>
      </c>
      <c r="J932">
        <v>2014</v>
      </c>
      <c r="K932" t="str">
        <f>IF(Books[[#This Row],[AVERAGE RATING]]&gt;=4,"High",IF(Books[[#This Row],[AVERAGE RATING]]&gt;=3,"Medium","Low"))</f>
        <v>Low</v>
      </c>
      <c r="L932" t="str">
        <f>IF(Books[[#This Row],[AVERAGE RATING]]&gt;10000,"Popular","Average")</f>
        <v>Average</v>
      </c>
      <c r="M932">
        <f>Books[[#This Row],[AVERAGE RATING]]*Books[[#This Row],[RATINGS COUNT]]</f>
        <v>0</v>
      </c>
    </row>
    <row r="933" spans="1:13" x14ac:dyDescent="0.25">
      <c r="A933" t="s">
        <v>2146</v>
      </c>
      <c r="B933" t="s">
        <v>2135</v>
      </c>
      <c r="C933">
        <v>178</v>
      </c>
      <c r="D933" t="s">
        <v>54</v>
      </c>
      <c r="E933" t="s">
        <v>3747</v>
      </c>
      <c r="F933" t="s">
        <v>2136</v>
      </c>
      <c r="G933" t="s">
        <v>4</v>
      </c>
      <c r="H933">
        <v>0</v>
      </c>
      <c r="I933">
        <v>0</v>
      </c>
      <c r="J933">
        <v>2016</v>
      </c>
      <c r="K933" t="str">
        <f>IF(Books[[#This Row],[AVERAGE RATING]]&gt;=4,"High",IF(Books[[#This Row],[AVERAGE RATING]]&gt;=3,"Medium","Low"))</f>
        <v>Low</v>
      </c>
      <c r="L933" t="str">
        <f>IF(Books[[#This Row],[AVERAGE RATING]]&gt;10000,"Popular","Average")</f>
        <v>Average</v>
      </c>
      <c r="M933">
        <f>Books[[#This Row],[AVERAGE RATING]]*Books[[#This Row],[RATINGS COUNT]]</f>
        <v>0</v>
      </c>
    </row>
    <row r="934" spans="1:13" x14ac:dyDescent="0.25">
      <c r="A934" t="s">
        <v>2147</v>
      </c>
      <c r="B934" t="s">
        <v>2135</v>
      </c>
      <c r="C934">
        <v>170</v>
      </c>
      <c r="D934" t="s">
        <v>54</v>
      </c>
      <c r="E934" t="s">
        <v>3747</v>
      </c>
      <c r="F934" t="s">
        <v>2136</v>
      </c>
      <c r="G934" t="s">
        <v>4</v>
      </c>
      <c r="H934">
        <v>4.5</v>
      </c>
      <c r="I934">
        <v>2</v>
      </c>
      <c r="J934">
        <v>2016</v>
      </c>
      <c r="K934" t="str">
        <f>IF(Books[[#This Row],[AVERAGE RATING]]&gt;=4,"High",IF(Books[[#This Row],[AVERAGE RATING]]&gt;=3,"Medium","Low"))</f>
        <v>High</v>
      </c>
      <c r="L934" t="str">
        <f>IF(Books[[#This Row],[AVERAGE RATING]]&gt;10000,"Popular","Average")</f>
        <v>Average</v>
      </c>
      <c r="M934">
        <f>Books[[#This Row],[AVERAGE RATING]]*Books[[#This Row],[RATINGS COUNT]]</f>
        <v>9</v>
      </c>
    </row>
    <row r="935" spans="1:13" x14ac:dyDescent="0.25">
      <c r="A935" t="s">
        <v>2148</v>
      </c>
      <c r="B935" t="s">
        <v>2149</v>
      </c>
      <c r="C935">
        <v>322</v>
      </c>
      <c r="D935" t="s">
        <v>38</v>
      </c>
      <c r="E935" t="s">
        <v>3535</v>
      </c>
      <c r="F935" t="s">
        <v>473</v>
      </c>
      <c r="G935" t="s">
        <v>4</v>
      </c>
      <c r="H935">
        <v>0</v>
      </c>
      <c r="I935">
        <v>0</v>
      </c>
      <c r="J935">
        <v>2013</v>
      </c>
      <c r="K935" t="str">
        <f>IF(Books[[#This Row],[AVERAGE RATING]]&gt;=4,"High",IF(Books[[#This Row],[AVERAGE RATING]]&gt;=3,"Medium","Low"))</f>
        <v>Low</v>
      </c>
      <c r="L935" t="str">
        <f>IF(Books[[#This Row],[AVERAGE RATING]]&gt;10000,"Popular","Average")</f>
        <v>Average</v>
      </c>
      <c r="M935">
        <f>Books[[#This Row],[AVERAGE RATING]]*Books[[#This Row],[RATINGS COUNT]]</f>
        <v>0</v>
      </c>
    </row>
    <row r="936" spans="1:13" x14ac:dyDescent="0.25">
      <c r="A936" t="s">
        <v>2150</v>
      </c>
      <c r="B936" t="s">
        <v>2135</v>
      </c>
      <c r="C936">
        <v>186</v>
      </c>
      <c r="D936" t="s">
        <v>54</v>
      </c>
      <c r="E936" t="s">
        <v>3747</v>
      </c>
      <c r="F936" t="s">
        <v>2136</v>
      </c>
      <c r="G936" t="s">
        <v>4</v>
      </c>
      <c r="H936">
        <v>0</v>
      </c>
      <c r="I936">
        <v>0</v>
      </c>
      <c r="J936">
        <v>2016</v>
      </c>
      <c r="K936" t="str">
        <f>IF(Books[[#This Row],[AVERAGE RATING]]&gt;=4,"High",IF(Books[[#This Row],[AVERAGE RATING]]&gt;=3,"Medium","Low"))</f>
        <v>Low</v>
      </c>
      <c r="L936" t="str">
        <f>IF(Books[[#This Row],[AVERAGE RATING]]&gt;10000,"Popular","Average")</f>
        <v>Average</v>
      </c>
      <c r="M936">
        <f>Books[[#This Row],[AVERAGE RATING]]*Books[[#This Row],[RATINGS COUNT]]</f>
        <v>0</v>
      </c>
    </row>
    <row r="937" spans="1:13" x14ac:dyDescent="0.25">
      <c r="A937" t="s">
        <v>2151</v>
      </c>
      <c r="B937" t="s">
        <v>2135</v>
      </c>
      <c r="C937">
        <v>194</v>
      </c>
      <c r="D937" t="s">
        <v>54</v>
      </c>
      <c r="E937" t="s">
        <v>3747</v>
      </c>
      <c r="F937" t="s">
        <v>2136</v>
      </c>
      <c r="G937" t="s">
        <v>4</v>
      </c>
      <c r="H937">
        <v>0</v>
      </c>
      <c r="I937">
        <v>0</v>
      </c>
      <c r="J937">
        <v>2016</v>
      </c>
      <c r="K937" t="str">
        <f>IF(Books[[#This Row],[AVERAGE RATING]]&gt;=4,"High",IF(Books[[#This Row],[AVERAGE RATING]]&gt;=3,"Medium","Low"))</f>
        <v>Low</v>
      </c>
      <c r="L937" t="str">
        <f>IF(Books[[#This Row],[AVERAGE RATING]]&gt;10000,"Popular","Average")</f>
        <v>Average</v>
      </c>
      <c r="M937">
        <f>Books[[#This Row],[AVERAGE RATING]]*Books[[#This Row],[RATINGS COUNT]]</f>
        <v>0</v>
      </c>
    </row>
    <row r="938" spans="1:13" x14ac:dyDescent="0.25">
      <c r="A938" t="s">
        <v>2152</v>
      </c>
      <c r="B938" t="s">
        <v>2135</v>
      </c>
      <c r="C938">
        <v>202</v>
      </c>
      <c r="D938" t="s">
        <v>54</v>
      </c>
      <c r="E938" t="s">
        <v>3747</v>
      </c>
      <c r="F938" t="s">
        <v>2136</v>
      </c>
      <c r="G938" t="s">
        <v>4</v>
      </c>
      <c r="H938">
        <v>0</v>
      </c>
      <c r="I938">
        <v>0</v>
      </c>
      <c r="J938">
        <v>2016</v>
      </c>
      <c r="K938" t="str">
        <f>IF(Books[[#This Row],[AVERAGE RATING]]&gt;=4,"High",IF(Books[[#This Row],[AVERAGE RATING]]&gt;=3,"Medium","Low"))</f>
        <v>Low</v>
      </c>
      <c r="L938" t="str">
        <f>IF(Books[[#This Row],[AVERAGE RATING]]&gt;10000,"Popular","Average")</f>
        <v>Average</v>
      </c>
      <c r="M938">
        <f>Books[[#This Row],[AVERAGE RATING]]*Books[[#This Row],[RATINGS COUNT]]</f>
        <v>0</v>
      </c>
    </row>
    <row r="939" spans="1:13" x14ac:dyDescent="0.25">
      <c r="A939" t="s">
        <v>2153</v>
      </c>
      <c r="B939" t="s">
        <v>2154</v>
      </c>
      <c r="C939">
        <v>172</v>
      </c>
      <c r="D939" t="s">
        <v>453</v>
      </c>
      <c r="E939" t="s">
        <v>3751</v>
      </c>
      <c r="F939" t="s">
        <v>1405</v>
      </c>
      <c r="G939" t="s">
        <v>1304</v>
      </c>
      <c r="H939">
        <v>0</v>
      </c>
      <c r="I939">
        <v>0</v>
      </c>
      <c r="J939">
        <v>2022</v>
      </c>
      <c r="K939" t="str">
        <f>IF(Books[[#This Row],[AVERAGE RATING]]&gt;=4,"High",IF(Books[[#This Row],[AVERAGE RATING]]&gt;=3,"Medium","Low"))</f>
        <v>Low</v>
      </c>
      <c r="L939" t="str">
        <f>IF(Books[[#This Row],[AVERAGE RATING]]&gt;10000,"Popular","Average")</f>
        <v>Average</v>
      </c>
      <c r="M939">
        <f>Books[[#This Row],[AVERAGE RATING]]*Books[[#This Row],[RATINGS COUNT]]</f>
        <v>0</v>
      </c>
    </row>
    <row r="940" spans="1:13" x14ac:dyDescent="0.25">
      <c r="A940" t="s">
        <v>2155</v>
      </c>
      <c r="B940" t="s">
        <v>2154</v>
      </c>
      <c r="C940">
        <v>168</v>
      </c>
      <c r="D940" t="s">
        <v>453</v>
      </c>
      <c r="E940" t="s">
        <v>3751</v>
      </c>
      <c r="F940" t="s">
        <v>1405</v>
      </c>
      <c r="G940" t="s">
        <v>1304</v>
      </c>
      <c r="H940">
        <v>0</v>
      </c>
      <c r="I940">
        <v>0</v>
      </c>
      <c r="J940">
        <v>2022</v>
      </c>
      <c r="K940" t="str">
        <f>IF(Books[[#This Row],[AVERAGE RATING]]&gt;=4,"High",IF(Books[[#This Row],[AVERAGE RATING]]&gt;=3,"Medium","Low"))</f>
        <v>Low</v>
      </c>
      <c r="L940" t="str">
        <f>IF(Books[[#This Row],[AVERAGE RATING]]&gt;10000,"Popular","Average")</f>
        <v>Average</v>
      </c>
      <c r="M940">
        <f>Books[[#This Row],[AVERAGE RATING]]*Books[[#This Row],[RATINGS COUNT]]</f>
        <v>0</v>
      </c>
    </row>
    <row r="941" spans="1:13" x14ac:dyDescent="0.25">
      <c r="A941" t="s">
        <v>2156</v>
      </c>
      <c r="B941" t="s">
        <v>2140</v>
      </c>
      <c r="C941">
        <v>5494</v>
      </c>
      <c r="D941" t="s">
        <v>11</v>
      </c>
      <c r="E941" t="s">
        <v>3752</v>
      </c>
      <c r="F941" t="s">
        <v>2138</v>
      </c>
      <c r="G941" t="s">
        <v>4</v>
      </c>
      <c r="H941">
        <v>0</v>
      </c>
      <c r="I941">
        <v>0</v>
      </c>
      <c r="J941">
        <v>2021</v>
      </c>
      <c r="K941" t="str">
        <f>IF(Books[[#This Row],[AVERAGE RATING]]&gt;=4,"High",IF(Books[[#This Row],[AVERAGE RATING]]&gt;=3,"Medium","Low"))</f>
        <v>Low</v>
      </c>
      <c r="L941" t="str">
        <f>IF(Books[[#This Row],[AVERAGE RATING]]&gt;10000,"Popular","Average")</f>
        <v>Average</v>
      </c>
      <c r="M941">
        <f>Books[[#This Row],[AVERAGE RATING]]*Books[[#This Row],[RATINGS COUNT]]</f>
        <v>0</v>
      </c>
    </row>
    <row r="942" spans="1:13" x14ac:dyDescent="0.25">
      <c r="A942" t="s">
        <v>2157</v>
      </c>
      <c r="B942" t="s">
        <v>2154</v>
      </c>
      <c r="C942">
        <v>150</v>
      </c>
      <c r="D942" t="s">
        <v>453</v>
      </c>
      <c r="E942" t="s">
        <v>3751</v>
      </c>
      <c r="F942" t="s">
        <v>1405</v>
      </c>
      <c r="G942" t="s">
        <v>1304</v>
      </c>
      <c r="H942">
        <v>0</v>
      </c>
      <c r="I942">
        <v>0</v>
      </c>
      <c r="J942">
        <v>2022</v>
      </c>
      <c r="K942" t="str">
        <f>IF(Books[[#This Row],[AVERAGE RATING]]&gt;=4,"High",IF(Books[[#This Row],[AVERAGE RATING]]&gt;=3,"Medium","Low"))</f>
        <v>Low</v>
      </c>
      <c r="L942" t="str">
        <f>IF(Books[[#This Row],[AVERAGE RATING]]&gt;10000,"Popular","Average")</f>
        <v>Average</v>
      </c>
      <c r="M942">
        <f>Books[[#This Row],[AVERAGE RATING]]*Books[[#This Row],[RATINGS COUNT]]</f>
        <v>0</v>
      </c>
    </row>
    <row r="943" spans="1:13" x14ac:dyDescent="0.25">
      <c r="A943" t="s">
        <v>2158</v>
      </c>
      <c r="B943" t="s">
        <v>2154</v>
      </c>
      <c r="C943">
        <v>198</v>
      </c>
      <c r="D943" t="s">
        <v>453</v>
      </c>
      <c r="E943" t="s">
        <v>3751</v>
      </c>
      <c r="F943" t="s">
        <v>1405</v>
      </c>
      <c r="G943" t="s">
        <v>1304</v>
      </c>
      <c r="H943">
        <v>0</v>
      </c>
      <c r="I943">
        <v>0</v>
      </c>
      <c r="J943">
        <v>2022</v>
      </c>
      <c r="K943" t="str">
        <f>IF(Books[[#This Row],[AVERAGE RATING]]&gt;=4,"High",IF(Books[[#This Row],[AVERAGE RATING]]&gt;=3,"Medium","Low"))</f>
        <v>Low</v>
      </c>
      <c r="L943" t="str">
        <f>IF(Books[[#This Row],[AVERAGE RATING]]&gt;10000,"Popular","Average")</f>
        <v>Average</v>
      </c>
      <c r="M943">
        <f>Books[[#This Row],[AVERAGE RATING]]*Books[[#This Row],[RATINGS COUNT]]</f>
        <v>0</v>
      </c>
    </row>
    <row r="944" spans="1:13" x14ac:dyDescent="0.25">
      <c r="A944" t="s">
        <v>2159</v>
      </c>
      <c r="B944" t="s">
        <v>1346</v>
      </c>
      <c r="C944">
        <v>54</v>
      </c>
      <c r="D944" t="s">
        <v>207</v>
      </c>
      <c r="E944" t="s">
        <v>3753</v>
      </c>
      <c r="F944" t="s">
        <v>1347</v>
      </c>
      <c r="G944" t="s">
        <v>4</v>
      </c>
      <c r="H944">
        <v>0</v>
      </c>
      <c r="I944">
        <v>0</v>
      </c>
      <c r="J944">
        <v>2023</v>
      </c>
      <c r="K944" t="str">
        <f>IF(Books[[#This Row],[AVERAGE RATING]]&gt;=4,"High",IF(Books[[#This Row],[AVERAGE RATING]]&gt;=3,"Medium","Low"))</f>
        <v>Low</v>
      </c>
      <c r="L944" t="str">
        <f>IF(Books[[#This Row],[AVERAGE RATING]]&gt;10000,"Popular","Average")</f>
        <v>Average</v>
      </c>
      <c r="M944">
        <f>Books[[#This Row],[AVERAGE RATING]]*Books[[#This Row],[RATINGS COUNT]]</f>
        <v>0</v>
      </c>
    </row>
    <row r="945" spans="1:13" x14ac:dyDescent="0.25">
      <c r="A945" t="s">
        <v>2160</v>
      </c>
      <c r="B945" t="s">
        <v>2161</v>
      </c>
      <c r="C945">
        <v>242</v>
      </c>
      <c r="D945" t="s">
        <v>207</v>
      </c>
      <c r="E945" t="s">
        <v>3754</v>
      </c>
      <c r="F945" t="s">
        <v>930</v>
      </c>
      <c r="G945" t="s">
        <v>4</v>
      </c>
      <c r="H945">
        <v>0</v>
      </c>
      <c r="I945">
        <v>0</v>
      </c>
      <c r="J945">
        <v>2008</v>
      </c>
      <c r="K945" t="str">
        <f>IF(Books[[#This Row],[AVERAGE RATING]]&gt;=4,"High",IF(Books[[#This Row],[AVERAGE RATING]]&gt;=3,"Medium","Low"))</f>
        <v>Low</v>
      </c>
      <c r="L945" t="str">
        <f>IF(Books[[#This Row],[AVERAGE RATING]]&gt;10000,"Popular","Average")</f>
        <v>Average</v>
      </c>
      <c r="M945">
        <f>Books[[#This Row],[AVERAGE RATING]]*Books[[#This Row],[RATINGS COUNT]]</f>
        <v>0</v>
      </c>
    </row>
    <row r="946" spans="1:13" x14ac:dyDescent="0.25">
      <c r="A946" t="s">
        <v>2162</v>
      </c>
      <c r="B946" t="s">
        <v>2163</v>
      </c>
      <c r="C946">
        <v>68</v>
      </c>
      <c r="D946" t="s">
        <v>345</v>
      </c>
      <c r="E946" t="s">
        <v>3373</v>
      </c>
      <c r="F946" t="s">
        <v>2164</v>
      </c>
      <c r="G946" t="s">
        <v>4</v>
      </c>
      <c r="H946">
        <v>4.5</v>
      </c>
      <c r="I946">
        <v>5</v>
      </c>
      <c r="J946">
        <v>1998</v>
      </c>
      <c r="K946" t="str">
        <f>IF(Books[[#This Row],[AVERAGE RATING]]&gt;=4,"High",IF(Books[[#This Row],[AVERAGE RATING]]&gt;=3,"Medium","Low"))</f>
        <v>High</v>
      </c>
      <c r="L946" t="str">
        <f>IF(Books[[#This Row],[AVERAGE RATING]]&gt;10000,"Popular","Average")</f>
        <v>Average</v>
      </c>
      <c r="M946">
        <f>Books[[#This Row],[AVERAGE RATING]]*Books[[#This Row],[RATINGS COUNT]]</f>
        <v>22.5</v>
      </c>
    </row>
    <row r="947" spans="1:13" x14ac:dyDescent="0.25">
      <c r="A947" t="s">
        <v>2165</v>
      </c>
      <c r="B947" t="s">
        <v>2166</v>
      </c>
      <c r="C947">
        <v>69</v>
      </c>
      <c r="D947" t="s">
        <v>2</v>
      </c>
      <c r="E947" t="s">
        <v>3403</v>
      </c>
      <c r="F947" t="s">
        <v>776</v>
      </c>
      <c r="G947" t="s">
        <v>4</v>
      </c>
      <c r="H947">
        <v>0</v>
      </c>
      <c r="I947">
        <v>0</v>
      </c>
      <c r="J947">
        <v>2017</v>
      </c>
      <c r="K947" t="str">
        <f>IF(Books[[#This Row],[AVERAGE RATING]]&gt;=4,"High",IF(Books[[#This Row],[AVERAGE RATING]]&gt;=3,"Medium","Low"))</f>
        <v>Low</v>
      </c>
      <c r="L947" t="str">
        <f>IF(Books[[#This Row],[AVERAGE RATING]]&gt;10000,"Popular","Average")</f>
        <v>Average</v>
      </c>
      <c r="M947">
        <f>Books[[#This Row],[AVERAGE RATING]]*Books[[#This Row],[RATINGS COUNT]]</f>
        <v>0</v>
      </c>
    </row>
    <row r="948" spans="1:13" x14ac:dyDescent="0.25">
      <c r="A948" t="s">
        <v>2167</v>
      </c>
      <c r="B948" t="s">
        <v>2168</v>
      </c>
      <c r="C948">
        <v>231</v>
      </c>
      <c r="D948" t="s">
        <v>11</v>
      </c>
      <c r="E948" t="s">
        <v>3755</v>
      </c>
      <c r="F948" t="s">
        <v>80</v>
      </c>
      <c r="G948" t="s">
        <v>4</v>
      </c>
      <c r="H948">
        <v>0</v>
      </c>
      <c r="I948">
        <v>0</v>
      </c>
      <c r="J948">
        <v>2021</v>
      </c>
      <c r="K948" t="str">
        <f>IF(Books[[#This Row],[AVERAGE RATING]]&gt;=4,"High",IF(Books[[#This Row],[AVERAGE RATING]]&gt;=3,"Medium","Low"))</f>
        <v>Low</v>
      </c>
      <c r="L948" t="str">
        <f>IF(Books[[#This Row],[AVERAGE RATING]]&gt;10000,"Popular","Average")</f>
        <v>Average</v>
      </c>
      <c r="M948">
        <f>Books[[#This Row],[AVERAGE RATING]]*Books[[#This Row],[RATINGS COUNT]]</f>
        <v>0</v>
      </c>
    </row>
    <row r="949" spans="1:13" x14ac:dyDescent="0.25">
      <c r="A949" t="s">
        <v>1327</v>
      </c>
      <c r="B949" t="s">
        <v>2169</v>
      </c>
      <c r="C949">
        <v>102</v>
      </c>
      <c r="D949" t="s">
        <v>54</v>
      </c>
      <c r="E949" t="s">
        <v>3477</v>
      </c>
      <c r="F949" t="s">
        <v>2170</v>
      </c>
      <c r="G949" t="s">
        <v>4</v>
      </c>
      <c r="H949">
        <v>0</v>
      </c>
      <c r="I949">
        <v>0</v>
      </c>
      <c r="J949">
        <v>2024</v>
      </c>
      <c r="K949" t="str">
        <f>IF(Books[[#This Row],[AVERAGE RATING]]&gt;=4,"High",IF(Books[[#This Row],[AVERAGE RATING]]&gt;=3,"Medium","Low"))</f>
        <v>Low</v>
      </c>
      <c r="L949" t="str">
        <f>IF(Books[[#This Row],[AVERAGE RATING]]&gt;10000,"Popular","Average")</f>
        <v>Average</v>
      </c>
      <c r="M949">
        <f>Books[[#This Row],[AVERAGE RATING]]*Books[[#This Row],[RATINGS COUNT]]</f>
        <v>0</v>
      </c>
    </row>
    <row r="950" spans="1:13" x14ac:dyDescent="0.25">
      <c r="A950" t="s">
        <v>2171</v>
      </c>
      <c r="B950" t="s">
        <v>2172</v>
      </c>
      <c r="C950">
        <v>327</v>
      </c>
      <c r="D950" t="s">
        <v>383</v>
      </c>
      <c r="E950" t="s">
        <v>3756</v>
      </c>
      <c r="F950" t="s">
        <v>119</v>
      </c>
      <c r="G950" t="s">
        <v>4</v>
      </c>
      <c r="H950">
        <v>0</v>
      </c>
      <c r="I950">
        <v>0</v>
      </c>
      <c r="J950">
        <v>2022</v>
      </c>
      <c r="K950" t="str">
        <f>IF(Books[[#This Row],[AVERAGE RATING]]&gt;=4,"High",IF(Books[[#This Row],[AVERAGE RATING]]&gt;=3,"Medium","Low"))</f>
        <v>Low</v>
      </c>
      <c r="L950" t="str">
        <f>IF(Books[[#This Row],[AVERAGE RATING]]&gt;10000,"Popular","Average")</f>
        <v>Average</v>
      </c>
      <c r="M950">
        <f>Books[[#This Row],[AVERAGE RATING]]*Books[[#This Row],[RATINGS COUNT]]</f>
        <v>0</v>
      </c>
    </row>
    <row r="951" spans="1:13" x14ac:dyDescent="0.25">
      <c r="A951" t="s">
        <v>1327</v>
      </c>
      <c r="B951" t="s">
        <v>2173</v>
      </c>
      <c r="C951">
        <v>168</v>
      </c>
      <c r="D951" t="s">
        <v>54</v>
      </c>
      <c r="E951" t="s">
        <v>3149</v>
      </c>
      <c r="F951" t="s">
        <v>1321</v>
      </c>
      <c r="G951" t="s">
        <v>4</v>
      </c>
      <c r="H951">
        <v>5</v>
      </c>
      <c r="I951">
        <v>1</v>
      </c>
      <c r="J951">
        <v>2009</v>
      </c>
      <c r="K951" t="str">
        <f>IF(Books[[#This Row],[AVERAGE RATING]]&gt;=4,"High",IF(Books[[#This Row],[AVERAGE RATING]]&gt;=3,"Medium","Low"))</f>
        <v>High</v>
      </c>
      <c r="L951" t="str">
        <f>IF(Books[[#This Row],[AVERAGE RATING]]&gt;10000,"Popular","Average")</f>
        <v>Average</v>
      </c>
      <c r="M951">
        <f>Books[[#This Row],[AVERAGE RATING]]*Books[[#This Row],[RATINGS COUNT]]</f>
        <v>5</v>
      </c>
    </row>
    <row r="952" spans="1:13" x14ac:dyDescent="0.25">
      <c r="A952" t="s">
        <v>2174</v>
      </c>
      <c r="B952" t="s">
        <v>2175</v>
      </c>
      <c r="C952">
        <v>50</v>
      </c>
      <c r="D952" t="s">
        <v>11</v>
      </c>
      <c r="E952" t="s">
        <v>3228</v>
      </c>
      <c r="F952" t="s">
        <v>100</v>
      </c>
      <c r="G952" t="s">
        <v>4</v>
      </c>
      <c r="H952">
        <v>0</v>
      </c>
      <c r="I952">
        <v>0</v>
      </c>
      <c r="J952">
        <v>2014</v>
      </c>
      <c r="K952" t="str">
        <f>IF(Books[[#This Row],[AVERAGE RATING]]&gt;=4,"High",IF(Books[[#This Row],[AVERAGE RATING]]&gt;=3,"Medium","Low"))</f>
        <v>Low</v>
      </c>
      <c r="L952" t="str">
        <f>IF(Books[[#This Row],[AVERAGE RATING]]&gt;10000,"Popular","Average")</f>
        <v>Average</v>
      </c>
      <c r="M952">
        <f>Books[[#This Row],[AVERAGE RATING]]*Books[[#This Row],[RATINGS COUNT]]</f>
        <v>0</v>
      </c>
    </row>
    <row r="953" spans="1:13" x14ac:dyDescent="0.25">
      <c r="A953" t="s">
        <v>2176</v>
      </c>
      <c r="B953" t="s">
        <v>2177</v>
      </c>
      <c r="C953">
        <v>245</v>
      </c>
      <c r="D953" t="s">
        <v>38</v>
      </c>
      <c r="E953" t="s">
        <v>3377</v>
      </c>
      <c r="F953" t="s">
        <v>132</v>
      </c>
      <c r="G953" t="s">
        <v>4</v>
      </c>
      <c r="H953">
        <v>0</v>
      </c>
      <c r="I953">
        <v>0</v>
      </c>
      <c r="J953">
        <v>2010</v>
      </c>
      <c r="K953" t="str">
        <f>IF(Books[[#This Row],[AVERAGE RATING]]&gt;=4,"High",IF(Books[[#This Row],[AVERAGE RATING]]&gt;=3,"Medium","Low"))</f>
        <v>Low</v>
      </c>
      <c r="L953" t="str">
        <f>IF(Books[[#This Row],[AVERAGE RATING]]&gt;10000,"Popular","Average")</f>
        <v>Average</v>
      </c>
      <c r="M953">
        <f>Books[[#This Row],[AVERAGE RATING]]*Books[[#This Row],[RATINGS COUNT]]</f>
        <v>0</v>
      </c>
    </row>
    <row r="954" spans="1:13" x14ac:dyDescent="0.25">
      <c r="A954" t="s">
        <v>1327</v>
      </c>
      <c r="B954" t="s">
        <v>2178</v>
      </c>
      <c r="C954">
        <v>74</v>
      </c>
      <c r="D954" t="s">
        <v>356</v>
      </c>
      <c r="E954" t="s">
        <v>3287</v>
      </c>
      <c r="F954" t="s">
        <v>2179</v>
      </c>
      <c r="G954" t="s">
        <v>4</v>
      </c>
      <c r="H954">
        <v>0</v>
      </c>
      <c r="I954">
        <v>0</v>
      </c>
      <c r="J954">
        <v>2010</v>
      </c>
      <c r="K954" t="str">
        <f>IF(Books[[#This Row],[AVERAGE RATING]]&gt;=4,"High",IF(Books[[#This Row],[AVERAGE RATING]]&gt;=3,"Medium","Low"))</f>
        <v>Low</v>
      </c>
      <c r="L954" t="str">
        <f>IF(Books[[#This Row],[AVERAGE RATING]]&gt;10000,"Popular","Average")</f>
        <v>Average</v>
      </c>
      <c r="M954">
        <f>Books[[#This Row],[AVERAGE RATING]]*Books[[#This Row],[RATINGS COUNT]]</f>
        <v>0</v>
      </c>
    </row>
    <row r="955" spans="1:13" x14ac:dyDescent="0.25">
      <c r="A955" t="s">
        <v>2180</v>
      </c>
      <c r="B955" t="s">
        <v>2169</v>
      </c>
      <c r="C955">
        <v>379</v>
      </c>
      <c r="D955" t="s">
        <v>54</v>
      </c>
      <c r="E955" t="s">
        <v>3757</v>
      </c>
      <c r="F955" t="s">
        <v>73</v>
      </c>
      <c r="G955" t="s">
        <v>4</v>
      </c>
      <c r="H955">
        <v>0</v>
      </c>
      <c r="I955">
        <v>0</v>
      </c>
      <c r="J955">
        <v>2023</v>
      </c>
      <c r="K955" t="str">
        <f>IF(Books[[#This Row],[AVERAGE RATING]]&gt;=4,"High",IF(Books[[#This Row],[AVERAGE RATING]]&gt;=3,"Medium","Low"))</f>
        <v>Low</v>
      </c>
      <c r="L955" t="str">
        <f>IF(Books[[#This Row],[AVERAGE RATING]]&gt;10000,"Popular","Average")</f>
        <v>Average</v>
      </c>
      <c r="M955">
        <f>Books[[#This Row],[AVERAGE RATING]]*Books[[#This Row],[RATINGS COUNT]]</f>
        <v>0</v>
      </c>
    </row>
    <row r="956" spans="1:13" x14ac:dyDescent="0.25">
      <c r="A956" t="s">
        <v>2181</v>
      </c>
      <c r="B956" t="s">
        <v>2182</v>
      </c>
      <c r="C956">
        <v>35</v>
      </c>
      <c r="D956" t="s">
        <v>47</v>
      </c>
      <c r="E956" t="s">
        <v>3758</v>
      </c>
      <c r="F956" t="s">
        <v>1598</v>
      </c>
      <c r="G956" t="s">
        <v>4</v>
      </c>
      <c r="H956">
        <v>0</v>
      </c>
      <c r="I956">
        <v>0</v>
      </c>
      <c r="J956">
        <v>2024</v>
      </c>
      <c r="K956" t="str">
        <f>IF(Books[[#This Row],[AVERAGE RATING]]&gt;=4,"High",IF(Books[[#This Row],[AVERAGE RATING]]&gt;=3,"Medium","Low"))</f>
        <v>Low</v>
      </c>
      <c r="L956" t="str">
        <f>IF(Books[[#This Row],[AVERAGE RATING]]&gt;10000,"Popular","Average")</f>
        <v>Average</v>
      </c>
      <c r="M956">
        <f>Books[[#This Row],[AVERAGE RATING]]*Books[[#This Row],[RATINGS COUNT]]</f>
        <v>0</v>
      </c>
    </row>
    <row r="957" spans="1:13" x14ac:dyDescent="0.25">
      <c r="A957" t="s">
        <v>2183</v>
      </c>
      <c r="B957" t="s">
        <v>2169</v>
      </c>
      <c r="C957">
        <v>202</v>
      </c>
      <c r="D957" t="s">
        <v>11</v>
      </c>
      <c r="E957" t="s">
        <v>3759</v>
      </c>
      <c r="F957" t="s">
        <v>100</v>
      </c>
      <c r="G957" t="s">
        <v>4</v>
      </c>
      <c r="H957">
        <v>0</v>
      </c>
      <c r="I957">
        <v>0</v>
      </c>
      <c r="J957">
        <v>2017</v>
      </c>
      <c r="K957" t="str">
        <f>IF(Books[[#This Row],[AVERAGE RATING]]&gt;=4,"High",IF(Books[[#This Row],[AVERAGE RATING]]&gt;=3,"Medium","Low"))</f>
        <v>Low</v>
      </c>
      <c r="L957" t="str">
        <f>IF(Books[[#This Row],[AVERAGE RATING]]&gt;10000,"Popular","Average")</f>
        <v>Average</v>
      </c>
      <c r="M957">
        <f>Books[[#This Row],[AVERAGE RATING]]*Books[[#This Row],[RATINGS COUNT]]</f>
        <v>0</v>
      </c>
    </row>
    <row r="958" spans="1:13" x14ac:dyDescent="0.25">
      <c r="A958" t="s">
        <v>2184</v>
      </c>
      <c r="B958" t="s">
        <v>2169</v>
      </c>
      <c r="C958">
        <v>204</v>
      </c>
      <c r="D958" t="s">
        <v>11</v>
      </c>
      <c r="E958" t="s">
        <v>3760</v>
      </c>
      <c r="F958" t="s">
        <v>100</v>
      </c>
      <c r="G958" t="s">
        <v>4</v>
      </c>
      <c r="H958">
        <v>0</v>
      </c>
      <c r="I958">
        <v>0</v>
      </c>
      <c r="J958">
        <v>2016</v>
      </c>
      <c r="K958" t="str">
        <f>IF(Books[[#This Row],[AVERAGE RATING]]&gt;=4,"High",IF(Books[[#This Row],[AVERAGE RATING]]&gt;=3,"Medium","Low"))</f>
        <v>Low</v>
      </c>
      <c r="L958" t="str">
        <f>IF(Books[[#This Row],[AVERAGE RATING]]&gt;10000,"Popular","Average")</f>
        <v>Average</v>
      </c>
      <c r="M958">
        <f>Books[[#This Row],[AVERAGE RATING]]*Books[[#This Row],[RATINGS COUNT]]</f>
        <v>0</v>
      </c>
    </row>
    <row r="959" spans="1:13" x14ac:dyDescent="0.25">
      <c r="A959" t="s">
        <v>2185</v>
      </c>
      <c r="B959" t="s">
        <v>2169</v>
      </c>
      <c r="C959">
        <v>121</v>
      </c>
      <c r="D959" t="s">
        <v>54</v>
      </c>
      <c r="E959" t="s">
        <v>3601</v>
      </c>
      <c r="F959" t="s">
        <v>1280</v>
      </c>
      <c r="G959" t="s">
        <v>4</v>
      </c>
      <c r="H959">
        <v>0</v>
      </c>
      <c r="I959">
        <v>0</v>
      </c>
      <c r="J959">
        <v>2018</v>
      </c>
      <c r="K959" t="str">
        <f>IF(Books[[#This Row],[AVERAGE RATING]]&gt;=4,"High",IF(Books[[#This Row],[AVERAGE RATING]]&gt;=3,"Medium","Low"))</f>
        <v>Low</v>
      </c>
      <c r="L959" t="str">
        <f>IF(Books[[#This Row],[AVERAGE RATING]]&gt;10000,"Popular","Average")</f>
        <v>Average</v>
      </c>
      <c r="M959">
        <f>Books[[#This Row],[AVERAGE RATING]]*Books[[#This Row],[RATINGS COUNT]]</f>
        <v>0</v>
      </c>
    </row>
    <row r="960" spans="1:13" x14ac:dyDescent="0.25">
      <c r="A960" t="s">
        <v>2186</v>
      </c>
      <c r="B960" t="s">
        <v>2169</v>
      </c>
      <c r="C960">
        <v>293</v>
      </c>
      <c r="D960" t="s">
        <v>640</v>
      </c>
      <c r="E960" t="s">
        <v>3191</v>
      </c>
      <c r="F960" t="s">
        <v>2187</v>
      </c>
      <c r="G960" t="s">
        <v>2188</v>
      </c>
      <c r="H960">
        <v>0</v>
      </c>
      <c r="I960">
        <v>0</v>
      </c>
      <c r="J960">
        <v>1972</v>
      </c>
      <c r="K960" t="str">
        <f>IF(Books[[#This Row],[AVERAGE RATING]]&gt;=4,"High",IF(Books[[#This Row],[AVERAGE RATING]]&gt;=3,"Medium","Low"))</f>
        <v>Low</v>
      </c>
      <c r="L960" t="str">
        <f>IF(Books[[#This Row],[AVERAGE RATING]]&gt;10000,"Popular","Average")</f>
        <v>Average</v>
      </c>
      <c r="M960">
        <f>Books[[#This Row],[AVERAGE RATING]]*Books[[#This Row],[RATINGS COUNT]]</f>
        <v>0</v>
      </c>
    </row>
    <row r="961" spans="1:13" x14ac:dyDescent="0.25">
      <c r="A961" t="s">
        <v>2189</v>
      </c>
      <c r="B961" t="s">
        <v>2190</v>
      </c>
      <c r="C961">
        <v>180</v>
      </c>
      <c r="D961" t="s">
        <v>11</v>
      </c>
      <c r="E961" t="s">
        <v>3761</v>
      </c>
      <c r="F961" t="s">
        <v>1578</v>
      </c>
      <c r="G961" t="s">
        <v>4</v>
      </c>
      <c r="H961">
        <v>0</v>
      </c>
      <c r="I961">
        <v>0</v>
      </c>
      <c r="J961">
        <v>2013</v>
      </c>
      <c r="K961" t="str">
        <f>IF(Books[[#This Row],[AVERAGE RATING]]&gt;=4,"High",IF(Books[[#This Row],[AVERAGE RATING]]&gt;=3,"Medium","Low"))</f>
        <v>Low</v>
      </c>
      <c r="L961" t="str">
        <f>IF(Books[[#This Row],[AVERAGE RATING]]&gt;10000,"Popular","Average")</f>
        <v>Average</v>
      </c>
      <c r="M961">
        <f>Books[[#This Row],[AVERAGE RATING]]*Books[[#This Row],[RATINGS COUNT]]</f>
        <v>0</v>
      </c>
    </row>
    <row r="962" spans="1:13" x14ac:dyDescent="0.25">
      <c r="A962" t="s">
        <v>2191</v>
      </c>
      <c r="B962" t="s">
        <v>2192</v>
      </c>
      <c r="C962">
        <v>228</v>
      </c>
      <c r="D962" t="s">
        <v>158</v>
      </c>
      <c r="E962" t="s">
        <v>3135</v>
      </c>
      <c r="F962" t="s">
        <v>2193</v>
      </c>
      <c r="G962" t="s">
        <v>4</v>
      </c>
      <c r="H962">
        <v>0</v>
      </c>
      <c r="I962">
        <v>0</v>
      </c>
      <c r="J962">
        <v>1994</v>
      </c>
      <c r="K962" t="str">
        <f>IF(Books[[#This Row],[AVERAGE RATING]]&gt;=4,"High",IF(Books[[#This Row],[AVERAGE RATING]]&gt;=3,"Medium","Low"))</f>
        <v>Low</v>
      </c>
      <c r="L962" t="str">
        <f>IF(Books[[#This Row],[AVERAGE RATING]]&gt;10000,"Popular","Average")</f>
        <v>Average</v>
      </c>
      <c r="M962">
        <f>Books[[#This Row],[AVERAGE RATING]]*Books[[#This Row],[RATINGS COUNT]]</f>
        <v>0</v>
      </c>
    </row>
    <row r="963" spans="1:13" x14ac:dyDescent="0.25">
      <c r="A963" t="s">
        <v>2189</v>
      </c>
      <c r="B963" t="s">
        <v>2194</v>
      </c>
      <c r="C963">
        <v>212</v>
      </c>
      <c r="D963" t="s">
        <v>11</v>
      </c>
      <c r="E963" t="s">
        <v>3712</v>
      </c>
      <c r="F963" t="s">
        <v>2195</v>
      </c>
      <c r="G963" t="s">
        <v>4</v>
      </c>
      <c r="H963">
        <v>0</v>
      </c>
      <c r="I963">
        <v>0</v>
      </c>
      <c r="J963">
        <v>2005</v>
      </c>
      <c r="K963" t="str">
        <f>IF(Books[[#This Row],[AVERAGE RATING]]&gt;=4,"High",IF(Books[[#This Row],[AVERAGE RATING]]&gt;=3,"Medium","Low"))</f>
        <v>Low</v>
      </c>
      <c r="L963" t="str">
        <f>IF(Books[[#This Row],[AVERAGE RATING]]&gt;10000,"Popular","Average")</f>
        <v>Average</v>
      </c>
      <c r="M963">
        <f>Books[[#This Row],[AVERAGE RATING]]*Books[[#This Row],[RATINGS COUNT]]</f>
        <v>0</v>
      </c>
    </row>
    <row r="964" spans="1:13" x14ac:dyDescent="0.25">
      <c r="A964" t="s">
        <v>2196</v>
      </c>
      <c r="B964" t="s">
        <v>1315</v>
      </c>
      <c r="C964">
        <v>194</v>
      </c>
      <c r="D964" t="s">
        <v>11</v>
      </c>
      <c r="E964" t="s">
        <v>3762</v>
      </c>
      <c r="F964" t="s">
        <v>73</v>
      </c>
      <c r="G964" t="s">
        <v>4</v>
      </c>
      <c r="H964">
        <v>0</v>
      </c>
      <c r="I964">
        <v>0</v>
      </c>
      <c r="J964">
        <v>2022</v>
      </c>
      <c r="K964" t="str">
        <f>IF(Books[[#This Row],[AVERAGE RATING]]&gt;=4,"High",IF(Books[[#This Row],[AVERAGE RATING]]&gt;=3,"Medium","Low"))</f>
        <v>Low</v>
      </c>
      <c r="L964" t="str">
        <f>IF(Books[[#This Row],[AVERAGE RATING]]&gt;10000,"Popular","Average")</f>
        <v>Average</v>
      </c>
      <c r="M964">
        <f>Books[[#This Row],[AVERAGE RATING]]*Books[[#This Row],[RATINGS COUNT]]</f>
        <v>0</v>
      </c>
    </row>
    <row r="965" spans="1:13" x14ac:dyDescent="0.25">
      <c r="A965" t="s">
        <v>2197</v>
      </c>
      <c r="B965" t="s">
        <v>2190</v>
      </c>
      <c r="C965">
        <v>99</v>
      </c>
      <c r="D965" t="s">
        <v>54</v>
      </c>
      <c r="E965" t="s">
        <v>3763</v>
      </c>
      <c r="F965" t="s">
        <v>1578</v>
      </c>
      <c r="G965" t="s">
        <v>4</v>
      </c>
      <c r="H965">
        <v>0</v>
      </c>
      <c r="I965">
        <v>0</v>
      </c>
      <c r="J965">
        <v>2012</v>
      </c>
      <c r="K965" t="str">
        <f>IF(Books[[#This Row],[AVERAGE RATING]]&gt;=4,"High",IF(Books[[#This Row],[AVERAGE RATING]]&gt;=3,"Medium","Low"))</f>
        <v>Low</v>
      </c>
      <c r="L965" t="str">
        <f>IF(Books[[#This Row],[AVERAGE RATING]]&gt;10000,"Popular","Average")</f>
        <v>Average</v>
      </c>
      <c r="M965">
        <f>Books[[#This Row],[AVERAGE RATING]]*Books[[#This Row],[RATINGS COUNT]]</f>
        <v>0</v>
      </c>
    </row>
    <row r="966" spans="1:13" x14ac:dyDescent="0.25">
      <c r="A966" t="s">
        <v>2189</v>
      </c>
      <c r="B966" t="s">
        <v>2198</v>
      </c>
      <c r="C966">
        <v>121</v>
      </c>
      <c r="D966" t="s">
        <v>2</v>
      </c>
      <c r="E966" t="s">
        <v>3764</v>
      </c>
      <c r="F966" t="s">
        <v>148</v>
      </c>
      <c r="G966" t="s">
        <v>4</v>
      </c>
      <c r="H966">
        <v>0</v>
      </c>
      <c r="I966">
        <v>0</v>
      </c>
      <c r="J966">
        <v>2008</v>
      </c>
      <c r="K966" t="str">
        <f>IF(Books[[#This Row],[AVERAGE RATING]]&gt;=4,"High",IF(Books[[#This Row],[AVERAGE RATING]]&gt;=3,"Medium","Low"))</f>
        <v>Low</v>
      </c>
      <c r="L966" t="str">
        <f>IF(Books[[#This Row],[AVERAGE RATING]]&gt;10000,"Popular","Average")</f>
        <v>Average</v>
      </c>
      <c r="M966">
        <f>Books[[#This Row],[AVERAGE RATING]]*Books[[#This Row],[RATINGS COUNT]]</f>
        <v>0</v>
      </c>
    </row>
    <row r="967" spans="1:13" x14ac:dyDescent="0.25">
      <c r="A967" t="s">
        <v>2199</v>
      </c>
      <c r="B967" t="s">
        <v>1315</v>
      </c>
      <c r="C967">
        <v>220</v>
      </c>
      <c r="D967" t="s">
        <v>63</v>
      </c>
      <c r="E967" t="s">
        <v>3155</v>
      </c>
      <c r="F967" t="s">
        <v>2195</v>
      </c>
      <c r="G967" t="s">
        <v>4</v>
      </c>
      <c r="H967">
        <v>0</v>
      </c>
      <c r="I967">
        <v>0</v>
      </c>
      <c r="J967">
        <v>2006</v>
      </c>
      <c r="K967" t="str">
        <f>IF(Books[[#This Row],[AVERAGE RATING]]&gt;=4,"High",IF(Books[[#This Row],[AVERAGE RATING]]&gt;=3,"Medium","Low"))</f>
        <v>Low</v>
      </c>
      <c r="L967" t="str">
        <f>IF(Books[[#This Row],[AVERAGE RATING]]&gt;10000,"Popular","Average")</f>
        <v>Average</v>
      </c>
      <c r="M967">
        <f>Books[[#This Row],[AVERAGE RATING]]*Books[[#This Row],[RATINGS COUNT]]</f>
        <v>0</v>
      </c>
    </row>
    <row r="968" spans="1:13" x14ac:dyDescent="0.25">
      <c r="A968" t="s">
        <v>2189</v>
      </c>
      <c r="B968" t="s">
        <v>2200</v>
      </c>
      <c r="C968">
        <v>80</v>
      </c>
      <c r="D968" t="s">
        <v>2201</v>
      </c>
      <c r="E968" t="s">
        <v>3765</v>
      </c>
      <c r="F968" t="s">
        <v>1374</v>
      </c>
      <c r="G968" t="s">
        <v>4</v>
      </c>
      <c r="H968">
        <v>0</v>
      </c>
      <c r="I968">
        <v>0</v>
      </c>
      <c r="J968">
        <v>2011</v>
      </c>
      <c r="K968" t="str">
        <f>IF(Books[[#This Row],[AVERAGE RATING]]&gt;=4,"High",IF(Books[[#This Row],[AVERAGE RATING]]&gt;=3,"Medium","Low"))</f>
        <v>Low</v>
      </c>
      <c r="L968" t="str">
        <f>IF(Books[[#This Row],[AVERAGE RATING]]&gt;10000,"Popular","Average")</f>
        <v>Average</v>
      </c>
      <c r="M968">
        <f>Books[[#This Row],[AVERAGE RATING]]*Books[[#This Row],[RATINGS COUNT]]</f>
        <v>0</v>
      </c>
    </row>
    <row r="969" spans="1:13" x14ac:dyDescent="0.25">
      <c r="A969" t="s">
        <v>2202</v>
      </c>
      <c r="B969" t="s">
        <v>2190</v>
      </c>
      <c r="C969">
        <v>185</v>
      </c>
      <c r="D969" t="s">
        <v>11</v>
      </c>
      <c r="E969" t="s">
        <v>3766</v>
      </c>
      <c r="F969" t="s">
        <v>2203</v>
      </c>
      <c r="G969" t="s">
        <v>4</v>
      </c>
      <c r="H969">
        <v>4</v>
      </c>
      <c r="I969">
        <v>1</v>
      </c>
      <c r="J969">
        <v>2016</v>
      </c>
      <c r="K969" t="str">
        <f>IF(Books[[#This Row],[AVERAGE RATING]]&gt;=4,"High",IF(Books[[#This Row],[AVERAGE RATING]]&gt;=3,"Medium","Low"))</f>
        <v>High</v>
      </c>
      <c r="L969" t="str">
        <f>IF(Books[[#This Row],[AVERAGE RATING]]&gt;10000,"Popular","Average")</f>
        <v>Average</v>
      </c>
      <c r="M969">
        <f>Books[[#This Row],[AVERAGE RATING]]*Books[[#This Row],[RATINGS COUNT]]</f>
        <v>4</v>
      </c>
    </row>
    <row r="970" spans="1:13" x14ac:dyDescent="0.25">
      <c r="A970" t="s">
        <v>2189</v>
      </c>
      <c r="B970" t="s">
        <v>1315</v>
      </c>
      <c r="C970">
        <v>272</v>
      </c>
      <c r="D970" t="s">
        <v>11</v>
      </c>
      <c r="E970" t="s">
        <v>3767</v>
      </c>
      <c r="F970" t="s">
        <v>235</v>
      </c>
      <c r="G970" t="s">
        <v>4</v>
      </c>
      <c r="H970">
        <v>0</v>
      </c>
      <c r="I970">
        <v>0</v>
      </c>
      <c r="J970">
        <v>1994</v>
      </c>
      <c r="K970" t="str">
        <f>IF(Books[[#This Row],[AVERAGE RATING]]&gt;=4,"High",IF(Books[[#This Row],[AVERAGE RATING]]&gt;=3,"Medium","Low"))</f>
        <v>Low</v>
      </c>
      <c r="L970" t="str">
        <f>IF(Books[[#This Row],[AVERAGE RATING]]&gt;10000,"Popular","Average")</f>
        <v>Average</v>
      </c>
      <c r="M970">
        <f>Books[[#This Row],[AVERAGE RATING]]*Books[[#This Row],[RATINGS COUNT]]</f>
        <v>0</v>
      </c>
    </row>
    <row r="971" spans="1:13" x14ac:dyDescent="0.25">
      <c r="A971" t="s">
        <v>2189</v>
      </c>
      <c r="B971" t="s">
        <v>1394</v>
      </c>
      <c r="C971">
        <v>279</v>
      </c>
      <c r="D971" t="s">
        <v>2204</v>
      </c>
      <c r="E971" t="s">
        <v>3149</v>
      </c>
      <c r="F971" t="s">
        <v>807</v>
      </c>
      <c r="G971" t="s">
        <v>4</v>
      </c>
      <c r="H971">
        <v>0</v>
      </c>
      <c r="I971">
        <v>0</v>
      </c>
      <c r="J971">
        <v>2009</v>
      </c>
      <c r="K971" t="str">
        <f>IF(Books[[#This Row],[AVERAGE RATING]]&gt;=4,"High",IF(Books[[#This Row],[AVERAGE RATING]]&gt;=3,"Medium","Low"))</f>
        <v>Low</v>
      </c>
      <c r="L971" t="str">
        <f>IF(Books[[#This Row],[AVERAGE RATING]]&gt;10000,"Popular","Average")</f>
        <v>Average</v>
      </c>
      <c r="M971">
        <f>Books[[#This Row],[AVERAGE RATING]]*Books[[#This Row],[RATINGS COUNT]]</f>
        <v>0</v>
      </c>
    </row>
    <row r="972" spans="1:13" x14ac:dyDescent="0.25">
      <c r="A972" t="s">
        <v>2205</v>
      </c>
      <c r="B972" t="s">
        <v>2190</v>
      </c>
      <c r="C972">
        <v>236</v>
      </c>
      <c r="D972" t="s">
        <v>11</v>
      </c>
      <c r="E972" t="s">
        <v>3768</v>
      </c>
      <c r="F972" t="s">
        <v>922</v>
      </c>
      <c r="G972" t="s">
        <v>4</v>
      </c>
      <c r="H972">
        <v>0</v>
      </c>
      <c r="I972">
        <v>0</v>
      </c>
      <c r="J972">
        <v>2023</v>
      </c>
      <c r="K972" t="str">
        <f>IF(Books[[#This Row],[AVERAGE RATING]]&gt;=4,"High",IF(Books[[#This Row],[AVERAGE RATING]]&gt;=3,"Medium","Low"))</f>
        <v>Low</v>
      </c>
      <c r="L972" t="str">
        <f>IF(Books[[#This Row],[AVERAGE RATING]]&gt;10000,"Popular","Average")</f>
        <v>Average</v>
      </c>
      <c r="M972">
        <f>Books[[#This Row],[AVERAGE RATING]]*Books[[#This Row],[RATINGS COUNT]]</f>
        <v>0</v>
      </c>
    </row>
    <row r="973" spans="1:13" x14ac:dyDescent="0.25">
      <c r="A973" t="s">
        <v>2206</v>
      </c>
      <c r="B973" t="s">
        <v>2190</v>
      </c>
      <c r="C973">
        <v>237</v>
      </c>
      <c r="D973" t="s">
        <v>11</v>
      </c>
      <c r="E973" t="s">
        <v>3733</v>
      </c>
      <c r="F973" t="s">
        <v>922</v>
      </c>
      <c r="G973" t="s">
        <v>4</v>
      </c>
      <c r="H973">
        <v>0</v>
      </c>
      <c r="I973">
        <v>0</v>
      </c>
      <c r="J973">
        <v>2023</v>
      </c>
      <c r="K973" t="str">
        <f>IF(Books[[#This Row],[AVERAGE RATING]]&gt;=4,"High",IF(Books[[#This Row],[AVERAGE RATING]]&gt;=3,"Medium","Low"))</f>
        <v>Low</v>
      </c>
      <c r="L973" t="str">
        <f>IF(Books[[#This Row],[AVERAGE RATING]]&gt;10000,"Popular","Average")</f>
        <v>Average</v>
      </c>
      <c r="M973">
        <f>Books[[#This Row],[AVERAGE RATING]]*Books[[#This Row],[RATINGS COUNT]]</f>
        <v>0</v>
      </c>
    </row>
    <row r="974" spans="1:13" x14ac:dyDescent="0.25">
      <c r="A974" t="s">
        <v>2189</v>
      </c>
      <c r="B974" t="s">
        <v>2207</v>
      </c>
      <c r="C974">
        <v>121</v>
      </c>
      <c r="D974" t="s">
        <v>54</v>
      </c>
      <c r="E974" t="s">
        <v>3769</v>
      </c>
      <c r="F974" t="s">
        <v>1280</v>
      </c>
      <c r="G974" t="s">
        <v>4</v>
      </c>
      <c r="H974">
        <v>0</v>
      </c>
      <c r="I974">
        <v>0</v>
      </c>
      <c r="J974">
        <v>2018</v>
      </c>
      <c r="K974" t="str">
        <f>IF(Books[[#This Row],[AVERAGE RATING]]&gt;=4,"High",IF(Books[[#This Row],[AVERAGE RATING]]&gt;=3,"Medium","Low"))</f>
        <v>Low</v>
      </c>
      <c r="L974" t="str">
        <f>IF(Books[[#This Row],[AVERAGE RATING]]&gt;10000,"Popular","Average")</f>
        <v>Average</v>
      </c>
      <c r="M974">
        <f>Books[[#This Row],[AVERAGE RATING]]*Books[[#This Row],[RATINGS COUNT]]</f>
        <v>0</v>
      </c>
    </row>
    <row r="975" spans="1:13" x14ac:dyDescent="0.25">
      <c r="A975" t="s">
        <v>2208</v>
      </c>
      <c r="B975" t="s">
        <v>2190</v>
      </c>
      <c r="C975">
        <v>292</v>
      </c>
      <c r="D975" t="s">
        <v>11</v>
      </c>
      <c r="E975" t="s">
        <v>3770</v>
      </c>
      <c r="F975" t="s">
        <v>2209</v>
      </c>
      <c r="G975" t="s">
        <v>4</v>
      </c>
      <c r="H975">
        <v>0</v>
      </c>
      <c r="I975">
        <v>0</v>
      </c>
      <c r="J975">
        <v>2023</v>
      </c>
      <c r="K975" t="str">
        <f>IF(Books[[#This Row],[AVERAGE RATING]]&gt;=4,"High",IF(Books[[#This Row],[AVERAGE RATING]]&gt;=3,"Medium","Low"))</f>
        <v>Low</v>
      </c>
      <c r="L975" t="str">
        <f>IF(Books[[#This Row],[AVERAGE RATING]]&gt;10000,"Popular","Average")</f>
        <v>Average</v>
      </c>
      <c r="M975">
        <f>Books[[#This Row],[AVERAGE RATING]]*Books[[#This Row],[RATINGS COUNT]]</f>
        <v>0</v>
      </c>
    </row>
    <row r="976" spans="1:13" x14ac:dyDescent="0.25">
      <c r="A976" t="s">
        <v>2210</v>
      </c>
      <c r="B976" t="s">
        <v>1650</v>
      </c>
      <c r="C976">
        <v>321</v>
      </c>
      <c r="D976" t="s">
        <v>45</v>
      </c>
      <c r="E976" t="s">
        <v>3771</v>
      </c>
      <c r="F976" t="s">
        <v>1203</v>
      </c>
      <c r="G976" t="s">
        <v>4</v>
      </c>
      <c r="H976">
        <v>4</v>
      </c>
      <c r="I976">
        <v>27</v>
      </c>
      <c r="J976">
        <v>2002</v>
      </c>
      <c r="K976" t="str">
        <f>IF(Books[[#This Row],[AVERAGE RATING]]&gt;=4,"High",IF(Books[[#This Row],[AVERAGE RATING]]&gt;=3,"Medium","Low"))</f>
        <v>High</v>
      </c>
      <c r="L976" t="str">
        <f>IF(Books[[#This Row],[AVERAGE RATING]]&gt;10000,"Popular","Average")</f>
        <v>Average</v>
      </c>
      <c r="M976">
        <f>Books[[#This Row],[AVERAGE RATING]]*Books[[#This Row],[RATINGS COUNT]]</f>
        <v>108</v>
      </c>
    </row>
    <row r="977" spans="1:13" x14ac:dyDescent="0.25">
      <c r="A977" t="s">
        <v>2211</v>
      </c>
      <c r="B977" t="s">
        <v>1302</v>
      </c>
      <c r="C977">
        <v>633</v>
      </c>
      <c r="D977" t="s">
        <v>11</v>
      </c>
      <c r="E977" t="s">
        <v>3772</v>
      </c>
      <c r="F977" t="s">
        <v>1203</v>
      </c>
      <c r="G977" t="s">
        <v>4</v>
      </c>
      <c r="H977">
        <v>4</v>
      </c>
      <c r="I977">
        <v>34</v>
      </c>
      <c r="J977">
        <v>2006</v>
      </c>
      <c r="K977" t="str">
        <f>IF(Books[[#This Row],[AVERAGE RATING]]&gt;=4,"High",IF(Books[[#This Row],[AVERAGE RATING]]&gt;=3,"Medium","Low"))</f>
        <v>High</v>
      </c>
      <c r="L977" t="str">
        <f>IF(Books[[#This Row],[AVERAGE RATING]]&gt;10000,"Popular","Average")</f>
        <v>Average</v>
      </c>
      <c r="M977">
        <f>Books[[#This Row],[AVERAGE RATING]]*Books[[#This Row],[RATINGS COUNT]]</f>
        <v>136</v>
      </c>
    </row>
    <row r="978" spans="1:13" x14ac:dyDescent="0.25">
      <c r="A978" t="s">
        <v>2212</v>
      </c>
      <c r="B978" t="s">
        <v>1302</v>
      </c>
      <c r="C978">
        <v>511</v>
      </c>
      <c r="D978" t="s">
        <v>11</v>
      </c>
      <c r="E978" t="s">
        <v>3773</v>
      </c>
      <c r="F978" t="s">
        <v>1313</v>
      </c>
      <c r="G978" t="s">
        <v>1314</v>
      </c>
      <c r="H978">
        <v>4</v>
      </c>
      <c r="I978">
        <v>19</v>
      </c>
      <c r="J978">
        <v>2010</v>
      </c>
      <c r="K978" t="str">
        <f>IF(Books[[#This Row],[AVERAGE RATING]]&gt;=4,"High",IF(Books[[#This Row],[AVERAGE RATING]]&gt;=3,"Medium","Low"))</f>
        <v>High</v>
      </c>
      <c r="L978" t="str">
        <f>IF(Books[[#This Row],[AVERAGE RATING]]&gt;10000,"Popular","Average")</f>
        <v>Average</v>
      </c>
      <c r="M978">
        <f>Books[[#This Row],[AVERAGE RATING]]*Books[[#This Row],[RATINGS COUNT]]</f>
        <v>76</v>
      </c>
    </row>
    <row r="979" spans="1:13" x14ac:dyDescent="0.25">
      <c r="A979" t="s">
        <v>2213</v>
      </c>
      <c r="B979" t="s">
        <v>1302</v>
      </c>
      <c r="C979">
        <v>559</v>
      </c>
      <c r="D979" t="s">
        <v>11</v>
      </c>
      <c r="E979" t="s">
        <v>3773</v>
      </c>
      <c r="F979" t="s">
        <v>1313</v>
      </c>
      <c r="G979" t="s">
        <v>1314</v>
      </c>
      <c r="H979">
        <v>4</v>
      </c>
      <c r="I979">
        <v>12</v>
      </c>
      <c r="J979">
        <v>2010</v>
      </c>
      <c r="K979" t="str">
        <f>IF(Books[[#This Row],[AVERAGE RATING]]&gt;=4,"High",IF(Books[[#This Row],[AVERAGE RATING]]&gt;=3,"Medium","Low"))</f>
        <v>High</v>
      </c>
      <c r="L979" t="str">
        <f>IF(Books[[#This Row],[AVERAGE RATING]]&gt;10000,"Popular","Average")</f>
        <v>Average</v>
      </c>
      <c r="M979">
        <f>Books[[#This Row],[AVERAGE RATING]]*Books[[#This Row],[RATINGS COUNT]]</f>
        <v>48</v>
      </c>
    </row>
    <row r="980" spans="1:13" x14ac:dyDescent="0.25">
      <c r="A980" t="s">
        <v>2214</v>
      </c>
      <c r="B980" t="s">
        <v>1302</v>
      </c>
      <c r="C980">
        <v>613</v>
      </c>
      <c r="D980" t="s">
        <v>11</v>
      </c>
      <c r="E980" t="s">
        <v>3773</v>
      </c>
      <c r="F980" t="s">
        <v>1313</v>
      </c>
      <c r="G980" t="s">
        <v>1314</v>
      </c>
      <c r="H980">
        <v>4</v>
      </c>
      <c r="I980">
        <v>14</v>
      </c>
      <c r="J980">
        <v>2010</v>
      </c>
      <c r="K980" t="str">
        <f>IF(Books[[#This Row],[AVERAGE RATING]]&gt;=4,"High",IF(Books[[#This Row],[AVERAGE RATING]]&gt;=3,"Medium","Low"))</f>
        <v>High</v>
      </c>
      <c r="L980" t="str">
        <f>IF(Books[[#This Row],[AVERAGE RATING]]&gt;10000,"Popular","Average")</f>
        <v>Average</v>
      </c>
      <c r="M980">
        <f>Books[[#This Row],[AVERAGE RATING]]*Books[[#This Row],[RATINGS COUNT]]</f>
        <v>56</v>
      </c>
    </row>
    <row r="981" spans="1:13" x14ac:dyDescent="0.25">
      <c r="A981" t="s">
        <v>2215</v>
      </c>
      <c r="B981" t="s">
        <v>1291</v>
      </c>
      <c r="C981">
        <v>220</v>
      </c>
      <c r="D981" t="s">
        <v>11</v>
      </c>
      <c r="E981" t="s">
        <v>3774</v>
      </c>
      <c r="F981" t="s">
        <v>122</v>
      </c>
      <c r="G981" t="s">
        <v>4</v>
      </c>
      <c r="H981">
        <v>0</v>
      </c>
      <c r="I981">
        <v>0</v>
      </c>
      <c r="J981">
        <v>2002</v>
      </c>
      <c r="K981" t="str">
        <f>IF(Books[[#This Row],[AVERAGE RATING]]&gt;=4,"High",IF(Books[[#This Row],[AVERAGE RATING]]&gt;=3,"Medium","Low"))</f>
        <v>Low</v>
      </c>
      <c r="L981" t="str">
        <f>IF(Books[[#This Row],[AVERAGE RATING]]&gt;10000,"Popular","Average")</f>
        <v>Average</v>
      </c>
      <c r="M981">
        <f>Books[[#This Row],[AVERAGE RATING]]*Books[[#This Row],[RATINGS COUNT]]</f>
        <v>0</v>
      </c>
    </row>
    <row r="982" spans="1:13" x14ac:dyDescent="0.25">
      <c r="A982" t="s">
        <v>2216</v>
      </c>
      <c r="B982" t="s">
        <v>1291</v>
      </c>
      <c r="C982">
        <v>165</v>
      </c>
      <c r="D982" t="s">
        <v>11</v>
      </c>
      <c r="E982" t="s">
        <v>3775</v>
      </c>
      <c r="F982" t="s">
        <v>2217</v>
      </c>
      <c r="G982" t="s">
        <v>2218</v>
      </c>
      <c r="H982">
        <v>0</v>
      </c>
      <c r="I982">
        <v>0</v>
      </c>
      <c r="J982">
        <v>2021</v>
      </c>
      <c r="K982" t="str">
        <f>IF(Books[[#This Row],[AVERAGE RATING]]&gt;=4,"High",IF(Books[[#This Row],[AVERAGE RATING]]&gt;=3,"Medium","Low"))</f>
        <v>Low</v>
      </c>
      <c r="L982" t="str">
        <f>IF(Books[[#This Row],[AVERAGE RATING]]&gt;10000,"Popular","Average")</f>
        <v>Average</v>
      </c>
      <c r="M982">
        <f>Books[[#This Row],[AVERAGE RATING]]*Books[[#This Row],[RATINGS COUNT]]</f>
        <v>0</v>
      </c>
    </row>
    <row r="983" spans="1:13" x14ac:dyDescent="0.25">
      <c r="A983" t="s">
        <v>2219</v>
      </c>
      <c r="B983" t="s">
        <v>1300</v>
      </c>
      <c r="C983">
        <v>227</v>
      </c>
      <c r="D983" t="s">
        <v>11</v>
      </c>
      <c r="E983" t="s">
        <v>3776</v>
      </c>
      <c r="F983" t="s">
        <v>1603</v>
      </c>
      <c r="G983" t="s">
        <v>4</v>
      </c>
      <c r="H983">
        <v>0</v>
      </c>
      <c r="I983">
        <v>0</v>
      </c>
      <c r="J983">
        <v>2023</v>
      </c>
      <c r="K983" t="str">
        <f>IF(Books[[#This Row],[AVERAGE RATING]]&gt;=4,"High",IF(Books[[#This Row],[AVERAGE RATING]]&gt;=3,"Medium","Low"))</f>
        <v>Low</v>
      </c>
      <c r="L983" t="str">
        <f>IF(Books[[#This Row],[AVERAGE RATING]]&gt;10000,"Popular","Average")</f>
        <v>Average</v>
      </c>
      <c r="M983">
        <f>Books[[#This Row],[AVERAGE RATING]]*Books[[#This Row],[RATINGS COUNT]]</f>
        <v>0</v>
      </c>
    </row>
    <row r="984" spans="1:13" x14ac:dyDescent="0.25">
      <c r="A984" t="s">
        <v>2220</v>
      </c>
      <c r="B984" t="s">
        <v>2221</v>
      </c>
      <c r="C984">
        <v>230</v>
      </c>
      <c r="D984" t="s">
        <v>11</v>
      </c>
      <c r="E984" t="s">
        <v>3205</v>
      </c>
      <c r="F984" t="s">
        <v>2143</v>
      </c>
      <c r="G984" t="s">
        <v>4</v>
      </c>
      <c r="H984">
        <v>0</v>
      </c>
      <c r="I984">
        <v>0</v>
      </c>
      <c r="J984">
        <v>2024</v>
      </c>
      <c r="K984" t="str">
        <f>IF(Books[[#This Row],[AVERAGE RATING]]&gt;=4,"High",IF(Books[[#This Row],[AVERAGE RATING]]&gt;=3,"Medium","Low"))</f>
        <v>Low</v>
      </c>
      <c r="L984" t="str">
        <f>IF(Books[[#This Row],[AVERAGE RATING]]&gt;10000,"Popular","Average")</f>
        <v>Average</v>
      </c>
      <c r="M984">
        <f>Books[[#This Row],[AVERAGE RATING]]*Books[[#This Row],[RATINGS COUNT]]</f>
        <v>0</v>
      </c>
    </row>
    <row r="985" spans="1:13" x14ac:dyDescent="0.25">
      <c r="A985" t="s">
        <v>2222</v>
      </c>
      <c r="B985" t="s">
        <v>1300</v>
      </c>
      <c r="C985">
        <v>29</v>
      </c>
      <c r="D985" t="s">
        <v>11</v>
      </c>
      <c r="E985" t="s">
        <v>3777</v>
      </c>
      <c r="F985" t="s">
        <v>2223</v>
      </c>
      <c r="G985" t="s">
        <v>4</v>
      </c>
      <c r="H985">
        <v>0</v>
      </c>
      <c r="I985">
        <v>0</v>
      </c>
      <c r="J985">
        <v>2024</v>
      </c>
      <c r="K985" t="str">
        <f>IF(Books[[#This Row],[AVERAGE RATING]]&gt;=4,"High",IF(Books[[#This Row],[AVERAGE RATING]]&gt;=3,"Medium","Low"))</f>
        <v>Low</v>
      </c>
      <c r="L985" t="str">
        <f>IF(Books[[#This Row],[AVERAGE RATING]]&gt;10000,"Popular","Average")</f>
        <v>Average</v>
      </c>
      <c r="M985">
        <f>Books[[#This Row],[AVERAGE RATING]]*Books[[#This Row],[RATINGS COUNT]]</f>
        <v>0</v>
      </c>
    </row>
    <row r="986" spans="1:13" x14ac:dyDescent="0.25">
      <c r="A986" t="s">
        <v>2224</v>
      </c>
      <c r="B986" t="s">
        <v>1300</v>
      </c>
      <c r="C986">
        <v>162</v>
      </c>
      <c r="D986" t="s">
        <v>11</v>
      </c>
      <c r="E986" t="s">
        <v>3776</v>
      </c>
      <c r="F986" t="s">
        <v>1603</v>
      </c>
      <c r="G986" t="s">
        <v>4</v>
      </c>
      <c r="H986">
        <v>0</v>
      </c>
      <c r="I986">
        <v>0</v>
      </c>
      <c r="J986">
        <v>2023</v>
      </c>
      <c r="K986" t="str">
        <f>IF(Books[[#This Row],[AVERAGE RATING]]&gt;=4,"High",IF(Books[[#This Row],[AVERAGE RATING]]&gt;=3,"Medium","Low"))</f>
        <v>Low</v>
      </c>
      <c r="L986" t="str">
        <f>IF(Books[[#This Row],[AVERAGE RATING]]&gt;10000,"Popular","Average")</f>
        <v>Average</v>
      </c>
      <c r="M986">
        <f>Books[[#This Row],[AVERAGE RATING]]*Books[[#This Row],[RATINGS COUNT]]</f>
        <v>0</v>
      </c>
    </row>
    <row r="987" spans="1:13" x14ac:dyDescent="0.25">
      <c r="A987" t="s">
        <v>2225</v>
      </c>
      <c r="B987" t="s">
        <v>1300</v>
      </c>
      <c r="C987">
        <v>47</v>
      </c>
      <c r="D987" t="s">
        <v>11</v>
      </c>
      <c r="E987" t="s">
        <v>3644</v>
      </c>
      <c r="F987" t="s">
        <v>2223</v>
      </c>
      <c r="G987" t="s">
        <v>4</v>
      </c>
      <c r="H987">
        <v>0</v>
      </c>
      <c r="I987">
        <v>0</v>
      </c>
      <c r="J987">
        <v>2023</v>
      </c>
      <c r="K987" t="str">
        <f>IF(Books[[#This Row],[AVERAGE RATING]]&gt;=4,"High",IF(Books[[#This Row],[AVERAGE RATING]]&gt;=3,"Medium","Low"))</f>
        <v>Low</v>
      </c>
      <c r="L987" t="str">
        <f>IF(Books[[#This Row],[AVERAGE RATING]]&gt;10000,"Popular","Average")</f>
        <v>Average</v>
      </c>
      <c r="M987">
        <f>Books[[#This Row],[AVERAGE RATING]]*Books[[#This Row],[RATINGS COUNT]]</f>
        <v>0</v>
      </c>
    </row>
    <row r="988" spans="1:13" x14ac:dyDescent="0.25">
      <c r="A988" t="s">
        <v>2226</v>
      </c>
      <c r="B988" t="s">
        <v>1300</v>
      </c>
      <c r="C988">
        <v>200</v>
      </c>
      <c r="D988" t="s">
        <v>11</v>
      </c>
      <c r="E988" t="s">
        <v>3778</v>
      </c>
      <c r="F988" t="s">
        <v>2138</v>
      </c>
      <c r="G988" t="s">
        <v>4</v>
      </c>
      <c r="H988">
        <v>0</v>
      </c>
      <c r="I988">
        <v>0</v>
      </c>
      <c r="J988">
        <v>2023</v>
      </c>
      <c r="K988" t="str">
        <f>IF(Books[[#This Row],[AVERAGE RATING]]&gt;=4,"High",IF(Books[[#This Row],[AVERAGE RATING]]&gt;=3,"Medium","Low"))</f>
        <v>Low</v>
      </c>
      <c r="L988" t="str">
        <f>IF(Books[[#This Row],[AVERAGE RATING]]&gt;10000,"Popular","Average")</f>
        <v>Average</v>
      </c>
      <c r="M988">
        <f>Books[[#This Row],[AVERAGE RATING]]*Books[[#This Row],[RATINGS COUNT]]</f>
        <v>0</v>
      </c>
    </row>
    <row r="989" spans="1:13" x14ac:dyDescent="0.25">
      <c r="A989" t="s">
        <v>2227</v>
      </c>
      <c r="B989" t="s">
        <v>1300</v>
      </c>
      <c r="C989">
        <v>34</v>
      </c>
      <c r="D989" t="s">
        <v>11</v>
      </c>
      <c r="E989" t="s">
        <v>3779</v>
      </c>
      <c r="F989" t="s">
        <v>2223</v>
      </c>
      <c r="G989" t="s">
        <v>4</v>
      </c>
      <c r="H989">
        <v>0</v>
      </c>
      <c r="I989">
        <v>0</v>
      </c>
      <c r="J989">
        <v>2023</v>
      </c>
      <c r="K989" t="str">
        <f>IF(Books[[#This Row],[AVERAGE RATING]]&gt;=4,"High",IF(Books[[#This Row],[AVERAGE RATING]]&gt;=3,"Medium","Low"))</f>
        <v>Low</v>
      </c>
      <c r="L989" t="str">
        <f>IF(Books[[#This Row],[AVERAGE RATING]]&gt;10000,"Popular","Average")</f>
        <v>Average</v>
      </c>
      <c r="M989">
        <f>Books[[#This Row],[AVERAGE RATING]]*Books[[#This Row],[RATINGS COUNT]]</f>
        <v>0</v>
      </c>
    </row>
    <row r="990" spans="1:13" x14ac:dyDescent="0.25">
      <c r="A990" t="s">
        <v>2228</v>
      </c>
      <c r="B990" t="s">
        <v>1300</v>
      </c>
      <c r="C990">
        <v>36</v>
      </c>
      <c r="D990" t="s">
        <v>11</v>
      </c>
      <c r="E990" t="s">
        <v>3780</v>
      </c>
      <c r="F990" t="s">
        <v>2223</v>
      </c>
      <c r="G990" t="s">
        <v>4</v>
      </c>
      <c r="H990">
        <v>0</v>
      </c>
      <c r="I990">
        <v>0</v>
      </c>
      <c r="J990">
        <v>2023</v>
      </c>
      <c r="K990" t="str">
        <f>IF(Books[[#This Row],[AVERAGE RATING]]&gt;=4,"High",IF(Books[[#This Row],[AVERAGE RATING]]&gt;=3,"Medium","Low"))</f>
        <v>Low</v>
      </c>
      <c r="L990" t="str">
        <f>IF(Books[[#This Row],[AVERAGE RATING]]&gt;10000,"Popular","Average")</f>
        <v>Average</v>
      </c>
      <c r="M990">
        <f>Books[[#This Row],[AVERAGE RATING]]*Books[[#This Row],[RATINGS COUNT]]</f>
        <v>0</v>
      </c>
    </row>
    <row r="991" spans="1:13" x14ac:dyDescent="0.25">
      <c r="A991" t="s">
        <v>2229</v>
      </c>
      <c r="B991" t="s">
        <v>1300</v>
      </c>
      <c r="C991">
        <v>224</v>
      </c>
      <c r="D991" t="s">
        <v>453</v>
      </c>
      <c r="E991" t="s">
        <v>3564</v>
      </c>
      <c r="F991" t="s">
        <v>1405</v>
      </c>
      <c r="G991" t="s">
        <v>1304</v>
      </c>
      <c r="H991">
        <v>0</v>
      </c>
      <c r="I991">
        <v>0</v>
      </c>
      <c r="J991">
        <v>2023</v>
      </c>
      <c r="K991" t="str">
        <f>IF(Books[[#This Row],[AVERAGE RATING]]&gt;=4,"High",IF(Books[[#This Row],[AVERAGE RATING]]&gt;=3,"Medium","Low"))</f>
        <v>Low</v>
      </c>
      <c r="L991" t="str">
        <f>IF(Books[[#This Row],[AVERAGE RATING]]&gt;10000,"Popular","Average")</f>
        <v>Average</v>
      </c>
      <c r="M991">
        <f>Books[[#This Row],[AVERAGE RATING]]*Books[[#This Row],[RATINGS COUNT]]</f>
        <v>0</v>
      </c>
    </row>
    <row r="992" spans="1:13" x14ac:dyDescent="0.25">
      <c r="A992" t="s">
        <v>2230</v>
      </c>
      <c r="B992" t="s">
        <v>1300</v>
      </c>
      <c r="C992">
        <v>31</v>
      </c>
      <c r="D992" t="s">
        <v>11</v>
      </c>
      <c r="E992" t="s">
        <v>3781</v>
      </c>
      <c r="F992" t="s">
        <v>2223</v>
      </c>
      <c r="G992" t="s">
        <v>4</v>
      </c>
      <c r="H992">
        <v>0</v>
      </c>
      <c r="I992">
        <v>0</v>
      </c>
      <c r="J992">
        <v>2020</v>
      </c>
      <c r="K992" t="str">
        <f>IF(Books[[#This Row],[AVERAGE RATING]]&gt;=4,"High",IF(Books[[#This Row],[AVERAGE RATING]]&gt;=3,"Medium","Low"))</f>
        <v>Low</v>
      </c>
      <c r="L992" t="str">
        <f>IF(Books[[#This Row],[AVERAGE RATING]]&gt;10000,"Popular","Average")</f>
        <v>Average</v>
      </c>
      <c r="M992">
        <f>Books[[#This Row],[AVERAGE RATING]]*Books[[#This Row],[RATINGS COUNT]]</f>
        <v>0</v>
      </c>
    </row>
    <row r="993" spans="1:13" x14ac:dyDescent="0.25">
      <c r="A993" t="s">
        <v>2231</v>
      </c>
      <c r="B993" t="s">
        <v>1300</v>
      </c>
      <c r="C993">
        <v>17</v>
      </c>
      <c r="D993" t="s">
        <v>11</v>
      </c>
      <c r="E993" t="s">
        <v>3251</v>
      </c>
      <c r="F993" t="s">
        <v>2138</v>
      </c>
      <c r="G993" t="s">
        <v>4</v>
      </c>
      <c r="H993">
        <v>0</v>
      </c>
      <c r="I993">
        <v>0</v>
      </c>
      <c r="J993">
        <v>2023</v>
      </c>
      <c r="K993" t="str">
        <f>IF(Books[[#This Row],[AVERAGE RATING]]&gt;=4,"High",IF(Books[[#This Row],[AVERAGE RATING]]&gt;=3,"Medium","Low"))</f>
        <v>Low</v>
      </c>
      <c r="L993" t="str">
        <f>IF(Books[[#This Row],[AVERAGE RATING]]&gt;10000,"Popular","Average")</f>
        <v>Average</v>
      </c>
      <c r="M993">
        <f>Books[[#This Row],[AVERAGE RATING]]*Books[[#This Row],[RATINGS COUNT]]</f>
        <v>0</v>
      </c>
    </row>
    <row r="994" spans="1:13" x14ac:dyDescent="0.25">
      <c r="A994" t="s">
        <v>2232</v>
      </c>
      <c r="B994" t="s">
        <v>1300</v>
      </c>
      <c r="C994">
        <v>24</v>
      </c>
      <c r="D994" t="s">
        <v>11</v>
      </c>
      <c r="E994" t="s">
        <v>3782</v>
      </c>
      <c r="F994" t="s">
        <v>2223</v>
      </c>
      <c r="G994" t="s">
        <v>4</v>
      </c>
      <c r="H994">
        <v>0</v>
      </c>
      <c r="I994">
        <v>0</v>
      </c>
      <c r="J994">
        <v>2020</v>
      </c>
      <c r="K994" t="str">
        <f>IF(Books[[#This Row],[AVERAGE RATING]]&gt;=4,"High",IF(Books[[#This Row],[AVERAGE RATING]]&gt;=3,"Medium","Low"))</f>
        <v>Low</v>
      </c>
      <c r="L994" t="str">
        <f>IF(Books[[#This Row],[AVERAGE RATING]]&gt;10000,"Popular","Average")</f>
        <v>Average</v>
      </c>
      <c r="M994">
        <f>Books[[#This Row],[AVERAGE RATING]]*Books[[#This Row],[RATINGS COUNT]]</f>
        <v>0</v>
      </c>
    </row>
    <row r="995" spans="1:13" x14ac:dyDescent="0.25">
      <c r="A995" t="s">
        <v>2233</v>
      </c>
      <c r="B995" t="s">
        <v>1300</v>
      </c>
      <c r="C995">
        <v>25</v>
      </c>
      <c r="D995" t="s">
        <v>11</v>
      </c>
      <c r="E995" t="s">
        <v>3783</v>
      </c>
      <c r="F995" t="s">
        <v>2223</v>
      </c>
      <c r="G995" t="s">
        <v>4</v>
      </c>
      <c r="H995">
        <v>0</v>
      </c>
      <c r="I995">
        <v>0</v>
      </c>
      <c r="J995">
        <v>2023</v>
      </c>
      <c r="K995" t="str">
        <f>IF(Books[[#This Row],[AVERAGE RATING]]&gt;=4,"High",IF(Books[[#This Row],[AVERAGE RATING]]&gt;=3,"Medium","Low"))</f>
        <v>Low</v>
      </c>
      <c r="L995" t="str">
        <f>IF(Books[[#This Row],[AVERAGE RATING]]&gt;10000,"Popular","Average")</f>
        <v>Average</v>
      </c>
      <c r="M995">
        <f>Books[[#This Row],[AVERAGE RATING]]*Books[[#This Row],[RATINGS COUNT]]</f>
        <v>0</v>
      </c>
    </row>
    <row r="996" spans="1:13" x14ac:dyDescent="0.25">
      <c r="A996" t="s">
        <v>2234</v>
      </c>
      <c r="B996" t="s">
        <v>1300</v>
      </c>
      <c r="C996">
        <v>241</v>
      </c>
      <c r="D996" t="s">
        <v>11</v>
      </c>
      <c r="E996" t="s">
        <v>3784</v>
      </c>
      <c r="F996" t="s">
        <v>1603</v>
      </c>
      <c r="G996" t="s">
        <v>4</v>
      </c>
      <c r="H996">
        <v>0</v>
      </c>
      <c r="I996">
        <v>0</v>
      </c>
      <c r="J996">
        <v>2025</v>
      </c>
      <c r="K996" t="str">
        <f>IF(Books[[#This Row],[AVERAGE RATING]]&gt;=4,"High",IF(Books[[#This Row],[AVERAGE RATING]]&gt;=3,"Medium","Low"))</f>
        <v>Low</v>
      </c>
      <c r="L996" t="str">
        <f>IF(Books[[#This Row],[AVERAGE RATING]]&gt;10000,"Popular","Average")</f>
        <v>Average</v>
      </c>
      <c r="M996">
        <f>Books[[#This Row],[AVERAGE RATING]]*Books[[#This Row],[RATINGS COUNT]]</f>
        <v>0</v>
      </c>
    </row>
    <row r="997" spans="1:13" x14ac:dyDescent="0.25">
      <c r="A997" t="s">
        <v>2235</v>
      </c>
      <c r="B997" t="s">
        <v>1300</v>
      </c>
      <c r="C997">
        <v>17</v>
      </c>
      <c r="D997" t="s">
        <v>11</v>
      </c>
      <c r="E997" t="s">
        <v>3785</v>
      </c>
      <c r="F997" t="s">
        <v>2223</v>
      </c>
      <c r="G997" t="s">
        <v>4</v>
      </c>
      <c r="H997">
        <v>0</v>
      </c>
      <c r="I997">
        <v>0</v>
      </c>
      <c r="J997">
        <v>2023</v>
      </c>
      <c r="K997" t="str">
        <f>IF(Books[[#This Row],[AVERAGE RATING]]&gt;=4,"High",IF(Books[[#This Row],[AVERAGE RATING]]&gt;=3,"Medium","Low"))</f>
        <v>Low</v>
      </c>
      <c r="L997" t="str">
        <f>IF(Books[[#This Row],[AVERAGE RATING]]&gt;10000,"Popular","Average")</f>
        <v>Average</v>
      </c>
      <c r="M997">
        <f>Books[[#This Row],[AVERAGE RATING]]*Books[[#This Row],[RATINGS COUNT]]</f>
        <v>0</v>
      </c>
    </row>
    <row r="998" spans="1:13" x14ac:dyDescent="0.25">
      <c r="A998" t="s">
        <v>2236</v>
      </c>
      <c r="B998" t="s">
        <v>1300</v>
      </c>
      <c r="C998">
        <v>55</v>
      </c>
      <c r="D998" t="s">
        <v>11</v>
      </c>
      <c r="E998" t="s">
        <v>3786</v>
      </c>
      <c r="F998" t="s">
        <v>2223</v>
      </c>
      <c r="G998" t="s">
        <v>4</v>
      </c>
      <c r="H998">
        <v>0</v>
      </c>
      <c r="I998">
        <v>0</v>
      </c>
      <c r="J998">
        <v>2023</v>
      </c>
      <c r="K998" t="str">
        <f>IF(Books[[#This Row],[AVERAGE RATING]]&gt;=4,"High",IF(Books[[#This Row],[AVERAGE RATING]]&gt;=3,"Medium","Low"))</f>
        <v>Low</v>
      </c>
      <c r="L998" t="str">
        <f>IF(Books[[#This Row],[AVERAGE RATING]]&gt;10000,"Popular","Average")</f>
        <v>Average</v>
      </c>
      <c r="M998">
        <f>Books[[#This Row],[AVERAGE RATING]]*Books[[#This Row],[RATINGS COUNT]]</f>
        <v>0</v>
      </c>
    </row>
    <row r="999" spans="1:13" x14ac:dyDescent="0.25">
      <c r="A999" t="s">
        <v>2237</v>
      </c>
      <c r="B999" t="s">
        <v>1300</v>
      </c>
      <c r="C999">
        <v>292</v>
      </c>
      <c r="D999" t="s">
        <v>54</v>
      </c>
      <c r="E999" t="s">
        <v>3787</v>
      </c>
      <c r="F999" t="s">
        <v>1405</v>
      </c>
      <c r="G999" t="s">
        <v>1304</v>
      </c>
      <c r="H999">
        <v>0</v>
      </c>
      <c r="I999">
        <v>0</v>
      </c>
      <c r="J999">
        <v>2018</v>
      </c>
      <c r="K999" t="str">
        <f>IF(Books[[#This Row],[AVERAGE RATING]]&gt;=4,"High",IF(Books[[#This Row],[AVERAGE RATING]]&gt;=3,"Medium","Low"))</f>
        <v>Low</v>
      </c>
      <c r="L999" t="str">
        <f>IF(Books[[#This Row],[AVERAGE RATING]]&gt;10000,"Popular","Average")</f>
        <v>Average</v>
      </c>
      <c r="M999">
        <f>Books[[#This Row],[AVERAGE RATING]]*Books[[#This Row],[RATINGS COUNT]]</f>
        <v>0</v>
      </c>
    </row>
    <row r="1000" spans="1:13" x14ac:dyDescent="0.25">
      <c r="A1000" t="s">
        <v>2238</v>
      </c>
      <c r="B1000" t="s">
        <v>1300</v>
      </c>
      <c r="C1000">
        <v>45</v>
      </c>
      <c r="D1000" t="s">
        <v>11</v>
      </c>
      <c r="E1000" t="s">
        <v>3788</v>
      </c>
      <c r="F1000" t="s">
        <v>2223</v>
      </c>
      <c r="G1000" t="s">
        <v>4</v>
      </c>
      <c r="H1000">
        <v>0</v>
      </c>
      <c r="I1000">
        <v>0</v>
      </c>
      <c r="J1000">
        <v>2023</v>
      </c>
      <c r="K1000" t="str">
        <f>IF(Books[[#This Row],[AVERAGE RATING]]&gt;=4,"High",IF(Books[[#This Row],[AVERAGE RATING]]&gt;=3,"Medium","Low"))</f>
        <v>Low</v>
      </c>
      <c r="L1000" t="str">
        <f>IF(Books[[#This Row],[AVERAGE RATING]]&gt;10000,"Popular","Average")</f>
        <v>Average</v>
      </c>
      <c r="M1000">
        <f>Books[[#This Row],[AVERAGE RATING]]*Books[[#This Row],[RATINGS COUNT]]</f>
        <v>0</v>
      </c>
    </row>
    <row r="1001" spans="1:13" x14ac:dyDescent="0.25">
      <c r="A1001" t="s">
        <v>2239</v>
      </c>
      <c r="B1001" t="s">
        <v>1300</v>
      </c>
      <c r="C1001">
        <v>32</v>
      </c>
      <c r="D1001" t="s">
        <v>11</v>
      </c>
      <c r="E1001" t="s">
        <v>3195</v>
      </c>
      <c r="F1001" t="s">
        <v>2223</v>
      </c>
      <c r="G1001" t="s">
        <v>4</v>
      </c>
      <c r="H1001">
        <v>0</v>
      </c>
      <c r="I1001">
        <v>0</v>
      </c>
      <c r="J1001">
        <v>2023</v>
      </c>
      <c r="K1001" t="str">
        <f>IF(Books[[#This Row],[AVERAGE RATING]]&gt;=4,"High",IF(Books[[#This Row],[AVERAGE RATING]]&gt;=3,"Medium","Low"))</f>
        <v>Low</v>
      </c>
      <c r="L1001" t="str">
        <f>IF(Books[[#This Row],[AVERAGE RATING]]&gt;10000,"Popular","Average")</f>
        <v>Average</v>
      </c>
      <c r="M1001">
        <f>Books[[#This Row],[AVERAGE RATING]]*Books[[#This Row],[RATINGS COUNT]]</f>
        <v>0</v>
      </c>
    </row>
    <row r="1002" spans="1:13" x14ac:dyDescent="0.25">
      <c r="A1002" t="s">
        <v>2240</v>
      </c>
      <c r="B1002" t="s">
        <v>1300</v>
      </c>
      <c r="C1002">
        <v>285</v>
      </c>
      <c r="D1002" t="s">
        <v>11</v>
      </c>
      <c r="E1002" t="s">
        <v>3789</v>
      </c>
      <c r="F1002" t="s">
        <v>2223</v>
      </c>
      <c r="G1002" t="s">
        <v>2188</v>
      </c>
      <c r="H1002">
        <v>0</v>
      </c>
      <c r="I1002">
        <v>0</v>
      </c>
      <c r="J1002">
        <v>2024</v>
      </c>
      <c r="K1002" t="str">
        <f>IF(Books[[#This Row],[AVERAGE RATING]]&gt;=4,"High",IF(Books[[#This Row],[AVERAGE RATING]]&gt;=3,"Medium","Low"))</f>
        <v>Low</v>
      </c>
      <c r="L1002" t="str">
        <f>IF(Books[[#This Row],[AVERAGE RATING]]&gt;10000,"Popular","Average")</f>
        <v>Average</v>
      </c>
      <c r="M1002">
        <f>Books[[#This Row],[AVERAGE RATING]]*Books[[#This Row],[RATINGS COUNT]]</f>
        <v>0</v>
      </c>
    </row>
    <row r="1003" spans="1:13" x14ac:dyDescent="0.25">
      <c r="A1003" t="s">
        <v>2241</v>
      </c>
      <c r="B1003" t="s">
        <v>1300</v>
      </c>
      <c r="C1003">
        <v>43</v>
      </c>
      <c r="D1003" t="s">
        <v>11</v>
      </c>
      <c r="E1003" t="s">
        <v>3790</v>
      </c>
      <c r="F1003" t="s">
        <v>2223</v>
      </c>
      <c r="G1003" t="s">
        <v>4</v>
      </c>
      <c r="H1003">
        <v>0</v>
      </c>
      <c r="I1003">
        <v>0</v>
      </c>
      <c r="J1003">
        <v>2024</v>
      </c>
      <c r="K1003" t="str">
        <f>IF(Books[[#This Row],[AVERAGE RATING]]&gt;=4,"High",IF(Books[[#This Row],[AVERAGE RATING]]&gt;=3,"Medium","Low"))</f>
        <v>Low</v>
      </c>
      <c r="L1003" t="str">
        <f>IF(Books[[#This Row],[AVERAGE RATING]]&gt;10000,"Popular","Average")</f>
        <v>Average</v>
      </c>
      <c r="M1003">
        <f>Books[[#This Row],[AVERAGE RATING]]*Books[[#This Row],[RATINGS COUNT]]</f>
        <v>0</v>
      </c>
    </row>
    <row r="1004" spans="1:13" x14ac:dyDescent="0.25">
      <c r="A1004" t="s">
        <v>2242</v>
      </c>
      <c r="B1004" t="s">
        <v>1650</v>
      </c>
      <c r="C1004">
        <v>1168</v>
      </c>
      <c r="D1004" t="s">
        <v>11</v>
      </c>
      <c r="E1004" t="s">
        <v>3791</v>
      </c>
      <c r="F1004" t="s">
        <v>1292</v>
      </c>
      <c r="G1004" t="s">
        <v>4</v>
      </c>
      <c r="H1004">
        <v>5</v>
      </c>
      <c r="I1004">
        <v>4</v>
      </c>
      <c r="J1004">
        <v>2019</v>
      </c>
      <c r="K1004" t="str">
        <f>IF(Books[[#This Row],[AVERAGE RATING]]&gt;=4,"High",IF(Books[[#This Row],[AVERAGE RATING]]&gt;=3,"Medium","Low"))</f>
        <v>High</v>
      </c>
      <c r="L1004" t="str">
        <f>IF(Books[[#This Row],[AVERAGE RATING]]&gt;10000,"Popular","Average")</f>
        <v>Average</v>
      </c>
      <c r="M1004">
        <f>Books[[#This Row],[AVERAGE RATING]]*Books[[#This Row],[RATINGS COUNT]]</f>
        <v>20</v>
      </c>
    </row>
    <row r="1005" spans="1:13" x14ac:dyDescent="0.25">
      <c r="A1005" t="s">
        <v>2243</v>
      </c>
      <c r="B1005" t="s">
        <v>1650</v>
      </c>
      <c r="C1005">
        <v>212</v>
      </c>
      <c r="D1005" t="s">
        <v>11</v>
      </c>
      <c r="E1005" t="s">
        <v>3076</v>
      </c>
      <c r="F1005" t="s">
        <v>1203</v>
      </c>
      <c r="G1005" t="s">
        <v>4</v>
      </c>
      <c r="H1005">
        <v>4.5</v>
      </c>
      <c r="I1005">
        <v>6</v>
      </c>
      <c r="J1005">
        <v>2000</v>
      </c>
      <c r="K1005" t="str">
        <f>IF(Books[[#This Row],[AVERAGE RATING]]&gt;=4,"High",IF(Books[[#This Row],[AVERAGE RATING]]&gt;=3,"Medium","Low"))</f>
        <v>High</v>
      </c>
      <c r="L1005" t="str">
        <f>IF(Books[[#This Row],[AVERAGE RATING]]&gt;10000,"Popular","Average")</f>
        <v>Average</v>
      </c>
      <c r="M1005">
        <f>Books[[#This Row],[AVERAGE RATING]]*Books[[#This Row],[RATINGS COUNT]]</f>
        <v>27</v>
      </c>
    </row>
    <row r="1006" spans="1:13" x14ac:dyDescent="0.25">
      <c r="A1006" t="s">
        <v>2244</v>
      </c>
      <c r="B1006" t="s">
        <v>1650</v>
      </c>
      <c r="C1006">
        <v>512</v>
      </c>
      <c r="D1006" t="s">
        <v>11</v>
      </c>
      <c r="E1006" t="s">
        <v>3792</v>
      </c>
      <c r="F1006" t="s">
        <v>1203</v>
      </c>
      <c r="G1006" t="s">
        <v>4</v>
      </c>
      <c r="H1006">
        <v>0</v>
      </c>
      <c r="I1006">
        <v>0</v>
      </c>
      <c r="J1006">
        <v>2024</v>
      </c>
      <c r="K1006" t="str">
        <f>IF(Books[[#This Row],[AVERAGE RATING]]&gt;=4,"High",IF(Books[[#This Row],[AVERAGE RATING]]&gt;=3,"Medium","Low"))</f>
        <v>Low</v>
      </c>
      <c r="L1006" t="str">
        <f>IF(Books[[#This Row],[AVERAGE RATING]]&gt;10000,"Popular","Average")</f>
        <v>Average</v>
      </c>
      <c r="M1006">
        <f>Books[[#This Row],[AVERAGE RATING]]*Books[[#This Row],[RATINGS COUNT]]</f>
        <v>0</v>
      </c>
    </row>
    <row r="1007" spans="1:13" x14ac:dyDescent="0.25">
      <c r="A1007" t="s">
        <v>2245</v>
      </c>
      <c r="B1007" t="s">
        <v>1650</v>
      </c>
      <c r="C1007">
        <v>800</v>
      </c>
      <c r="D1007" t="s">
        <v>11</v>
      </c>
      <c r="E1007" t="s">
        <v>3553</v>
      </c>
      <c r="F1007" t="s">
        <v>1203</v>
      </c>
      <c r="G1007" t="s">
        <v>4</v>
      </c>
      <c r="H1007">
        <v>0</v>
      </c>
      <c r="I1007">
        <v>0</v>
      </c>
      <c r="J1007">
        <v>2024</v>
      </c>
      <c r="K1007" t="str">
        <f>IF(Books[[#This Row],[AVERAGE RATING]]&gt;=4,"High",IF(Books[[#This Row],[AVERAGE RATING]]&gt;=3,"Medium","Low"))</f>
        <v>Low</v>
      </c>
      <c r="L1007" t="str">
        <f>IF(Books[[#This Row],[AVERAGE RATING]]&gt;10000,"Popular","Average")</f>
        <v>Average</v>
      </c>
      <c r="M1007">
        <f>Books[[#This Row],[AVERAGE RATING]]*Books[[#This Row],[RATINGS COUNT]]</f>
        <v>0</v>
      </c>
    </row>
    <row r="1008" spans="1:13" x14ac:dyDescent="0.25">
      <c r="A1008" t="s">
        <v>2246</v>
      </c>
      <c r="B1008" t="s">
        <v>1650</v>
      </c>
      <c r="C1008">
        <v>432</v>
      </c>
      <c r="D1008" t="s">
        <v>11</v>
      </c>
      <c r="E1008" t="s">
        <v>3793</v>
      </c>
      <c r="F1008" t="s">
        <v>1203</v>
      </c>
      <c r="G1008" t="s">
        <v>4</v>
      </c>
      <c r="H1008">
        <v>0</v>
      </c>
      <c r="I1008">
        <v>0</v>
      </c>
      <c r="J1008">
        <v>2017</v>
      </c>
      <c r="K1008" t="str">
        <f>IF(Books[[#This Row],[AVERAGE RATING]]&gt;=4,"High",IF(Books[[#This Row],[AVERAGE RATING]]&gt;=3,"Medium","Low"))</f>
        <v>Low</v>
      </c>
      <c r="L1008" t="str">
        <f>IF(Books[[#This Row],[AVERAGE RATING]]&gt;10000,"Popular","Average")</f>
        <v>Average</v>
      </c>
      <c r="M1008">
        <f>Books[[#This Row],[AVERAGE RATING]]*Books[[#This Row],[RATINGS COUNT]]</f>
        <v>0</v>
      </c>
    </row>
    <row r="1009" spans="1:13" x14ac:dyDescent="0.25">
      <c r="A1009" t="s">
        <v>2247</v>
      </c>
      <c r="B1009" t="s">
        <v>1650</v>
      </c>
      <c r="C1009">
        <v>880</v>
      </c>
      <c r="D1009" t="s">
        <v>11</v>
      </c>
      <c r="E1009" t="s">
        <v>3793</v>
      </c>
      <c r="F1009" t="s">
        <v>1203</v>
      </c>
      <c r="G1009" t="s">
        <v>4</v>
      </c>
      <c r="H1009">
        <v>0</v>
      </c>
      <c r="I1009">
        <v>0</v>
      </c>
      <c r="J1009">
        <v>2017</v>
      </c>
      <c r="K1009" t="str">
        <f>IF(Books[[#This Row],[AVERAGE RATING]]&gt;=4,"High",IF(Books[[#This Row],[AVERAGE RATING]]&gt;=3,"Medium","Low"))</f>
        <v>Low</v>
      </c>
      <c r="L1009" t="str">
        <f>IF(Books[[#This Row],[AVERAGE RATING]]&gt;10000,"Popular","Average")</f>
        <v>Average</v>
      </c>
      <c r="M1009">
        <f>Books[[#This Row],[AVERAGE RATING]]*Books[[#This Row],[RATINGS COUNT]]</f>
        <v>0</v>
      </c>
    </row>
    <row r="1010" spans="1:13" x14ac:dyDescent="0.25">
      <c r="A1010" t="s">
        <v>2248</v>
      </c>
      <c r="B1010" t="s">
        <v>1650</v>
      </c>
      <c r="C1010">
        <v>400</v>
      </c>
      <c r="D1010" t="s">
        <v>11</v>
      </c>
      <c r="E1010" t="s">
        <v>3794</v>
      </c>
      <c r="F1010" t="s">
        <v>1203</v>
      </c>
      <c r="G1010" t="s">
        <v>4</v>
      </c>
      <c r="H1010">
        <v>5</v>
      </c>
      <c r="I1010">
        <v>1</v>
      </c>
      <c r="J1010">
        <v>2016</v>
      </c>
      <c r="K1010" t="str">
        <f>IF(Books[[#This Row],[AVERAGE RATING]]&gt;=4,"High",IF(Books[[#This Row],[AVERAGE RATING]]&gt;=3,"Medium","Low"))</f>
        <v>High</v>
      </c>
      <c r="L1010" t="str">
        <f>IF(Books[[#This Row],[AVERAGE RATING]]&gt;10000,"Popular","Average")</f>
        <v>Average</v>
      </c>
      <c r="M1010">
        <f>Books[[#This Row],[AVERAGE RATING]]*Books[[#This Row],[RATINGS COUNT]]</f>
        <v>5</v>
      </c>
    </row>
    <row r="1011" spans="1:13" x14ac:dyDescent="0.25">
      <c r="A1011" t="s">
        <v>2249</v>
      </c>
      <c r="B1011" t="s">
        <v>1650</v>
      </c>
      <c r="C1011">
        <v>656</v>
      </c>
      <c r="D1011" t="s">
        <v>11</v>
      </c>
      <c r="E1011" t="s">
        <v>3795</v>
      </c>
      <c r="F1011" t="s">
        <v>1203</v>
      </c>
      <c r="G1011" t="s">
        <v>4</v>
      </c>
      <c r="H1011">
        <v>0</v>
      </c>
      <c r="I1011">
        <v>0</v>
      </c>
      <c r="J1011">
        <v>2016</v>
      </c>
      <c r="K1011" t="str">
        <f>IF(Books[[#This Row],[AVERAGE RATING]]&gt;=4,"High",IF(Books[[#This Row],[AVERAGE RATING]]&gt;=3,"Medium","Low"))</f>
        <v>Low</v>
      </c>
      <c r="L1011" t="str">
        <f>IF(Books[[#This Row],[AVERAGE RATING]]&gt;10000,"Popular","Average")</f>
        <v>Average</v>
      </c>
      <c r="M1011">
        <f>Books[[#This Row],[AVERAGE RATING]]*Books[[#This Row],[RATINGS COUNT]]</f>
        <v>0</v>
      </c>
    </row>
    <row r="1012" spans="1:13" x14ac:dyDescent="0.25">
      <c r="A1012" t="s">
        <v>2250</v>
      </c>
      <c r="B1012" t="s">
        <v>1650</v>
      </c>
      <c r="C1012">
        <v>512</v>
      </c>
      <c r="D1012" t="s">
        <v>11</v>
      </c>
      <c r="E1012" t="s">
        <v>3796</v>
      </c>
      <c r="F1012" t="s">
        <v>1203</v>
      </c>
      <c r="G1012" t="s">
        <v>4</v>
      </c>
      <c r="H1012">
        <v>0</v>
      </c>
      <c r="I1012">
        <v>0</v>
      </c>
      <c r="J1012">
        <v>2022</v>
      </c>
      <c r="K1012" t="str">
        <f>IF(Books[[#This Row],[AVERAGE RATING]]&gt;=4,"High",IF(Books[[#This Row],[AVERAGE RATING]]&gt;=3,"Medium","Low"))</f>
        <v>Low</v>
      </c>
      <c r="L1012" t="str">
        <f>IF(Books[[#This Row],[AVERAGE RATING]]&gt;10000,"Popular","Average")</f>
        <v>Average</v>
      </c>
      <c r="M1012">
        <f>Books[[#This Row],[AVERAGE RATING]]*Books[[#This Row],[RATINGS COUNT]]</f>
        <v>0</v>
      </c>
    </row>
    <row r="1013" spans="1:13" x14ac:dyDescent="0.25">
      <c r="A1013" t="s">
        <v>2251</v>
      </c>
      <c r="B1013" t="s">
        <v>1650</v>
      </c>
      <c r="C1013">
        <v>8</v>
      </c>
      <c r="D1013" t="s">
        <v>11</v>
      </c>
      <c r="E1013" t="s">
        <v>3797</v>
      </c>
      <c r="F1013" t="s">
        <v>1203</v>
      </c>
      <c r="G1013" t="s">
        <v>4</v>
      </c>
      <c r="H1013">
        <v>0</v>
      </c>
      <c r="I1013">
        <v>0</v>
      </c>
      <c r="J1013">
        <v>2016</v>
      </c>
      <c r="K1013" t="str">
        <f>IF(Books[[#This Row],[AVERAGE RATING]]&gt;=4,"High",IF(Books[[#This Row],[AVERAGE RATING]]&gt;=3,"Medium","Low"))</f>
        <v>Low</v>
      </c>
      <c r="L1013" t="str">
        <f>IF(Books[[#This Row],[AVERAGE RATING]]&gt;10000,"Popular","Average")</f>
        <v>Average</v>
      </c>
      <c r="M1013">
        <f>Books[[#This Row],[AVERAGE RATING]]*Books[[#This Row],[RATINGS COUNT]]</f>
        <v>0</v>
      </c>
    </row>
    <row r="1014" spans="1:13" x14ac:dyDescent="0.25">
      <c r="A1014" t="s">
        <v>2252</v>
      </c>
      <c r="B1014" t="s">
        <v>1650</v>
      </c>
      <c r="C1014">
        <v>464</v>
      </c>
      <c r="D1014" t="s">
        <v>11</v>
      </c>
      <c r="E1014" t="s">
        <v>3611</v>
      </c>
      <c r="F1014" t="s">
        <v>1203</v>
      </c>
      <c r="G1014" t="s">
        <v>4</v>
      </c>
      <c r="H1014">
        <v>0</v>
      </c>
      <c r="I1014">
        <v>0</v>
      </c>
      <c r="J1014">
        <v>2023</v>
      </c>
      <c r="K1014" t="str">
        <f>IF(Books[[#This Row],[AVERAGE RATING]]&gt;=4,"High",IF(Books[[#This Row],[AVERAGE RATING]]&gt;=3,"Medium","Low"))</f>
        <v>Low</v>
      </c>
      <c r="L1014" t="str">
        <f>IF(Books[[#This Row],[AVERAGE RATING]]&gt;10000,"Popular","Average")</f>
        <v>Average</v>
      </c>
      <c r="M1014">
        <f>Books[[#This Row],[AVERAGE RATING]]*Books[[#This Row],[RATINGS COUNT]]</f>
        <v>0</v>
      </c>
    </row>
    <row r="1015" spans="1:13" x14ac:dyDescent="0.25">
      <c r="A1015" t="s">
        <v>2253</v>
      </c>
      <c r="B1015" t="s">
        <v>1650</v>
      </c>
      <c r="C1015">
        <v>800</v>
      </c>
      <c r="D1015" t="s">
        <v>11</v>
      </c>
      <c r="E1015" t="s">
        <v>3798</v>
      </c>
      <c r="F1015" t="s">
        <v>1203</v>
      </c>
      <c r="G1015" t="s">
        <v>4</v>
      </c>
      <c r="H1015">
        <v>0</v>
      </c>
      <c r="I1015">
        <v>0</v>
      </c>
      <c r="J1015">
        <v>2016</v>
      </c>
      <c r="K1015" t="str">
        <f>IF(Books[[#This Row],[AVERAGE RATING]]&gt;=4,"High",IF(Books[[#This Row],[AVERAGE RATING]]&gt;=3,"Medium","Low"))</f>
        <v>Low</v>
      </c>
      <c r="L1015" t="str">
        <f>IF(Books[[#This Row],[AVERAGE RATING]]&gt;10000,"Popular","Average")</f>
        <v>Average</v>
      </c>
      <c r="M1015">
        <f>Books[[#This Row],[AVERAGE RATING]]*Books[[#This Row],[RATINGS COUNT]]</f>
        <v>0</v>
      </c>
    </row>
    <row r="1016" spans="1:13" x14ac:dyDescent="0.25">
      <c r="A1016" t="s">
        <v>2254</v>
      </c>
      <c r="B1016" t="s">
        <v>1650</v>
      </c>
      <c r="C1016">
        <v>688</v>
      </c>
      <c r="D1016" t="s">
        <v>11</v>
      </c>
      <c r="E1016" t="s">
        <v>3799</v>
      </c>
      <c r="F1016" t="s">
        <v>1203</v>
      </c>
      <c r="G1016" t="s">
        <v>4</v>
      </c>
      <c r="H1016">
        <v>0</v>
      </c>
      <c r="I1016">
        <v>0</v>
      </c>
      <c r="J1016">
        <v>2017</v>
      </c>
      <c r="K1016" t="str">
        <f>IF(Books[[#This Row],[AVERAGE RATING]]&gt;=4,"High",IF(Books[[#This Row],[AVERAGE RATING]]&gt;=3,"Medium","Low"))</f>
        <v>Low</v>
      </c>
      <c r="L1016" t="str">
        <f>IF(Books[[#This Row],[AVERAGE RATING]]&gt;10000,"Popular","Average")</f>
        <v>Average</v>
      </c>
      <c r="M1016">
        <f>Books[[#This Row],[AVERAGE RATING]]*Books[[#This Row],[RATINGS COUNT]]</f>
        <v>0</v>
      </c>
    </row>
    <row r="1017" spans="1:13" x14ac:dyDescent="0.25">
      <c r="A1017" t="s">
        <v>2255</v>
      </c>
      <c r="B1017" t="s">
        <v>1650</v>
      </c>
      <c r="C1017">
        <v>160</v>
      </c>
      <c r="D1017" t="s">
        <v>11</v>
      </c>
      <c r="E1017" t="s">
        <v>3800</v>
      </c>
      <c r="F1017" t="s">
        <v>1292</v>
      </c>
      <c r="G1017" t="s">
        <v>4</v>
      </c>
      <c r="H1017">
        <v>0</v>
      </c>
      <c r="I1017">
        <v>0</v>
      </c>
      <c r="J1017">
        <v>2019</v>
      </c>
      <c r="K1017" t="str">
        <f>IF(Books[[#This Row],[AVERAGE RATING]]&gt;=4,"High",IF(Books[[#This Row],[AVERAGE RATING]]&gt;=3,"Medium","Low"))</f>
        <v>Low</v>
      </c>
      <c r="L1017" t="str">
        <f>IF(Books[[#This Row],[AVERAGE RATING]]&gt;10000,"Popular","Average")</f>
        <v>Average</v>
      </c>
      <c r="M1017">
        <f>Books[[#This Row],[AVERAGE RATING]]*Books[[#This Row],[RATINGS COUNT]]</f>
        <v>0</v>
      </c>
    </row>
    <row r="1018" spans="1:13" x14ac:dyDescent="0.25">
      <c r="A1018" t="s">
        <v>2256</v>
      </c>
      <c r="B1018" t="s">
        <v>1650</v>
      </c>
      <c r="C1018">
        <v>960</v>
      </c>
      <c r="D1018" t="s">
        <v>11</v>
      </c>
      <c r="E1018" t="s">
        <v>3801</v>
      </c>
      <c r="F1018" t="s">
        <v>1203</v>
      </c>
      <c r="G1018" t="s">
        <v>4</v>
      </c>
      <c r="H1018">
        <v>5</v>
      </c>
      <c r="I1018">
        <v>3</v>
      </c>
      <c r="J1018">
        <v>2016</v>
      </c>
      <c r="K1018" t="str">
        <f>IF(Books[[#This Row],[AVERAGE RATING]]&gt;=4,"High",IF(Books[[#This Row],[AVERAGE RATING]]&gt;=3,"Medium","Low"))</f>
        <v>High</v>
      </c>
      <c r="L1018" t="str">
        <f>IF(Books[[#This Row],[AVERAGE RATING]]&gt;10000,"Popular","Average")</f>
        <v>Average</v>
      </c>
      <c r="M1018">
        <f>Books[[#This Row],[AVERAGE RATING]]*Books[[#This Row],[RATINGS COUNT]]</f>
        <v>15</v>
      </c>
    </row>
    <row r="1019" spans="1:13" x14ac:dyDescent="0.25">
      <c r="A1019" t="s">
        <v>2257</v>
      </c>
      <c r="B1019" t="s">
        <v>1650</v>
      </c>
      <c r="C1019">
        <v>432</v>
      </c>
      <c r="D1019" t="s">
        <v>11</v>
      </c>
      <c r="E1019" t="s">
        <v>3802</v>
      </c>
      <c r="F1019" t="s">
        <v>1203</v>
      </c>
      <c r="G1019" t="s">
        <v>4</v>
      </c>
      <c r="H1019">
        <v>0</v>
      </c>
      <c r="I1019">
        <v>0</v>
      </c>
      <c r="J1019">
        <v>2025</v>
      </c>
      <c r="K1019" t="str">
        <f>IF(Books[[#This Row],[AVERAGE RATING]]&gt;=4,"High",IF(Books[[#This Row],[AVERAGE RATING]]&gt;=3,"Medium","Low"))</f>
        <v>Low</v>
      </c>
      <c r="L1019" t="str">
        <f>IF(Books[[#This Row],[AVERAGE RATING]]&gt;10000,"Popular","Average")</f>
        <v>Average</v>
      </c>
      <c r="M1019">
        <f>Books[[#This Row],[AVERAGE RATING]]*Books[[#This Row],[RATINGS COUNT]]</f>
        <v>0</v>
      </c>
    </row>
    <row r="1020" spans="1:13" x14ac:dyDescent="0.25">
      <c r="A1020" t="s">
        <v>2258</v>
      </c>
      <c r="B1020" t="s">
        <v>1650</v>
      </c>
      <c r="C1020">
        <v>512</v>
      </c>
      <c r="D1020" t="s">
        <v>158</v>
      </c>
      <c r="E1020" t="s">
        <v>3572</v>
      </c>
      <c r="F1020" t="s">
        <v>1203</v>
      </c>
      <c r="G1020" t="s">
        <v>4</v>
      </c>
      <c r="H1020">
        <v>0</v>
      </c>
      <c r="I1020">
        <v>0</v>
      </c>
      <c r="J1020">
        <v>2011</v>
      </c>
      <c r="K1020" t="str">
        <f>IF(Books[[#This Row],[AVERAGE RATING]]&gt;=4,"High",IF(Books[[#This Row],[AVERAGE RATING]]&gt;=3,"Medium","Low"))</f>
        <v>Low</v>
      </c>
      <c r="L1020" t="str">
        <f>IF(Books[[#This Row],[AVERAGE RATING]]&gt;10000,"Popular","Average")</f>
        <v>Average</v>
      </c>
      <c r="M1020">
        <f>Books[[#This Row],[AVERAGE RATING]]*Books[[#This Row],[RATINGS COUNT]]</f>
        <v>0</v>
      </c>
    </row>
    <row r="1021" spans="1:13" x14ac:dyDescent="0.25">
      <c r="A1021" t="s">
        <v>2259</v>
      </c>
      <c r="B1021" t="s">
        <v>1650</v>
      </c>
      <c r="C1021">
        <v>416</v>
      </c>
      <c r="D1021" t="s">
        <v>11</v>
      </c>
      <c r="E1021" t="s">
        <v>3213</v>
      </c>
      <c r="F1021" t="s">
        <v>1203</v>
      </c>
      <c r="G1021" t="s">
        <v>4</v>
      </c>
      <c r="H1021">
        <v>0</v>
      </c>
      <c r="I1021">
        <v>0</v>
      </c>
      <c r="J1021">
        <v>2024</v>
      </c>
      <c r="K1021" t="str">
        <f>IF(Books[[#This Row],[AVERAGE RATING]]&gt;=4,"High",IF(Books[[#This Row],[AVERAGE RATING]]&gt;=3,"Medium","Low"))</f>
        <v>Low</v>
      </c>
      <c r="L1021" t="str">
        <f>IF(Books[[#This Row],[AVERAGE RATING]]&gt;10000,"Popular","Average")</f>
        <v>Average</v>
      </c>
      <c r="M1021">
        <f>Books[[#This Row],[AVERAGE RATING]]*Books[[#This Row],[RATINGS COUNT]]</f>
        <v>0</v>
      </c>
    </row>
    <row r="1022" spans="1:13" x14ac:dyDescent="0.25">
      <c r="A1022" t="s">
        <v>2260</v>
      </c>
      <c r="B1022" t="s">
        <v>1650</v>
      </c>
      <c r="C1022">
        <v>400</v>
      </c>
      <c r="D1022" t="s">
        <v>11</v>
      </c>
      <c r="E1022" t="s">
        <v>3798</v>
      </c>
      <c r="F1022" t="s">
        <v>1203</v>
      </c>
      <c r="G1022" t="s">
        <v>4</v>
      </c>
      <c r="H1022">
        <v>0</v>
      </c>
      <c r="I1022">
        <v>0</v>
      </c>
      <c r="J1022">
        <v>2016</v>
      </c>
      <c r="K1022" t="str">
        <f>IF(Books[[#This Row],[AVERAGE RATING]]&gt;=4,"High",IF(Books[[#This Row],[AVERAGE RATING]]&gt;=3,"Medium","Low"))</f>
        <v>Low</v>
      </c>
      <c r="L1022" t="str">
        <f>IF(Books[[#This Row],[AVERAGE RATING]]&gt;10000,"Popular","Average")</f>
        <v>Average</v>
      </c>
      <c r="M1022">
        <f>Books[[#This Row],[AVERAGE RATING]]*Books[[#This Row],[RATINGS COUNT]]</f>
        <v>0</v>
      </c>
    </row>
    <row r="1023" spans="1:13" x14ac:dyDescent="0.25">
      <c r="A1023" t="s">
        <v>2261</v>
      </c>
      <c r="B1023" t="s">
        <v>1650</v>
      </c>
      <c r="C1023">
        <v>752</v>
      </c>
      <c r="D1023" t="s">
        <v>11</v>
      </c>
      <c r="E1023" t="s">
        <v>3803</v>
      </c>
      <c r="F1023" t="s">
        <v>1203</v>
      </c>
      <c r="G1023" t="s">
        <v>4</v>
      </c>
      <c r="H1023">
        <v>5</v>
      </c>
      <c r="I1023">
        <v>1</v>
      </c>
      <c r="J1023">
        <v>1999</v>
      </c>
      <c r="K1023" t="str">
        <f>IF(Books[[#This Row],[AVERAGE RATING]]&gt;=4,"High",IF(Books[[#This Row],[AVERAGE RATING]]&gt;=3,"Medium","Low"))</f>
        <v>High</v>
      </c>
      <c r="L1023" t="str">
        <f>IF(Books[[#This Row],[AVERAGE RATING]]&gt;10000,"Popular","Average")</f>
        <v>Average</v>
      </c>
      <c r="M1023">
        <f>Books[[#This Row],[AVERAGE RATING]]*Books[[#This Row],[RATINGS COUNT]]</f>
        <v>5</v>
      </c>
    </row>
    <row r="1024" spans="1:13" x14ac:dyDescent="0.25">
      <c r="A1024" t="s">
        <v>2262</v>
      </c>
      <c r="B1024" t="s">
        <v>1650</v>
      </c>
      <c r="C1024">
        <v>69</v>
      </c>
      <c r="D1024" t="s">
        <v>11</v>
      </c>
      <c r="E1024" t="s">
        <v>3804</v>
      </c>
      <c r="F1024" t="s">
        <v>1203</v>
      </c>
      <c r="G1024" t="s">
        <v>4</v>
      </c>
      <c r="H1024">
        <v>4</v>
      </c>
      <c r="I1024">
        <v>8</v>
      </c>
      <c r="J1024">
        <v>2000</v>
      </c>
      <c r="K1024" t="str">
        <f>IF(Books[[#This Row],[AVERAGE RATING]]&gt;=4,"High",IF(Books[[#This Row],[AVERAGE RATING]]&gt;=3,"Medium","Low"))</f>
        <v>High</v>
      </c>
      <c r="L1024" t="str">
        <f>IF(Books[[#This Row],[AVERAGE RATING]]&gt;10000,"Popular","Average")</f>
        <v>Average</v>
      </c>
      <c r="M1024">
        <f>Books[[#This Row],[AVERAGE RATING]]*Books[[#This Row],[RATINGS COUNT]]</f>
        <v>32</v>
      </c>
    </row>
    <row r="1025" spans="1:13" x14ac:dyDescent="0.25">
      <c r="A1025" t="s">
        <v>2263</v>
      </c>
      <c r="B1025" t="s">
        <v>1302</v>
      </c>
      <c r="C1025">
        <v>524</v>
      </c>
      <c r="D1025" t="s">
        <v>11</v>
      </c>
      <c r="E1025" t="s">
        <v>3805</v>
      </c>
      <c r="F1025" t="s">
        <v>2264</v>
      </c>
      <c r="G1025" t="s">
        <v>1304</v>
      </c>
      <c r="H1025">
        <v>0</v>
      </c>
      <c r="I1025">
        <v>0</v>
      </c>
      <c r="J1025">
        <v>2019</v>
      </c>
      <c r="K1025" t="str">
        <f>IF(Books[[#This Row],[AVERAGE RATING]]&gt;=4,"High",IF(Books[[#This Row],[AVERAGE RATING]]&gt;=3,"Medium","Low"))</f>
        <v>Low</v>
      </c>
      <c r="L1025" t="str">
        <f>IF(Books[[#This Row],[AVERAGE RATING]]&gt;10000,"Popular","Average")</f>
        <v>Average</v>
      </c>
      <c r="M1025">
        <f>Books[[#This Row],[AVERAGE RATING]]*Books[[#This Row],[RATINGS COUNT]]</f>
        <v>0</v>
      </c>
    </row>
    <row r="1026" spans="1:13" x14ac:dyDescent="0.25">
      <c r="A1026" t="s">
        <v>2265</v>
      </c>
      <c r="B1026" t="s">
        <v>1302</v>
      </c>
      <c r="C1026">
        <v>532</v>
      </c>
      <c r="D1026" t="s">
        <v>11</v>
      </c>
      <c r="E1026" t="s">
        <v>3772</v>
      </c>
      <c r="F1026" t="s">
        <v>1203</v>
      </c>
      <c r="G1026" t="s">
        <v>4</v>
      </c>
      <c r="H1026">
        <v>5</v>
      </c>
      <c r="I1026">
        <v>3</v>
      </c>
      <c r="J1026">
        <v>2006</v>
      </c>
      <c r="K1026" t="str">
        <f>IF(Books[[#This Row],[AVERAGE RATING]]&gt;=4,"High",IF(Books[[#This Row],[AVERAGE RATING]]&gt;=3,"Medium","Low"))</f>
        <v>High</v>
      </c>
      <c r="L1026" t="str">
        <f>IF(Books[[#This Row],[AVERAGE RATING]]&gt;10000,"Popular","Average")</f>
        <v>Average</v>
      </c>
      <c r="M1026">
        <f>Books[[#This Row],[AVERAGE RATING]]*Books[[#This Row],[RATINGS COUNT]]</f>
        <v>15</v>
      </c>
    </row>
    <row r="1027" spans="1:13" x14ac:dyDescent="0.25">
      <c r="A1027" t="s">
        <v>2266</v>
      </c>
      <c r="B1027" t="s">
        <v>1302</v>
      </c>
      <c r="C1027">
        <v>954</v>
      </c>
      <c r="D1027" t="s">
        <v>11</v>
      </c>
      <c r="E1027" t="s">
        <v>3806</v>
      </c>
      <c r="F1027" t="s">
        <v>2267</v>
      </c>
      <c r="G1027" t="s">
        <v>1304</v>
      </c>
      <c r="H1027">
        <v>0</v>
      </c>
      <c r="I1027">
        <v>0</v>
      </c>
      <c r="J1027">
        <v>2010</v>
      </c>
      <c r="K1027" t="str">
        <f>IF(Books[[#This Row],[AVERAGE RATING]]&gt;=4,"High",IF(Books[[#This Row],[AVERAGE RATING]]&gt;=3,"Medium","Low"))</f>
        <v>Low</v>
      </c>
      <c r="L1027" t="str">
        <f>IF(Books[[#This Row],[AVERAGE RATING]]&gt;10000,"Popular","Average")</f>
        <v>Average</v>
      </c>
      <c r="M1027">
        <f>Books[[#This Row],[AVERAGE RATING]]*Books[[#This Row],[RATINGS COUNT]]</f>
        <v>0</v>
      </c>
    </row>
    <row r="1028" spans="1:13" x14ac:dyDescent="0.25">
      <c r="A1028" t="s">
        <v>2271</v>
      </c>
      <c r="B1028" t="s">
        <v>1302</v>
      </c>
      <c r="C1028">
        <v>565</v>
      </c>
      <c r="D1028" t="s">
        <v>11</v>
      </c>
      <c r="E1028" t="s">
        <v>3807</v>
      </c>
      <c r="F1028" t="s">
        <v>1313</v>
      </c>
      <c r="G1028" t="s">
        <v>1314</v>
      </c>
      <c r="H1028">
        <v>4</v>
      </c>
      <c r="I1028">
        <v>7</v>
      </c>
      <c r="J1028">
        <v>2013</v>
      </c>
      <c r="K1028" t="str">
        <f>IF(Books[[#This Row],[AVERAGE RATING]]&gt;=4,"High",IF(Books[[#This Row],[AVERAGE RATING]]&gt;=3,"Medium","Low"))</f>
        <v>High</v>
      </c>
      <c r="L1028" t="str">
        <f>IF(Books[[#This Row],[AVERAGE RATING]]&gt;10000,"Popular","Average")</f>
        <v>Average</v>
      </c>
      <c r="M1028">
        <f>Books[[#This Row],[AVERAGE RATING]]*Books[[#This Row],[RATINGS COUNT]]</f>
        <v>28</v>
      </c>
    </row>
    <row r="1029" spans="1:13" x14ac:dyDescent="0.25">
      <c r="A1029" t="s">
        <v>2272</v>
      </c>
      <c r="B1029" t="s">
        <v>1302</v>
      </c>
      <c r="C1029">
        <v>19</v>
      </c>
      <c r="D1029" t="s">
        <v>11</v>
      </c>
      <c r="E1029" t="s">
        <v>3808</v>
      </c>
      <c r="F1029" t="s">
        <v>1313</v>
      </c>
      <c r="G1029" t="s">
        <v>1314</v>
      </c>
      <c r="H1029">
        <v>4</v>
      </c>
      <c r="I1029">
        <v>2</v>
      </c>
      <c r="J1029">
        <v>2013</v>
      </c>
      <c r="K1029" t="str">
        <f>IF(Books[[#This Row],[AVERAGE RATING]]&gt;=4,"High",IF(Books[[#This Row],[AVERAGE RATING]]&gt;=3,"Medium","Low"))</f>
        <v>High</v>
      </c>
      <c r="L1029" t="str">
        <f>IF(Books[[#This Row],[AVERAGE RATING]]&gt;10000,"Popular","Average")</f>
        <v>Average</v>
      </c>
      <c r="M1029">
        <f>Books[[#This Row],[AVERAGE RATING]]*Books[[#This Row],[RATINGS COUNT]]</f>
        <v>8</v>
      </c>
    </row>
    <row r="1030" spans="1:13" x14ac:dyDescent="0.25">
      <c r="A1030" t="s">
        <v>2273</v>
      </c>
      <c r="B1030" t="s">
        <v>1302</v>
      </c>
      <c r="C1030">
        <v>3219</v>
      </c>
      <c r="D1030" t="s">
        <v>11</v>
      </c>
      <c r="E1030" t="s">
        <v>3809</v>
      </c>
      <c r="F1030" t="s">
        <v>2274</v>
      </c>
      <c r="G1030" t="s">
        <v>1618</v>
      </c>
      <c r="H1030">
        <v>0</v>
      </c>
      <c r="I1030">
        <v>0</v>
      </c>
      <c r="J1030">
        <v>2020</v>
      </c>
      <c r="K1030" t="str">
        <f>IF(Books[[#This Row],[AVERAGE RATING]]&gt;=4,"High",IF(Books[[#This Row],[AVERAGE RATING]]&gt;=3,"Medium","Low"))</f>
        <v>Low</v>
      </c>
      <c r="L1030" t="str">
        <f>IF(Books[[#This Row],[AVERAGE RATING]]&gt;10000,"Popular","Average")</f>
        <v>Average</v>
      </c>
      <c r="M1030">
        <f>Books[[#This Row],[AVERAGE RATING]]*Books[[#This Row],[RATINGS COUNT]]</f>
        <v>0</v>
      </c>
    </row>
    <row r="1031" spans="1:13" x14ac:dyDescent="0.25">
      <c r="A1031" t="s">
        <v>2275</v>
      </c>
      <c r="B1031" t="s">
        <v>1302</v>
      </c>
      <c r="C1031">
        <v>585</v>
      </c>
      <c r="D1031" t="s">
        <v>11</v>
      </c>
      <c r="E1031" t="s">
        <v>3810</v>
      </c>
      <c r="F1031" t="s">
        <v>2276</v>
      </c>
      <c r="G1031" t="s">
        <v>2188</v>
      </c>
      <c r="H1031">
        <v>0</v>
      </c>
      <c r="I1031">
        <v>0</v>
      </c>
      <c r="J1031">
        <v>2017</v>
      </c>
      <c r="K1031" t="str">
        <f>IF(Books[[#This Row],[AVERAGE RATING]]&gt;=4,"High",IF(Books[[#This Row],[AVERAGE RATING]]&gt;=3,"Medium","Low"))</f>
        <v>Low</v>
      </c>
      <c r="L1031" t="str">
        <f>IF(Books[[#This Row],[AVERAGE RATING]]&gt;10000,"Popular","Average")</f>
        <v>Average</v>
      </c>
      <c r="M1031">
        <f>Books[[#This Row],[AVERAGE RATING]]*Books[[#This Row],[RATINGS COUNT]]</f>
        <v>0</v>
      </c>
    </row>
    <row r="1032" spans="1:13" x14ac:dyDescent="0.25">
      <c r="A1032" t="s">
        <v>2277</v>
      </c>
      <c r="B1032" t="s">
        <v>1302</v>
      </c>
      <c r="C1032">
        <v>414</v>
      </c>
      <c r="D1032" t="s">
        <v>11</v>
      </c>
      <c r="E1032" t="s">
        <v>3811</v>
      </c>
      <c r="F1032" t="s">
        <v>2278</v>
      </c>
      <c r="G1032" t="s">
        <v>2279</v>
      </c>
      <c r="H1032">
        <v>3</v>
      </c>
      <c r="I1032">
        <v>1</v>
      </c>
      <c r="J1032">
        <v>2017</v>
      </c>
      <c r="K1032" t="str">
        <f>IF(Books[[#This Row],[AVERAGE RATING]]&gt;=4,"High",IF(Books[[#This Row],[AVERAGE RATING]]&gt;=3,"Medium","Low"))</f>
        <v>Medium</v>
      </c>
      <c r="L1032" t="str">
        <f>IF(Books[[#This Row],[AVERAGE RATING]]&gt;10000,"Popular","Average")</f>
        <v>Average</v>
      </c>
      <c r="M1032">
        <f>Books[[#This Row],[AVERAGE RATING]]*Books[[#This Row],[RATINGS COUNT]]</f>
        <v>3</v>
      </c>
    </row>
    <row r="1033" spans="1:13" x14ac:dyDescent="0.25">
      <c r="A1033" t="s">
        <v>2280</v>
      </c>
      <c r="B1033" t="s">
        <v>1302</v>
      </c>
      <c r="C1033">
        <v>548</v>
      </c>
      <c r="D1033" t="s">
        <v>11</v>
      </c>
      <c r="E1033" t="s">
        <v>3812</v>
      </c>
      <c r="F1033" t="s">
        <v>2281</v>
      </c>
      <c r="G1033" t="s">
        <v>1618</v>
      </c>
      <c r="H1033">
        <v>5</v>
      </c>
      <c r="I1033">
        <v>5</v>
      </c>
      <c r="J1033">
        <v>2012</v>
      </c>
      <c r="K1033" t="str">
        <f>IF(Books[[#This Row],[AVERAGE RATING]]&gt;=4,"High",IF(Books[[#This Row],[AVERAGE RATING]]&gt;=3,"Medium","Low"))</f>
        <v>High</v>
      </c>
      <c r="L1033" t="str">
        <f>IF(Books[[#This Row],[AVERAGE RATING]]&gt;10000,"Popular","Average")</f>
        <v>Average</v>
      </c>
      <c r="M1033">
        <f>Books[[#This Row],[AVERAGE RATING]]*Books[[#This Row],[RATINGS COUNT]]</f>
        <v>25</v>
      </c>
    </row>
    <row r="1034" spans="1:13" x14ac:dyDescent="0.25">
      <c r="A1034" t="s">
        <v>2282</v>
      </c>
      <c r="B1034" t="s">
        <v>1302</v>
      </c>
      <c r="C1034">
        <v>300</v>
      </c>
      <c r="D1034" t="s">
        <v>45</v>
      </c>
      <c r="E1034" t="s">
        <v>3056</v>
      </c>
      <c r="F1034" t="s">
        <v>2283</v>
      </c>
      <c r="G1034" t="s">
        <v>4</v>
      </c>
      <c r="H1034">
        <v>0</v>
      </c>
      <c r="I1034">
        <v>0</v>
      </c>
      <c r="J1034">
        <v>2007</v>
      </c>
      <c r="K1034" t="str">
        <f>IF(Books[[#This Row],[AVERAGE RATING]]&gt;=4,"High",IF(Books[[#This Row],[AVERAGE RATING]]&gt;=3,"Medium","Low"))</f>
        <v>Low</v>
      </c>
      <c r="L1034" t="str">
        <f>IF(Books[[#This Row],[AVERAGE RATING]]&gt;10000,"Popular","Average")</f>
        <v>Average</v>
      </c>
      <c r="M1034">
        <f>Books[[#This Row],[AVERAGE RATING]]*Books[[#This Row],[RATINGS COUNT]]</f>
        <v>0</v>
      </c>
    </row>
    <row r="1035" spans="1:13" x14ac:dyDescent="0.25">
      <c r="A1035" t="s">
        <v>2284</v>
      </c>
      <c r="B1035" t="s">
        <v>1302</v>
      </c>
      <c r="C1035">
        <v>615</v>
      </c>
      <c r="D1035" t="s">
        <v>11</v>
      </c>
      <c r="E1035" t="s">
        <v>3807</v>
      </c>
      <c r="F1035" t="s">
        <v>2276</v>
      </c>
      <c r="G1035" t="s">
        <v>2188</v>
      </c>
      <c r="H1035">
        <v>0</v>
      </c>
      <c r="I1035">
        <v>0</v>
      </c>
      <c r="J1035">
        <v>2013</v>
      </c>
      <c r="K1035" t="str">
        <f>IF(Books[[#This Row],[AVERAGE RATING]]&gt;=4,"High",IF(Books[[#This Row],[AVERAGE RATING]]&gt;=3,"Medium","Low"))</f>
        <v>Low</v>
      </c>
      <c r="L1035" t="str">
        <f>IF(Books[[#This Row],[AVERAGE RATING]]&gt;10000,"Popular","Average")</f>
        <v>Average</v>
      </c>
      <c r="M1035">
        <f>Books[[#This Row],[AVERAGE RATING]]*Books[[#This Row],[RATINGS COUNT]]</f>
        <v>0</v>
      </c>
    </row>
    <row r="1036" spans="1:13" x14ac:dyDescent="0.25">
      <c r="A1036" t="s">
        <v>2285</v>
      </c>
      <c r="B1036" t="s">
        <v>1302</v>
      </c>
      <c r="C1036">
        <v>582</v>
      </c>
      <c r="D1036" t="s">
        <v>11</v>
      </c>
      <c r="E1036" t="s">
        <v>3813</v>
      </c>
      <c r="F1036" t="s">
        <v>2286</v>
      </c>
      <c r="G1036" t="s">
        <v>1992</v>
      </c>
      <c r="H1036">
        <v>0</v>
      </c>
      <c r="I1036">
        <v>0</v>
      </c>
      <c r="J1036">
        <v>2013</v>
      </c>
      <c r="K1036" t="str">
        <f>IF(Books[[#This Row],[AVERAGE RATING]]&gt;=4,"High",IF(Books[[#This Row],[AVERAGE RATING]]&gt;=3,"Medium","Low"))</f>
        <v>Low</v>
      </c>
      <c r="L1036" t="str">
        <f>IF(Books[[#This Row],[AVERAGE RATING]]&gt;10000,"Popular","Average")</f>
        <v>Average</v>
      </c>
      <c r="M1036">
        <f>Books[[#This Row],[AVERAGE RATING]]*Books[[#This Row],[RATINGS COUNT]]</f>
        <v>0</v>
      </c>
    </row>
    <row r="1037" spans="1:13" x14ac:dyDescent="0.25">
      <c r="A1037" t="s">
        <v>2287</v>
      </c>
      <c r="B1037" t="s">
        <v>1302</v>
      </c>
      <c r="C1037">
        <v>434</v>
      </c>
      <c r="D1037" t="s">
        <v>11</v>
      </c>
      <c r="E1037" t="s">
        <v>3155</v>
      </c>
      <c r="F1037" t="s">
        <v>1313</v>
      </c>
      <c r="G1037" t="s">
        <v>1314</v>
      </c>
      <c r="H1037">
        <v>5</v>
      </c>
      <c r="I1037">
        <v>6</v>
      </c>
      <c r="J1037">
        <v>2006</v>
      </c>
      <c r="K1037" t="str">
        <f>IF(Books[[#This Row],[AVERAGE RATING]]&gt;=4,"High",IF(Books[[#This Row],[AVERAGE RATING]]&gt;=3,"Medium","Low"))</f>
        <v>High</v>
      </c>
      <c r="L1037" t="str">
        <f>IF(Books[[#This Row],[AVERAGE RATING]]&gt;10000,"Popular","Average")</f>
        <v>Average</v>
      </c>
      <c r="M1037">
        <f>Books[[#This Row],[AVERAGE RATING]]*Books[[#This Row],[RATINGS COUNT]]</f>
        <v>30</v>
      </c>
    </row>
    <row r="1038" spans="1:13" x14ac:dyDescent="0.25">
      <c r="A1038" t="s">
        <v>2288</v>
      </c>
      <c r="B1038" t="s">
        <v>2268</v>
      </c>
      <c r="C1038">
        <v>494</v>
      </c>
      <c r="D1038" t="s">
        <v>11</v>
      </c>
      <c r="E1038" t="s">
        <v>3814</v>
      </c>
      <c r="F1038" t="s">
        <v>2269</v>
      </c>
      <c r="G1038" t="s">
        <v>2270</v>
      </c>
      <c r="H1038">
        <v>0</v>
      </c>
      <c r="I1038">
        <v>0</v>
      </c>
      <c r="J1038">
        <v>2011</v>
      </c>
      <c r="K1038" t="str">
        <f>IF(Books[[#This Row],[AVERAGE RATING]]&gt;=4,"High",IF(Books[[#This Row],[AVERAGE RATING]]&gt;=3,"Medium","Low"))</f>
        <v>Low</v>
      </c>
      <c r="L1038" t="str">
        <f>IF(Books[[#This Row],[AVERAGE RATING]]&gt;10000,"Popular","Average")</f>
        <v>Average</v>
      </c>
      <c r="M1038">
        <f>Books[[#This Row],[AVERAGE RATING]]*Books[[#This Row],[RATINGS COUNT]]</f>
        <v>0</v>
      </c>
    </row>
    <row r="1039" spans="1:13" x14ac:dyDescent="0.25">
      <c r="A1039" t="s">
        <v>2289</v>
      </c>
      <c r="B1039" t="s">
        <v>1302</v>
      </c>
      <c r="C1039">
        <v>544</v>
      </c>
      <c r="D1039" t="s">
        <v>11</v>
      </c>
      <c r="E1039" t="s">
        <v>3815</v>
      </c>
      <c r="F1039" t="s">
        <v>2290</v>
      </c>
      <c r="G1039" t="s">
        <v>1314</v>
      </c>
      <c r="H1039">
        <v>0</v>
      </c>
      <c r="I1039">
        <v>0</v>
      </c>
      <c r="J1039">
        <v>2025</v>
      </c>
      <c r="K1039" t="str">
        <f>IF(Books[[#This Row],[AVERAGE RATING]]&gt;=4,"High",IF(Books[[#This Row],[AVERAGE RATING]]&gt;=3,"Medium","Low"))</f>
        <v>Low</v>
      </c>
      <c r="L1039" t="str">
        <f>IF(Books[[#This Row],[AVERAGE RATING]]&gt;10000,"Popular","Average")</f>
        <v>Average</v>
      </c>
      <c r="M1039">
        <f>Books[[#This Row],[AVERAGE RATING]]*Books[[#This Row],[RATINGS COUNT]]</f>
        <v>0</v>
      </c>
    </row>
    <row r="1040" spans="1:13" x14ac:dyDescent="0.25">
      <c r="A1040" t="s">
        <v>2291</v>
      </c>
      <c r="B1040" t="s">
        <v>1306</v>
      </c>
      <c r="C1040">
        <v>41</v>
      </c>
      <c r="D1040" t="s">
        <v>180</v>
      </c>
      <c r="E1040" t="s">
        <v>3816</v>
      </c>
      <c r="F1040" t="s">
        <v>2292</v>
      </c>
      <c r="G1040" t="s">
        <v>1308</v>
      </c>
      <c r="H1040">
        <v>0</v>
      </c>
      <c r="I1040">
        <v>0</v>
      </c>
      <c r="J1040">
        <v>2024</v>
      </c>
      <c r="K1040" t="str">
        <f>IF(Books[[#This Row],[AVERAGE RATING]]&gt;=4,"High",IF(Books[[#This Row],[AVERAGE RATING]]&gt;=3,"Medium","Low"))</f>
        <v>Low</v>
      </c>
      <c r="L1040" t="str">
        <f>IF(Books[[#This Row],[AVERAGE RATING]]&gt;10000,"Popular","Average")</f>
        <v>Average</v>
      </c>
      <c r="M1040">
        <f>Books[[#This Row],[AVERAGE RATING]]*Books[[#This Row],[RATINGS COUNT]]</f>
        <v>0</v>
      </c>
    </row>
    <row r="1041" spans="1:13" x14ac:dyDescent="0.25">
      <c r="A1041" t="s">
        <v>2293</v>
      </c>
      <c r="B1041" t="s">
        <v>1306</v>
      </c>
      <c r="C1041">
        <v>20</v>
      </c>
      <c r="D1041" t="s">
        <v>384</v>
      </c>
      <c r="E1041" t="s">
        <v>3510</v>
      </c>
      <c r="F1041" t="s">
        <v>1307</v>
      </c>
      <c r="G1041" t="s">
        <v>1308</v>
      </c>
      <c r="H1041">
        <v>0</v>
      </c>
      <c r="I1041">
        <v>0</v>
      </c>
      <c r="J1041">
        <v>2022</v>
      </c>
      <c r="K1041" t="str">
        <f>IF(Books[[#This Row],[AVERAGE RATING]]&gt;=4,"High",IF(Books[[#This Row],[AVERAGE RATING]]&gt;=3,"Medium","Low"))</f>
        <v>Low</v>
      </c>
      <c r="L1041" t="str">
        <f>IF(Books[[#This Row],[AVERAGE RATING]]&gt;10000,"Popular","Average")</f>
        <v>Average</v>
      </c>
      <c r="M1041">
        <f>Books[[#This Row],[AVERAGE RATING]]*Books[[#This Row],[RATINGS COUNT]]</f>
        <v>0</v>
      </c>
    </row>
    <row r="1042" spans="1:13" x14ac:dyDescent="0.25">
      <c r="A1042" t="s">
        <v>2294</v>
      </c>
      <c r="B1042" t="s">
        <v>1306</v>
      </c>
      <c r="C1042">
        <v>84</v>
      </c>
      <c r="D1042" t="s">
        <v>453</v>
      </c>
      <c r="E1042" t="s">
        <v>3817</v>
      </c>
      <c r="F1042" t="s">
        <v>1405</v>
      </c>
      <c r="G1042" t="s">
        <v>1304</v>
      </c>
      <c r="H1042">
        <v>0</v>
      </c>
      <c r="I1042">
        <v>0</v>
      </c>
      <c r="J1042">
        <v>2021</v>
      </c>
      <c r="K1042" t="str">
        <f>IF(Books[[#This Row],[AVERAGE RATING]]&gt;=4,"High",IF(Books[[#This Row],[AVERAGE RATING]]&gt;=3,"Medium","Low"))</f>
        <v>Low</v>
      </c>
      <c r="L1042" t="str">
        <f>IF(Books[[#This Row],[AVERAGE RATING]]&gt;10000,"Popular","Average")</f>
        <v>Average</v>
      </c>
      <c r="M1042">
        <f>Books[[#This Row],[AVERAGE RATING]]*Books[[#This Row],[RATINGS COUNT]]</f>
        <v>0</v>
      </c>
    </row>
    <row r="1043" spans="1:13" x14ac:dyDescent="0.25">
      <c r="A1043" t="s">
        <v>2295</v>
      </c>
      <c r="B1043" t="s">
        <v>2296</v>
      </c>
      <c r="C1043">
        <v>884</v>
      </c>
      <c r="D1043" t="s">
        <v>11</v>
      </c>
      <c r="E1043" t="s">
        <v>3818</v>
      </c>
      <c r="F1043" t="s">
        <v>2297</v>
      </c>
      <c r="G1043" t="s">
        <v>1618</v>
      </c>
      <c r="H1043">
        <v>5</v>
      </c>
      <c r="I1043">
        <v>1</v>
      </c>
      <c r="J1043">
        <v>2011</v>
      </c>
      <c r="K1043" t="str">
        <f>IF(Books[[#This Row],[AVERAGE RATING]]&gt;=4,"High",IF(Books[[#This Row],[AVERAGE RATING]]&gt;=3,"Medium","Low"))</f>
        <v>High</v>
      </c>
      <c r="L1043" t="str">
        <f>IF(Books[[#This Row],[AVERAGE RATING]]&gt;10000,"Popular","Average")</f>
        <v>Average</v>
      </c>
      <c r="M1043">
        <f>Books[[#This Row],[AVERAGE RATING]]*Books[[#This Row],[RATINGS COUNT]]</f>
        <v>5</v>
      </c>
    </row>
    <row r="1044" spans="1:13" x14ac:dyDescent="0.25">
      <c r="A1044" t="s">
        <v>2298</v>
      </c>
      <c r="B1044" t="s">
        <v>2296</v>
      </c>
      <c r="C1044">
        <v>407</v>
      </c>
      <c r="D1044" t="s">
        <v>11</v>
      </c>
      <c r="E1044" t="s">
        <v>3541</v>
      </c>
      <c r="F1044" t="s">
        <v>2297</v>
      </c>
      <c r="G1044" t="s">
        <v>1618</v>
      </c>
      <c r="H1044">
        <v>0</v>
      </c>
      <c r="I1044">
        <v>0</v>
      </c>
      <c r="J1044">
        <v>2015</v>
      </c>
      <c r="K1044" t="str">
        <f>IF(Books[[#This Row],[AVERAGE RATING]]&gt;=4,"High",IF(Books[[#This Row],[AVERAGE RATING]]&gt;=3,"Medium","Low"))</f>
        <v>Low</v>
      </c>
      <c r="L1044" t="str">
        <f>IF(Books[[#This Row],[AVERAGE RATING]]&gt;10000,"Popular","Average")</f>
        <v>Average</v>
      </c>
      <c r="M1044">
        <f>Books[[#This Row],[AVERAGE RATING]]*Books[[#This Row],[RATINGS COUNT]]</f>
        <v>0</v>
      </c>
    </row>
    <row r="1045" spans="1:13" x14ac:dyDescent="0.25">
      <c r="A1045" t="s">
        <v>2299</v>
      </c>
      <c r="B1045" t="s">
        <v>2296</v>
      </c>
      <c r="C1045">
        <v>1060</v>
      </c>
      <c r="D1045" t="s">
        <v>11</v>
      </c>
      <c r="E1045" t="s">
        <v>3578</v>
      </c>
      <c r="F1045" t="s">
        <v>2297</v>
      </c>
      <c r="G1045" t="s">
        <v>1618</v>
      </c>
      <c r="H1045">
        <v>5</v>
      </c>
      <c r="I1045">
        <v>1</v>
      </c>
      <c r="J1045">
        <v>2011</v>
      </c>
      <c r="K1045" t="str">
        <f>IF(Books[[#This Row],[AVERAGE RATING]]&gt;=4,"High",IF(Books[[#This Row],[AVERAGE RATING]]&gt;=3,"Medium","Low"))</f>
        <v>High</v>
      </c>
      <c r="L1045" t="str">
        <f>IF(Books[[#This Row],[AVERAGE RATING]]&gt;10000,"Popular","Average")</f>
        <v>Average</v>
      </c>
      <c r="M1045">
        <f>Books[[#This Row],[AVERAGE RATING]]*Books[[#This Row],[RATINGS COUNT]]</f>
        <v>5</v>
      </c>
    </row>
    <row r="1046" spans="1:13" x14ac:dyDescent="0.25">
      <c r="A1046" t="s">
        <v>2300</v>
      </c>
      <c r="B1046" t="s">
        <v>2296</v>
      </c>
      <c r="C1046">
        <v>488</v>
      </c>
      <c r="D1046" t="s">
        <v>11</v>
      </c>
      <c r="E1046" t="s">
        <v>3819</v>
      </c>
      <c r="F1046" t="s">
        <v>2301</v>
      </c>
      <c r="G1046" t="s">
        <v>2188</v>
      </c>
      <c r="H1046">
        <v>0</v>
      </c>
      <c r="I1046">
        <v>0</v>
      </c>
      <c r="J1046">
        <v>2022</v>
      </c>
      <c r="K1046" t="str">
        <f>IF(Books[[#This Row],[AVERAGE RATING]]&gt;=4,"High",IF(Books[[#This Row],[AVERAGE RATING]]&gt;=3,"Medium","Low"))</f>
        <v>Low</v>
      </c>
      <c r="L1046" t="str">
        <f>IF(Books[[#This Row],[AVERAGE RATING]]&gt;10000,"Popular","Average")</f>
        <v>Average</v>
      </c>
      <c r="M1046">
        <f>Books[[#This Row],[AVERAGE RATING]]*Books[[#This Row],[RATINGS COUNT]]</f>
        <v>0</v>
      </c>
    </row>
    <row r="1047" spans="1:13" x14ac:dyDescent="0.25">
      <c r="A1047" t="s">
        <v>2302</v>
      </c>
      <c r="B1047" t="s">
        <v>2296</v>
      </c>
      <c r="C1047">
        <v>294</v>
      </c>
      <c r="D1047" t="s">
        <v>11</v>
      </c>
      <c r="E1047" t="s">
        <v>3064</v>
      </c>
      <c r="F1047" t="s">
        <v>1313</v>
      </c>
      <c r="G1047" t="s">
        <v>1314</v>
      </c>
      <c r="H1047">
        <v>0</v>
      </c>
      <c r="I1047">
        <v>0</v>
      </c>
      <c r="J1047">
        <v>2014</v>
      </c>
      <c r="K1047" t="str">
        <f>IF(Books[[#This Row],[AVERAGE RATING]]&gt;=4,"High",IF(Books[[#This Row],[AVERAGE RATING]]&gt;=3,"Medium","Low"))</f>
        <v>Low</v>
      </c>
      <c r="L1047" t="str">
        <f>IF(Books[[#This Row],[AVERAGE RATING]]&gt;10000,"Popular","Average")</f>
        <v>Average</v>
      </c>
      <c r="M1047">
        <f>Books[[#This Row],[AVERAGE RATING]]*Books[[#This Row],[RATINGS COUNT]]</f>
        <v>0</v>
      </c>
    </row>
    <row r="1048" spans="1:13" x14ac:dyDescent="0.25">
      <c r="A1048" t="s">
        <v>2303</v>
      </c>
      <c r="B1048" t="s">
        <v>2304</v>
      </c>
      <c r="C1048">
        <v>449</v>
      </c>
      <c r="D1048" t="s">
        <v>11</v>
      </c>
      <c r="E1048" t="s">
        <v>3820</v>
      </c>
      <c r="F1048" t="s">
        <v>1313</v>
      </c>
      <c r="G1048" t="s">
        <v>1314</v>
      </c>
      <c r="H1048">
        <v>0</v>
      </c>
      <c r="I1048">
        <v>0</v>
      </c>
      <c r="J1048">
        <v>2022</v>
      </c>
      <c r="K1048" t="str">
        <f>IF(Books[[#This Row],[AVERAGE RATING]]&gt;=4,"High",IF(Books[[#This Row],[AVERAGE RATING]]&gt;=3,"Medium","Low"))</f>
        <v>Low</v>
      </c>
      <c r="L1048" t="str">
        <f>IF(Books[[#This Row],[AVERAGE RATING]]&gt;10000,"Popular","Average")</f>
        <v>Average</v>
      </c>
      <c r="M1048">
        <f>Books[[#This Row],[AVERAGE RATING]]*Books[[#This Row],[RATINGS COUNT]]</f>
        <v>0</v>
      </c>
    </row>
    <row r="1049" spans="1:13" x14ac:dyDescent="0.25">
      <c r="A1049" t="s">
        <v>2305</v>
      </c>
      <c r="B1049" t="s">
        <v>2296</v>
      </c>
      <c r="C1049">
        <v>957</v>
      </c>
      <c r="D1049" t="s">
        <v>11</v>
      </c>
      <c r="E1049" t="s">
        <v>3821</v>
      </c>
      <c r="F1049" t="s">
        <v>1313</v>
      </c>
      <c r="G1049" t="s">
        <v>1314</v>
      </c>
      <c r="H1049">
        <v>5</v>
      </c>
      <c r="I1049">
        <v>3</v>
      </c>
      <c r="J1049">
        <v>2013</v>
      </c>
      <c r="K1049" t="str">
        <f>IF(Books[[#This Row],[AVERAGE RATING]]&gt;=4,"High",IF(Books[[#This Row],[AVERAGE RATING]]&gt;=3,"Medium","Low"))</f>
        <v>High</v>
      </c>
      <c r="L1049" t="str">
        <f>IF(Books[[#This Row],[AVERAGE RATING]]&gt;10000,"Popular","Average")</f>
        <v>Average</v>
      </c>
      <c r="M1049">
        <f>Books[[#This Row],[AVERAGE RATING]]*Books[[#This Row],[RATINGS COUNT]]</f>
        <v>15</v>
      </c>
    </row>
    <row r="1050" spans="1:13" x14ac:dyDescent="0.25">
      <c r="A1050" t="s">
        <v>2306</v>
      </c>
      <c r="B1050" t="s">
        <v>1950</v>
      </c>
      <c r="C1050">
        <v>193</v>
      </c>
      <c r="D1050" t="s">
        <v>298</v>
      </c>
      <c r="E1050" t="s">
        <v>3822</v>
      </c>
      <c r="F1050" t="s">
        <v>2307</v>
      </c>
      <c r="G1050" t="s">
        <v>4</v>
      </c>
      <c r="H1050">
        <v>0</v>
      </c>
      <c r="I1050">
        <v>0</v>
      </c>
      <c r="J1050">
        <v>2023</v>
      </c>
      <c r="K1050" t="str">
        <f>IF(Books[[#This Row],[AVERAGE RATING]]&gt;=4,"High",IF(Books[[#This Row],[AVERAGE RATING]]&gt;=3,"Medium","Low"))</f>
        <v>Low</v>
      </c>
      <c r="L1050" t="str">
        <f>IF(Books[[#This Row],[AVERAGE RATING]]&gt;10000,"Popular","Average")</f>
        <v>Average</v>
      </c>
      <c r="M1050">
        <f>Books[[#This Row],[AVERAGE RATING]]*Books[[#This Row],[RATINGS COUNT]]</f>
        <v>0</v>
      </c>
    </row>
    <row r="1051" spans="1:13" x14ac:dyDescent="0.25">
      <c r="A1051" t="s">
        <v>2308</v>
      </c>
      <c r="B1051" t="s">
        <v>2309</v>
      </c>
      <c r="C1051">
        <v>417</v>
      </c>
      <c r="D1051" t="s">
        <v>11</v>
      </c>
      <c r="E1051" t="s">
        <v>3525</v>
      </c>
      <c r="F1051" t="s">
        <v>2310</v>
      </c>
      <c r="G1051" t="s">
        <v>4</v>
      </c>
      <c r="H1051">
        <v>0</v>
      </c>
      <c r="I1051">
        <v>0</v>
      </c>
      <c r="J1051">
        <v>2024</v>
      </c>
      <c r="K1051" t="str">
        <f>IF(Books[[#This Row],[AVERAGE RATING]]&gt;=4,"High",IF(Books[[#This Row],[AVERAGE RATING]]&gt;=3,"Medium","Low"))</f>
        <v>Low</v>
      </c>
      <c r="L1051" t="str">
        <f>IF(Books[[#This Row],[AVERAGE RATING]]&gt;10000,"Popular","Average")</f>
        <v>Average</v>
      </c>
      <c r="M1051">
        <f>Books[[#This Row],[AVERAGE RATING]]*Books[[#This Row],[RATINGS COUNT]]</f>
        <v>0</v>
      </c>
    </row>
    <row r="1052" spans="1:13" x14ac:dyDescent="0.25">
      <c r="A1052" t="s">
        <v>2311</v>
      </c>
      <c r="B1052" t="s">
        <v>2312</v>
      </c>
      <c r="C1052">
        <v>342</v>
      </c>
      <c r="D1052" t="s">
        <v>11</v>
      </c>
      <c r="E1052" t="s">
        <v>3823</v>
      </c>
      <c r="F1052" t="s">
        <v>2313</v>
      </c>
      <c r="G1052" t="s">
        <v>4</v>
      </c>
      <c r="H1052">
        <v>0</v>
      </c>
      <c r="I1052">
        <v>0</v>
      </c>
      <c r="J1052">
        <v>2025</v>
      </c>
      <c r="K1052" t="str">
        <f>IF(Books[[#This Row],[AVERAGE RATING]]&gt;=4,"High",IF(Books[[#This Row],[AVERAGE RATING]]&gt;=3,"Medium","Low"))</f>
        <v>Low</v>
      </c>
      <c r="L1052" t="str">
        <f>IF(Books[[#This Row],[AVERAGE RATING]]&gt;10000,"Popular","Average")</f>
        <v>Average</v>
      </c>
      <c r="M1052">
        <f>Books[[#This Row],[AVERAGE RATING]]*Books[[#This Row],[RATINGS COUNT]]</f>
        <v>0</v>
      </c>
    </row>
    <row r="1053" spans="1:13" x14ac:dyDescent="0.25">
      <c r="A1053" t="s">
        <v>2314</v>
      </c>
      <c r="B1053" t="s">
        <v>2315</v>
      </c>
      <c r="C1053">
        <v>178</v>
      </c>
      <c r="D1053" t="s">
        <v>1632</v>
      </c>
      <c r="E1053" t="s">
        <v>3513</v>
      </c>
      <c r="F1053" t="s">
        <v>1203</v>
      </c>
      <c r="G1053" t="s">
        <v>4</v>
      </c>
      <c r="H1053">
        <v>3.5</v>
      </c>
      <c r="I1053">
        <v>51</v>
      </c>
      <c r="J1053">
        <v>2012</v>
      </c>
      <c r="K1053" t="str">
        <f>IF(Books[[#This Row],[AVERAGE RATING]]&gt;=4,"High",IF(Books[[#This Row],[AVERAGE RATING]]&gt;=3,"Medium","Low"))</f>
        <v>Medium</v>
      </c>
      <c r="L1053" t="str">
        <f>IF(Books[[#This Row],[AVERAGE RATING]]&gt;10000,"Popular","Average")</f>
        <v>Average</v>
      </c>
      <c r="M1053">
        <f>Books[[#This Row],[AVERAGE RATING]]*Books[[#This Row],[RATINGS COUNT]]</f>
        <v>178.5</v>
      </c>
    </row>
    <row r="1054" spans="1:13" x14ac:dyDescent="0.25">
      <c r="A1054" t="s">
        <v>2316</v>
      </c>
      <c r="B1054" t="s">
        <v>1451</v>
      </c>
      <c r="C1054">
        <v>545</v>
      </c>
      <c r="D1054" t="s">
        <v>11</v>
      </c>
      <c r="E1054" t="s">
        <v>3824</v>
      </c>
      <c r="F1054" t="s">
        <v>2310</v>
      </c>
      <c r="G1054" t="s">
        <v>4</v>
      </c>
      <c r="H1054">
        <v>0</v>
      </c>
      <c r="I1054">
        <v>0</v>
      </c>
      <c r="J1054">
        <v>2025</v>
      </c>
      <c r="K1054" t="str">
        <f>IF(Books[[#This Row],[AVERAGE RATING]]&gt;=4,"High",IF(Books[[#This Row],[AVERAGE RATING]]&gt;=3,"Medium","Low"))</f>
        <v>Low</v>
      </c>
      <c r="L1054" t="str">
        <f>IF(Books[[#This Row],[AVERAGE RATING]]&gt;10000,"Popular","Average")</f>
        <v>Average</v>
      </c>
      <c r="M1054">
        <f>Books[[#This Row],[AVERAGE RATING]]*Books[[#This Row],[RATINGS COUNT]]</f>
        <v>0</v>
      </c>
    </row>
    <row r="1055" spans="1:13" x14ac:dyDescent="0.25">
      <c r="A1055" t="s">
        <v>2317</v>
      </c>
      <c r="B1055" t="s">
        <v>1451</v>
      </c>
      <c r="C1055">
        <v>513</v>
      </c>
      <c r="D1055" t="s">
        <v>11</v>
      </c>
      <c r="E1055" t="s">
        <v>3420</v>
      </c>
      <c r="F1055" t="s">
        <v>2310</v>
      </c>
      <c r="G1055" t="s">
        <v>4</v>
      </c>
      <c r="H1055">
        <v>0</v>
      </c>
      <c r="I1055">
        <v>0</v>
      </c>
      <c r="J1055">
        <v>2025</v>
      </c>
      <c r="K1055" t="str">
        <f>IF(Books[[#This Row],[AVERAGE RATING]]&gt;=4,"High",IF(Books[[#This Row],[AVERAGE RATING]]&gt;=3,"Medium","Low"))</f>
        <v>Low</v>
      </c>
      <c r="L1055" t="str">
        <f>IF(Books[[#This Row],[AVERAGE RATING]]&gt;10000,"Popular","Average")</f>
        <v>Average</v>
      </c>
      <c r="M1055">
        <f>Books[[#This Row],[AVERAGE RATING]]*Books[[#This Row],[RATINGS COUNT]]</f>
        <v>0</v>
      </c>
    </row>
    <row r="1056" spans="1:13" x14ac:dyDescent="0.25">
      <c r="A1056" t="s">
        <v>2318</v>
      </c>
      <c r="B1056" t="s">
        <v>1451</v>
      </c>
      <c r="C1056">
        <v>529</v>
      </c>
      <c r="D1056" t="s">
        <v>11</v>
      </c>
      <c r="E1056" t="s">
        <v>3420</v>
      </c>
      <c r="F1056" t="s">
        <v>2310</v>
      </c>
      <c r="G1056" t="s">
        <v>4</v>
      </c>
      <c r="H1056">
        <v>0</v>
      </c>
      <c r="I1056">
        <v>0</v>
      </c>
      <c r="J1056">
        <v>2025</v>
      </c>
      <c r="K1056" t="str">
        <f>IF(Books[[#This Row],[AVERAGE RATING]]&gt;=4,"High",IF(Books[[#This Row],[AVERAGE RATING]]&gt;=3,"Medium","Low"))</f>
        <v>Low</v>
      </c>
      <c r="L1056" t="str">
        <f>IF(Books[[#This Row],[AVERAGE RATING]]&gt;10000,"Popular","Average")</f>
        <v>Average</v>
      </c>
      <c r="M1056">
        <f>Books[[#This Row],[AVERAGE RATING]]*Books[[#This Row],[RATINGS COUNT]]</f>
        <v>0</v>
      </c>
    </row>
    <row r="1057" spans="1:13" x14ac:dyDescent="0.25">
      <c r="A1057" t="s">
        <v>2319</v>
      </c>
      <c r="B1057" t="s">
        <v>2320</v>
      </c>
      <c r="C1057">
        <v>417</v>
      </c>
      <c r="D1057" t="s">
        <v>11</v>
      </c>
      <c r="E1057" t="s">
        <v>3250</v>
      </c>
      <c r="F1057" t="s">
        <v>2310</v>
      </c>
      <c r="G1057" t="s">
        <v>4</v>
      </c>
      <c r="H1057">
        <v>0</v>
      </c>
      <c r="I1057">
        <v>0</v>
      </c>
      <c r="J1057">
        <v>2024</v>
      </c>
      <c r="K1057" t="str">
        <f>IF(Books[[#This Row],[AVERAGE RATING]]&gt;=4,"High",IF(Books[[#This Row],[AVERAGE RATING]]&gt;=3,"Medium","Low"))</f>
        <v>Low</v>
      </c>
      <c r="L1057" t="str">
        <f>IF(Books[[#This Row],[AVERAGE RATING]]&gt;10000,"Popular","Average")</f>
        <v>Average</v>
      </c>
      <c r="M1057">
        <f>Books[[#This Row],[AVERAGE RATING]]*Books[[#This Row],[RATINGS COUNT]]</f>
        <v>0</v>
      </c>
    </row>
    <row r="1058" spans="1:13" x14ac:dyDescent="0.25">
      <c r="A1058" t="s">
        <v>2321</v>
      </c>
      <c r="B1058" t="s">
        <v>2322</v>
      </c>
      <c r="C1058">
        <v>285</v>
      </c>
      <c r="D1058" t="s">
        <v>2</v>
      </c>
      <c r="E1058" t="s">
        <v>3825</v>
      </c>
      <c r="F1058" t="s">
        <v>76</v>
      </c>
      <c r="G1058" t="s">
        <v>4</v>
      </c>
      <c r="H1058">
        <v>0</v>
      </c>
      <c r="I1058">
        <v>0</v>
      </c>
      <c r="J1058">
        <v>2023</v>
      </c>
      <c r="K1058" t="str">
        <f>IF(Books[[#This Row],[AVERAGE RATING]]&gt;=4,"High",IF(Books[[#This Row],[AVERAGE RATING]]&gt;=3,"Medium","Low"))</f>
        <v>Low</v>
      </c>
      <c r="L1058" t="str">
        <f>IF(Books[[#This Row],[AVERAGE RATING]]&gt;10000,"Popular","Average")</f>
        <v>Average</v>
      </c>
      <c r="M1058">
        <f>Books[[#This Row],[AVERAGE RATING]]*Books[[#This Row],[RATINGS COUNT]]</f>
        <v>0</v>
      </c>
    </row>
    <row r="1059" spans="1:13" x14ac:dyDescent="0.25">
      <c r="A1059" t="s">
        <v>2323</v>
      </c>
      <c r="B1059" t="s">
        <v>1362</v>
      </c>
      <c r="C1059">
        <v>233</v>
      </c>
      <c r="D1059" t="s">
        <v>2</v>
      </c>
      <c r="E1059" t="s">
        <v>3826</v>
      </c>
      <c r="F1059" t="s">
        <v>76</v>
      </c>
      <c r="G1059" t="s">
        <v>4</v>
      </c>
      <c r="H1059">
        <v>0</v>
      </c>
      <c r="I1059">
        <v>0</v>
      </c>
      <c r="J1059">
        <v>2015</v>
      </c>
      <c r="K1059" t="str">
        <f>IF(Books[[#This Row],[AVERAGE RATING]]&gt;=4,"High",IF(Books[[#This Row],[AVERAGE RATING]]&gt;=3,"Medium","Low"))</f>
        <v>Low</v>
      </c>
      <c r="L1059" t="str">
        <f>IF(Books[[#This Row],[AVERAGE RATING]]&gt;10000,"Popular","Average")</f>
        <v>Average</v>
      </c>
      <c r="M1059">
        <f>Books[[#This Row],[AVERAGE RATING]]*Books[[#This Row],[RATINGS COUNT]]</f>
        <v>0</v>
      </c>
    </row>
    <row r="1060" spans="1:13" x14ac:dyDescent="0.25">
      <c r="A1060" t="s">
        <v>2324</v>
      </c>
      <c r="B1060" t="s">
        <v>2325</v>
      </c>
      <c r="C1060">
        <v>426</v>
      </c>
      <c r="D1060" t="s">
        <v>32</v>
      </c>
      <c r="E1060" t="s">
        <v>3155</v>
      </c>
      <c r="F1060" t="s">
        <v>276</v>
      </c>
      <c r="G1060" t="s">
        <v>4</v>
      </c>
      <c r="H1060">
        <v>0</v>
      </c>
      <c r="I1060">
        <v>0</v>
      </c>
      <c r="J1060">
        <v>2006</v>
      </c>
      <c r="K1060" t="str">
        <f>IF(Books[[#This Row],[AVERAGE RATING]]&gt;=4,"High",IF(Books[[#This Row],[AVERAGE RATING]]&gt;=3,"Medium","Low"))</f>
        <v>Low</v>
      </c>
      <c r="L1060" t="str">
        <f>IF(Books[[#This Row],[AVERAGE RATING]]&gt;10000,"Popular","Average")</f>
        <v>Average</v>
      </c>
      <c r="M1060">
        <f>Books[[#This Row],[AVERAGE RATING]]*Books[[#This Row],[RATINGS COUNT]]</f>
        <v>0</v>
      </c>
    </row>
    <row r="1061" spans="1:13" x14ac:dyDescent="0.25">
      <c r="A1061" t="s">
        <v>2326</v>
      </c>
      <c r="B1061" t="s">
        <v>2327</v>
      </c>
      <c r="C1061">
        <v>311</v>
      </c>
      <c r="D1061" t="s">
        <v>356</v>
      </c>
      <c r="E1061" t="s">
        <v>3124</v>
      </c>
      <c r="F1061" t="s">
        <v>334</v>
      </c>
      <c r="G1061" t="s">
        <v>4</v>
      </c>
      <c r="H1061">
        <v>0</v>
      </c>
      <c r="I1061">
        <v>0</v>
      </c>
      <c r="J1061">
        <v>2011</v>
      </c>
      <c r="K1061" t="str">
        <f>IF(Books[[#This Row],[AVERAGE RATING]]&gt;=4,"High",IF(Books[[#This Row],[AVERAGE RATING]]&gt;=3,"Medium","Low"))</f>
        <v>Low</v>
      </c>
      <c r="L1061" t="str">
        <f>IF(Books[[#This Row],[AVERAGE RATING]]&gt;10000,"Popular","Average")</f>
        <v>Average</v>
      </c>
      <c r="M1061">
        <f>Books[[#This Row],[AVERAGE RATING]]*Books[[#This Row],[RATINGS COUNT]]</f>
        <v>0</v>
      </c>
    </row>
    <row r="1062" spans="1:13" x14ac:dyDescent="0.25">
      <c r="A1062" t="s">
        <v>2328</v>
      </c>
      <c r="B1062" t="s">
        <v>2329</v>
      </c>
      <c r="C1062">
        <v>430</v>
      </c>
      <c r="D1062" t="s">
        <v>383</v>
      </c>
      <c r="E1062" t="s">
        <v>3827</v>
      </c>
      <c r="F1062" t="s">
        <v>235</v>
      </c>
      <c r="G1062" t="s">
        <v>4</v>
      </c>
      <c r="H1062">
        <v>0</v>
      </c>
      <c r="I1062">
        <v>0</v>
      </c>
      <c r="J1062">
        <v>2007</v>
      </c>
      <c r="K1062" t="str">
        <f>IF(Books[[#This Row],[AVERAGE RATING]]&gt;=4,"High",IF(Books[[#This Row],[AVERAGE RATING]]&gt;=3,"Medium","Low"))</f>
        <v>Low</v>
      </c>
      <c r="L1062" t="str">
        <f>IF(Books[[#This Row],[AVERAGE RATING]]&gt;10000,"Popular","Average")</f>
        <v>Average</v>
      </c>
      <c r="M1062">
        <f>Books[[#This Row],[AVERAGE RATING]]*Books[[#This Row],[RATINGS COUNT]]</f>
        <v>0</v>
      </c>
    </row>
    <row r="1063" spans="1:13" x14ac:dyDescent="0.25">
      <c r="A1063" t="s">
        <v>2330</v>
      </c>
      <c r="B1063" t="s">
        <v>2331</v>
      </c>
      <c r="C1063">
        <v>180</v>
      </c>
      <c r="D1063" t="s">
        <v>2332</v>
      </c>
      <c r="E1063" t="s">
        <v>3067</v>
      </c>
      <c r="F1063" t="s">
        <v>1383</v>
      </c>
      <c r="G1063" t="s">
        <v>4</v>
      </c>
      <c r="H1063">
        <v>4</v>
      </c>
      <c r="I1063">
        <v>1</v>
      </c>
      <c r="J1063">
        <v>2003</v>
      </c>
      <c r="K1063" t="str">
        <f>IF(Books[[#This Row],[AVERAGE RATING]]&gt;=4,"High",IF(Books[[#This Row],[AVERAGE RATING]]&gt;=3,"Medium","Low"))</f>
        <v>High</v>
      </c>
      <c r="L1063" t="str">
        <f>IF(Books[[#This Row],[AVERAGE RATING]]&gt;10000,"Popular","Average")</f>
        <v>Average</v>
      </c>
      <c r="M1063">
        <f>Books[[#This Row],[AVERAGE RATING]]*Books[[#This Row],[RATINGS COUNT]]</f>
        <v>4</v>
      </c>
    </row>
    <row r="1064" spans="1:13" x14ac:dyDescent="0.25">
      <c r="A1064" t="s">
        <v>2333</v>
      </c>
      <c r="B1064" t="s">
        <v>2334</v>
      </c>
      <c r="C1064">
        <v>214</v>
      </c>
      <c r="D1064" t="s">
        <v>207</v>
      </c>
      <c r="E1064" t="s">
        <v>3067</v>
      </c>
      <c r="F1064" t="s">
        <v>1418</v>
      </c>
      <c r="G1064" t="s">
        <v>4</v>
      </c>
      <c r="H1064">
        <v>0</v>
      </c>
      <c r="I1064">
        <v>0</v>
      </c>
      <c r="J1064">
        <v>2003</v>
      </c>
      <c r="K1064" t="str">
        <f>IF(Books[[#This Row],[AVERAGE RATING]]&gt;=4,"High",IF(Books[[#This Row],[AVERAGE RATING]]&gt;=3,"Medium","Low"))</f>
        <v>Low</v>
      </c>
      <c r="L1064" t="str">
        <f>IF(Books[[#This Row],[AVERAGE RATING]]&gt;10000,"Popular","Average")</f>
        <v>Average</v>
      </c>
      <c r="M1064">
        <f>Books[[#This Row],[AVERAGE RATING]]*Books[[#This Row],[RATINGS COUNT]]</f>
        <v>0</v>
      </c>
    </row>
    <row r="1065" spans="1:13" x14ac:dyDescent="0.25">
      <c r="A1065" t="s">
        <v>2335</v>
      </c>
      <c r="B1065" t="s">
        <v>2336</v>
      </c>
      <c r="C1065">
        <v>142</v>
      </c>
      <c r="D1065" t="s">
        <v>2</v>
      </c>
      <c r="E1065" t="s">
        <v>3828</v>
      </c>
      <c r="F1065" t="s">
        <v>2337</v>
      </c>
      <c r="G1065" t="s">
        <v>4</v>
      </c>
      <c r="H1065">
        <v>0</v>
      </c>
      <c r="I1065">
        <v>0</v>
      </c>
      <c r="J1065">
        <v>2015</v>
      </c>
      <c r="K1065" t="str">
        <f>IF(Books[[#This Row],[AVERAGE RATING]]&gt;=4,"High",IF(Books[[#This Row],[AVERAGE RATING]]&gt;=3,"Medium","Low"))</f>
        <v>Low</v>
      </c>
      <c r="L1065" t="str">
        <f>IF(Books[[#This Row],[AVERAGE RATING]]&gt;10000,"Popular","Average")</f>
        <v>Average</v>
      </c>
      <c r="M1065">
        <f>Books[[#This Row],[AVERAGE RATING]]*Books[[#This Row],[RATINGS COUNT]]</f>
        <v>0</v>
      </c>
    </row>
    <row r="1066" spans="1:13" x14ac:dyDescent="0.25">
      <c r="A1066" t="s">
        <v>2338</v>
      </c>
      <c r="B1066" t="s">
        <v>2339</v>
      </c>
      <c r="C1066">
        <v>240</v>
      </c>
      <c r="D1066" t="s">
        <v>356</v>
      </c>
      <c r="E1066" t="s">
        <v>3829</v>
      </c>
      <c r="F1066" t="s">
        <v>1203</v>
      </c>
      <c r="G1066" t="s">
        <v>4</v>
      </c>
      <c r="H1066">
        <v>0</v>
      </c>
      <c r="I1066">
        <v>0</v>
      </c>
      <c r="J1066">
        <v>2024</v>
      </c>
      <c r="K1066" t="str">
        <f>IF(Books[[#This Row],[AVERAGE RATING]]&gt;=4,"High",IF(Books[[#This Row],[AVERAGE RATING]]&gt;=3,"Medium","Low"))</f>
        <v>Low</v>
      </c>
      <c r="L1066" t="str">
        <f>IF(Books[[#This Row],[AVERAGE RATING]]&gt;10000,"Popular","Average")</f>
        <v>Average</v>
      </c>
      <c r="M1066">
        <f>Books[[#This Row],[AVERAGE RATING]]*Books[[#This Row],[RATINGS COUNT]]</f>
        <v>0</v>
      </c>
    </row>
    <row r="1067" spans="1:13" x14ac:dyDescent="0.25">
      <c r="A1067" t="s">
        <v>2340</v>
      </c>
      <c r="B1067" t="s">
        <v>2341</v>
      </c>
      <c r="C1067">
        <v>386</v>
      </c>
      <c r="D1067" t="s">
        <v>2</v>
      </c>
      <c r="E1067" t="s">
        <v>3830</v>
      </c>
      <c r="F1067" t="s">
        <v>2014</v>
      </c>
      <c r="G1067" t="s">
        <v>4</v>
      </c>
      <c r="H1067">
        <v>0</v>
      </c>
      <c r="I1067">
        <v>0</v>
      </c>
      <c r="J1067">
        <v>2004</v>
      </c>
      <c r="K1067" t="str">
        <f>IF(Books[[#This Row],[AVERAGE RATING]]&gt;=4,"High",IF(Books[[#This Row],[AVERAGE RATING]]&gt;=3,"Medium","Low"))</f>
        <v>Low</v>
      </c>
      <c r="L1067" t="str">
        <f>IF(Books[[#This Row],[AVERAGE RATING]]&gt;10000,"Popular","Average")</f>
        <v>Average</v>
      </c>
      <c r="M1067">
        <f>Books[[#This Row],[AVERAGE RATING]]*Books[[#This Row],[RATINGS COUNT]]</f>
        <v>0</v>
      </c>
    </row>
    <row r="1068" spans="1:13" x14ac:dyDescent="0.25">
      <c r="A1068" t="s">
        <v>2342</v>
      </c>
      <c r="B1068" t="s">
        <v>2343</v>
      </c>
      <c r="C1068">
        <v>112</v>
      </c>
      <c r="D1068" t="s">
        <v>2</v>
      </c>
      <c r="E1068" t="s">
        <v>3116</v>
      </c>
      <c r="F1068" t="s">
        <v>2344</v>
      </c>
      <c r="G1068" t="s">
        <v>4</v>
      </c>
      <c r="H1068">
        <v>0</v>
      </c>
      <c r="I1068">
        <v>0</v>
      </c>
      <c r="J1068">
        <v>2002</v>
      </c>
      <c r="K1068" t="str">
        <f>IF(Books[[#This Row],[AVERAGE RATING]]&gt;=4,"High",IF(Books[[#This Row],[AVERAGE RATING]]&gt;=3,"Medium","Low"))</f>
        <v>Low</v>
      </c>
      <c r="L1068" t="str">
        <f>IF(Books[[#This Row],[AVERAGE RATING]]&gt;10000,"Popular","Average")</f>
        <v>Average</v>
      </c>
      <c r="M1068">
        <f>Books[[#This Row],[AVERAGE RATING]]*Books[[#This Row],[RATINGS COUNT]]</f>
        <v>0</v>
      </c>
    </row>
    <row r="1069" spans="1:13" x14ac:dyDescent="0.25">
      <c r="A1069" t="s">
        <v>2345</v>
      </c>
      <c r="B1069" t="s">
        <v>2346</v>
      </c>
      <c r="C1069">
        <v>208</v>
      </c>
      <c r="D1069" t="s">
        <v>1342</v>
      </c>
      <c r="E1069" t="s">
        <v>3831</v>
      </c>
      <c r="F1069" t="s">
        <v>1203</v>
      </c>
      <c r="G1069" t="s">
        <v>4</v>
      </c>
      <c r="H1069">
        <v>0</v>
      </c>
      <c r="I1069">
        <v>0</v>
      </c>
      <c r="J1069">
        <v>2023</v>
      </c>
      <c r="K1069" t="str">
        <f>IF(Books[[#This Row],[AVERAGE RATING]]&gt;=4,"High",IF(Books[[#This Row],[AVERAGE RATING]]&gt;=3,"Medium","Low"))</f>
        <v>Low</v>
      </c>
      <c r="L1069" t="str">
        <f>IF(Books[[#This Row],[AVERAGE RATING]]&gt;10000,"Popular","Average")</f>
        <v>Average</v>
      </c>
      <c r="M1069">
        <f>Books[[#This Row],[AVERAGE RATING]]*Books[[#This Row],[RATINGS COUNT]]</f>
        <v>0</v>
      </c>
    </row>
    <row r="1070" spans="1:13" x14ac:dyDescent="0.25">
      <c r="A1070" t="s">
        <v>2347</v>
      </c>
      <c r="B1070" t="s">
        <v>2315</v>
      </c>
      <c r="C1070">
        <v>192</v>
      </c>
      <c r="D1070" t="s">
        <v>1632</v>
      </c>
      <c r="E1070" t="s">
        <v>3832</v>
      </c>
      <c r="F1070" t="s">
        <v>1203</v>
      </c>
      <c r="G1070" t="s">
        <v>4</v>
      </c>
      <c r="H1070">
        <v>5</v>
      </c>
      <c r="I1070">
        <v>2</v>
      </c>
      <c r="J1070">
        <v>2012</v>
      </c>
      <c r="K1070" t="str">
        <f>IF(Books[[#This Row],[AVERAGE RATING]]&gt;=4,"High",IF(Books[[#This Row],[AVERAGE RATING]]&gt;=3,"Medium","Low"))</f>
        <v>High</v>
      </c>
      <c r="L1070" t="str">
        <f>IF(Books[[#This Row],[AVERAGE RATING]]&gt;10000,"Popular","Average")</f>
        <v>Average</v>
      </c>
      <c r="M1070">
        <f>Books[[#This Row],[AVERAGE RATING]]*Books[[#This Row],[RATINGS COUNT]]</f>
        <v>10</v>
      </c>
    </row>
    <row r="1071" spans="1:13" x14ac:dyDescent="0.25">
      <c r="A1071" t="s">
        <v>2348</v>
      </c>
      <c r="B1071" t="s">
        <v>2349</v>
      </c>
      <c r="C1071">
        <v>189</v>
      </c>
      <c r="D1071" t="s">
        <v>79</v>
      </c>
      <c r="E1071" t="s">
        <v>3833</v>
      </c>
      <c r="F1071" t="s">
        <v>80</v>
      </c>
      <c r="G1071" t="s">
        <v>4</v>
      </c>
      <c r="H1071">
        <v>0</v>
      </c>
      <c r="I1071">
        <v>0</v>
      </c>
      <c r="J1071">
        <v>2017</v>
      </c>
      <c r="K1071" t="str">
        <f>IF(Books[[#This Row],[AVERAGE RATING]]&gt;=4,"High",IF(Books[[#This Row],[AVERAGE RATING]]&gt;=3,"Medium","Low"))</f>
        <v>Low</v>
      </c>
      <c r="L1071" t="str">
        <f>IF(Books[[#This Row],[AVERAGE RATING]]&gt;10000,"Popular","Average")</f>
        <v>Average</v>
      </c>
      <c r="M1071">
        <f>Books[[#This Row],[AVERAGE RATING]]*Books[[#This Row],[RATINGS COUNT]]</f>
        <v>0</v>
      </c>
    </row>
    <row r="1072" spans="1:13" x14ac:dyDescent="0.25">
      <c r="A1072" t="s">
        <v>2350</v>
      </c>
      <c r="B1072" t="s">
        <v>1428</v>
      </c>
      <c r="C1072">
        <v>426</v>
      </c>
      <c r="D1072" t="s">
        <v>2</v>
      </c>
      <c r="E1072" t="s">
        <v>3099</v>
      </c>
      <c r="F1072" t="s">
        <v>42</v>
      </c>
      <c r="G1072" t="s">
        <v>4</v>
      </c>
      <c r="H1072">
        <v>4</v>
      </c>
      <c r="I1072">
        <v>1</v>
      </c>
      <c r="J1072">
        <v>2005</v>
      </c>
      <c r="K1072" t="str">
        <f>IF(Books[[#This Row],[AVERAGE RATING]]&gt;=4,"High",IF(Books[[#This Row],[AVERAGE RATING]]&gt;=3,"Medium","Low"))</f>
        <v>High</v>
      </c>
      <c r="L1072" t="str">
        <f>IF(Books[[#This Row],[AVERAGE RATING]]&gt;10000,"Popular","Average")</f>
        <v>Average</v>
      </c>
      <c r="M1072">
        <f>Books[[#This Row],[AVERAGE RATING]]*Books[[#This Row],[RATINGS COUNT]]</f>
        <v>4</v>
      </c>
    </row>
    <row r="1073" spans="1:13" x14ac:dyDescent="0.25">
      <c r="A1073" t="s">
        <v>2351</v>
      </c>
      <c r="B1073" t="s">
        <v>2107</v>
      </c>
      <c r="C1073">
        <v>272</v>
      </c>
      <c r="D1073" t="s">
        <v>45</v>
      </c>
      <c r="E1073" t="s">
        <v>3834</v>
      </c>
      <c r="F1073" t="s">
        <v>1664</v>
      </c>
      <c r="G1073" t="s">
        <v>4</v>
      </c>
      <c r="H1073">
        <v>0</v>
      </c>
      <c r="I1073">
        <v>0</v>
      </c>
      <c r="J1073">
        <v>2012</v>
      </c>
      <c r="K1073" t="str">
        <f>IF(Books[[#This Row],[AVERAGE RATING]]&gt;=4,"High",IF(Books[[#This Row],[AVERAGE RATING]]&gt;=3,"Medium","Low"))</f>
        <v>Low</v>
      </c>
      <c r="L1073" t="str">
        <f>IF(Books[[#This Row],[AVERAGE RATING]]&gt;10000,"Popular","Average")</f>
        <v>Average</v>
      </c>
      <c r="M1073">
        <f>Books[[#This Row],[AVERAGE RATING]]*Books[[#This Row],[RATINGS COUNT]]</f>
        <v>0</v>
      </c>
    </row>
    <row r="1074" spans="1:13" x14ac:dyDescent="0.25">
      <c r="A1074" t="s">
        <v>2352</v>
      </c>
      <c r="B1074" t="s">
        <v>2353</v>
      </c>
      <c r="C1074">
        <v>297</v>
      </c>
      <c r="D1074" t="s">
        <v>15</v>
      </c>
      <c r="E1074" t="s">
        <v>3835</v>
      </c>
      <c r="F1074" t="s">
        <v>2354</v>
      </c>
      <c r="G1074" t="s">
        <v>4</v>
      </c>
      <c r="H1074">
        <v>0</v>
      </c>
      <c r="I1074">
        <v>0</v>
      </c>
      <c r="J1074">
        <v>2019</v>
      </c>
      <c r="K1074" t="str">
        <f>IF(Books[[#This Row],[AVERAGE RATING]]&gt;=4,"High",IF(Books[[#This Row],[AVERAGE RATING]]&gt;=3,"Medium","Low"))</f>
        <v>Low</v>
      </c>
      <c r="L1074" t="str">
        <f>IF(Books[[#This Row],[AVERAGE RATING]]&gt;10000,"Popular","Average")</f>
        <v>Average</v>
      </c>
      <c r="M1074">
        <f>Books[[#This Row],[AVERAGE RATING]]*Books[[#This Row],[RATINGS COUNT]]</f>
        <v>0</v>
      </c>
    </row>
    <row r="1075" spans="1:13" x14ac:dyDescent="0.25">
      <c r="A1075" t="s">
        <v>2355</v>
      </c>
      <c r="B1075" t="s">
        <v>2356</v>
      </c>
      <c r="C1075">
        <v>297</v>
      </c>
      <c r="D1075" t="s">
        <v>118</v>
      </c>
      <c r="E1075" t="s">
        <v>3836</v>
      </c>
      <c r="F1075" t="s">
        <v>29</v>
      </c>
      <c r="G1075" t="s">
        <v>4</v>
      </c>
      <c r="H1075">
        <v>0</v>
      </c>
      <c r="I1075">
        <v>0</v>
      </c>
      <c r="J1075">
        <v>2020</v>
      </c>
      <c r="K1075" t="str">
        <f>IF(Books[[#This Row],[AVERAGE RATING]]&gt;=4,"High",IF(Books[[#This Row],[AVERAGE RATING]]&gt;=3,"Medium","Low"))</f>
        <v>Low</v>
      </c>
      <c r="L1075" t="str">
        <f>IF(Books[[#This Row],[AVERAGE RATING]]&gt;10000,"Popular","Average")</f>
        <v>Average</v>
      </c>
      <c r="M1075">
        <f>Books[[#This Row],[AVERAGE RATING]]*Books[[#This Row],[RATINGS COUNT]]</f>
        <v>0</v>
      </c>
    </row>
    <row r="1076" spans="1:13" x14ac:dyDescent="0.25">
      <c r="A1076" t="s">
        <v>2357</v>
      </c>
      <c r="B1076" t="s">
        <v>2358</v>
      </c>
      <c r="C1076">
        <v>233</v>
      </c>
      <c r="D1076" t="s">
        <v>383</v>
      </c>
      <c r="E1076" t="s">
        <v>3837</v>
      </c>
      <c r="F1076" t="s">
        <v>76</v>
      </c>
      <c r="G1076" t="s">
        <v>4</v>
      </c>
      <c r="H1076">
        <v>0</v>
      </c>
      <c r="I1076">
        <v>0</v>
      </c>
      <c r="J1076">
        <v>2018</v>
      </c>
      <c r="K1076" t="str">
        <f>IF(Books[[#This Row],[AVERAGE RATING]]&gt;=4,"High",IF(Books[[#This Row],[AVERAGE RATING]]&gt;=3,"Medium","Low"))</f>
        <v>Low</v>
      </c>
      <c r="L1076" t="str">
        <f>IF(Books[[#This Row],[AVERAGE RATING]]&gt;10000,"Popular","Average")</f>
        <v>Average</v>
      </c>
      <c r="M1076">
        <f>Books[[#This Row],[AVERAGE RATING]]*Books[[#This Row],[RATINGS COUNT]]</f>
        <v>0</v>
      </c>
    </row>
    <row r="1077" spans="1:13" x14ac:dyDescent="0.25">
      <c r="A1077" t="s">
        <v>2359</v>
      </c>
      <c r="B1077" t="s">
        <v>2360</v>
      </c>
      <c r="C1077">
        <v>326</v>
      </c>
      <c r="D1077" t="s">
        <v>15</v>
      </c>
      <c r="E1077" t="s">
        <v>3838</v>
      </c>
      <c r="F1077" t="s">
        <v>119</v>
      </c>
      <c r="G1077" t="s">
        <v>4</v>
      </c>
      <c r="H1077">
        <v>0</v>
      </c>
      <c r="I1077">
        <v>0</v>
      </c>
      <c r="J1077">
        <v>2019</v>
      </c>
      <c r="K1077" t="str">
        <f>IF(Books[[#This Row],[AVERAGE RATING]]&gt;=4,"High",IF(Books[[#This Row],[AVERAGE RATING]]&gt;=3,"Medium","Low"))</f>
        <v>Low</v>
      </c>
      <c r="L1077" t="str">
        <f>IF(Books[[#This Row],[AVERAGE RATING]]&gt;10000,"Popular","Average")</f>
        <v>Average</v>
      </c>
      <c r="M1077">
        <f>Books[[#This Row],[AVERAGE RATING]]*Books[[#This Row],[RATINGS COUNT]]</f>
        <v>0</v>
      </c>
    </row>
    <row r="1078" spans="1:13" x14ac:dyDescent="0.25">
      <c r="A1078" t="s">
        <v>2361</v>
      </c>
      <c r="B1078" t="s">
        <v>2362</v>
      </c>
      <c r="C1078">
        <v>241</v>
      </c>
      <c r="D1078" t="s">
        <v>11</v>
      </c>
      <c r="E1078" t="s">
        <v>3839</v>
      </c>
      <c r="F1078" t="s">
        <v>2079</v>
      </c>
      <c r="G1078" t="s">
        <v>4</v>
      </c>
      <c r="H1078">
        <v>0</v>
      </c>
      <c r="I1078">
        <v>0</v>
      </c>
      <c r="J1078">
        <v>2012</v>
      </c>
      <c r="K1078" t="str">
        <f>IF(Books[[#This Row],[AVERAGE RATING]]&gt;=4,"High",IF(Books[[#This Row],[AVERAGE RATING]]&gt;=3,"Medium","Low"))</f>
        <v>Low</v>
      </c>
      <c r="L1078" t="str">
        <f>IF(Books[[#This Row],[AVERAGE RATING]]&gt;10000,"Popular","Average")</f>
        <v>Average</v>
      </c>
      <c r="M1078">
        <f>Books[[#This Row],[AVERAGE RATING]]*Books[[#This Row],[RATINGS COUNT]]</f>
        <v>0</v>
      </c>
    </row>
    <row r="1079" spans="1:13" x14ac:dyDescent="0.25">
      <c r="A1079" t="s">
        <v>2363</v>
      </c>
      <c r="B1079" t="s">
        <v>2364</v>
      </c>
      <c r="C1079">
        <v>411</v>
      </c>
      <c r="D1079" t="s">
        <v>11</v>
      </c>
      <c r="E1079" t="s">
        <v>3840</v>
      </c>
      <c r="F1079" t="s">
        <v>1203</v>
      </c>
      <c r="G1079" t="s">
        <v>4</v>
      </c>
      <c r="H1079">
        <v>0</v>
      </c>
      <c r="I1079">
        <v>0</v>
      </c>
      <c r="J1079">
        <v>2011</v>
      </c>
      <c r="K1079" t="str">
        <f>IF(Books[[#This Row],[AVERAGE RATING]]&gt;=4,"High",IF(Books[[#This Row],[AVERAGE RATING]]&gt;=3,"Medium","Low"))</f>
        <v>Low</v>
      </c>
      <c r="L1079" t="str">
        <f>IF(Books[[#This Row],[AVERAGE RATING]]&gt;10000,"Popular","Average")</f>
        <v>Average</v>
      </c>
      <c r="M1079">
        <f>Books[[#This Row],[AVERAGE RATING]]*Books[[#This Row],[RATINGS COUNT]]</f>
        <v>0</v>
      </c>
    </row>
    <row r="1080" spans="1:13" x14ac:dyDescent="0.25">
      <c r="A1080" t="s">
        <v>2365</v>
      </c>
      <c r="B1080" t="s">
        <v>2366</v>
      </c>
      <c r="C1080">
        <v>170</v>
      </c>
      <c r="D1080" t="s">
        <v>2</v>
      </c>
      <c r="E1080" t="s">
        <v>3841</v>
      </c>
      <c r="F1080" t="s">
        <v>2366</v>
      </c>
      <c r="G1080" t="s">
        <v>4</v>
      </c>
      <c r="H1080">
        <v>0</v>
      </c>
      <c r="I1080">
        <v>0</v>
      </c>
      <c r="J1080">
        <v>2025</v>
      </c>
      <c r="K1080" t="str">
        <f>IF(Books[[#This Row],[AVERAGE RATING]]&gt;=4,"High",IF(Books[[#This Row],[AVERAGE RATING]]&gt;=3,"Medium","Low"))</f>
        <v>Low</v>
      </c>
      <c r="L1080" t="str">
        <f>IF(Books[[#This Row],[AVERAGE RATING]]&gt;10000,"Popular","Average")</f>
        <v>Average</v>
      </c>
      <c r="M1080">
        <f>Books[[#This Row],[AVERAGE RATING]]*Books[[#This Row],[RATINGS COUNT]]</f>
        <v>0</v>
      </c>
    </row>
    <row r="1081" spans="1:13" x14ac:dyDescent="0.25">
      <c r="A1081" t="s">
        <v>2367</v>
      </c>
      <c r="B1081" t="s">
        <v>2368</v>
      </c>
      <c r="C1081">
        <v>169</v>
      </c>
      <c r="D1081" t="s">
        <v>453</v>
      </c>
      <c r="E1081" t="s">
        <v>3122</v>
      </c>
      <c r="F1081" t="s">
        <v>1551</v>
      </c>
      <c r="G1081" t="s">
        <v>4</v>
      </c>
      <c r="H1081">
        <v>4</v>
      </c>
      <c r="I1081">
        <v>3</v>
      </c>
      <c r="J1081">
        <v>2018</v>
      </c>
      <c r="K1081" t="str">
        <f>IF(Books[[#This Row],[AVERAGE RATING]]&gt;=4,"High",IF(Books[[#This Row],[AVERAGE RATING]]&gt;=3,"Medium","Low"))</f>
        <v>High</v>
      </c>
      <c r="L1081" t="str">
        <f>IF(Books[[#This Row],[AVERAGE RATING]]&gt;10000,"Popular","Average")</f>
        <v>Average</v>
      </c>
      <c r="M1081">
        <f>Books[[#This Row],[AVERAGE RATING]]*Books[[#This Row],[RATINGS COUNT]]</f>
        <v>12</v>
      </c>
    </row>
    <row r="1082" spans="1:13" x14ac:dyDescent="0.25">
      <c r="A1082" t="s">
        <v>2369</v>
      </c>
      <c r="B1082" t="s">
        <v>2370</v>
      </c>
      <c r="C1082">
        <v>130</v>
      </c>
      <c r="D1082" t="s">
        <v>207</v>
      </c>
      <c r="E1082" t="s">
        <v>3842</v>
      </c>
      <c r="F1082" t="s">
        <v>1096</v>
      </c>
      <c r="G1082" t="s">
        <v>4</v>
      </c>
      <c r="H1082">
        <v>0</v>
      </c>
      <c r="I1082">
        <v>0</v>
      </c>
      <c r="J1082">
        <v>2016</v>
      </c>
      <c r="K1082" t="str">
        <f>IF(Books[[#This Row],[AVERAGE RATING]]&gt;=4,"High",IF(Books[[#This Row],[AVERAGE RATING]]&gt;=3,"Medium","Low"))</f>
        <v>Low</v>
      </c>
      <c r="L1082" t="str">
        <f>IF(Books[[#This Row],[AVERAGE RATING]]&gt;10000,"Popular","Average")</f>
        <v>Average</v>
      </c>
      <c r="M1082">
        <f>Books[[#This Row],[AVERAGE RATING]]*Books[[#This Row],[RATINGS COUNT]]</f>
        <v>0</v>
      </c>
    </row>
    <row r="1083" spans="1:13" x14ac:dyDescent="0.25">
      <c r="A1083" t="s">
        <v>2371</v>
      </c>
      <c r="B1083" t="s">
        <v>2373</v>
      </c>
      <c r="C1083">
        <v>132</v>
      </c>
      <c r="D1083" t="s">
        <v>2374</v>
      </c>
      <c r="E1083" t="s">
        <v>3843</v>
      </c>
      <c r="F1083" t="s">
        <v>2372</v>
      </c>
      <c r="G1083" t="s">
        <v>4</v>
      </c>
      <c r="H1083">
        <v>0</v>
      </c>
      <c r="I1083">
        <v>0</v>
      </c>
      <c r="J1083">
        <v>1999</v>
      </c>
      <c r="K1083" t="str">
        <f>IF(Books[[#This Row],[AVERAGE RATING]]&gt;=4,"High",IF(Books[[#This Row],[AVERAGE RATING]]&gt;=3,"Medium","Low"))</f>
        <v>Low</v>
      </c>
      <c r="L1083" t="str">
        <f>IF(Books[[#This Row],[AVERAGE RATING]]&gt;10000,"Popular","Average")</f>
        <v>Average</v>
      </c>
      <c r="M1083">
        <f>Books[[#This Row],[AVERAGE RATING]]*Books[[#This Row],[RATINGS COUNT]]</f>
        <v>0</v>
      </c>
    </row>
    <row r="1084" spans="1:13" x14ac:dyDescent="0.25">
      <c r="A1084" t="s">
        <v>2375</v>
      </c>
      <c r="B1084" t="s">
        <v>2376</v>
      </c>
      <c r="C1084">
        <v>145</v>
      </c>
      <c r="D1084" t="s">
        <v>45</v>
      </c>
      <c r="E1084" t="s">
        <v>3844</v>
      </c>
      <c r="F1084" t="s">
        <v>2377</v>
      </c>
      <c r="G1084" t="s">
        <v>4</v>
      </c>
      <c r="H1084">
        <v>0</v>
      </c>
      <c r="I1084">
        <v>0</v>
      </c>
      <c r="J1084">
        <v>2024</v>
      </c>
      <c r="K1084" t="str">
        <f>IF(Books[[#This Row],[AVERAGE RATING]]&gt;=4,"High",IF(Books[[#This Row],[AVERAGE RATING]]&gt;=3,"Medium","Low"))</f>
        <v>Low</v>
      </c>
      <c r="L1084" t="str">
        <f>IF(Books[[#This Row],[AVERAGE RATING]]&gt;10000,"Popular","Average")</f>
        <v>Average</v>
      </c>
      <c r="M1084">
        <f>Books[[#This Row],[AVERAGE RATING]]*Books[[#This Row],[RATINGS COUNT]]</f>
        <v>0</v>
      </c>
    </row>
    <row r="1085" spans="1:13" x14ac:dyDescent="0.25">
      <c r="A1085" t="s">
        <v>2378</v>
      </c>
      <c r="B1085" t="s">
        <v>2379</v>
      </c>
      <c r="C1085">
        <v>109</v>
      </c>
      <c r="D1085" t="s">
        <v>45</v>
      </c>
      <c r="E1085" t="s">
        <v>3845</v>
      </c>
      <c r="F1085" t="s">
        <v>2380</v>
      </c>
      <c r="G1085" t="s">
        <v>4</v>
      </c>
      <c r="H1085">
        <v>0</v>
      </c>
      <c r="I1085">
        <v>0</v>
      </c>
      <c r="J1085">
        <v>2019</v>
      </c>
      <c r="K1085" t="str">
        <f>IF(Books[[#This Row],[AVERAGE RATING]]&gt;=4,"High",IF(Books[[#This Row],[AVERAGE RATING]]&gt;=3,"Medium","Low"))</f>
        <v>Low</v>
      </c>
      <c r="L1085" t="str">
        <f>IF(Books[[#This Row],[AVERAGE RATING]]&gt;10000,"Popular","Average")</f>
        <v>Average</v>
      </c>
      <c r="M1085">
        <f>Books[[#This Row],[AVERAGE RATING]]*Books[[#This Row],[RATINGS COUNT]]</f>
        <v>0</v>
      </c>
    </row>
    <row r="1086" spans="1:13" x14ac:dyDescent="0.25">
      <c r="A1086" t="s">
        <v>2381</v>
      </c>
      <c r="B1086" t="s">
        <v>2382</v>
      </c>
      <c r="C1086">
        <v>146</v>
      </c>
      <c r="D1086" t="s">
        <v>45</v>
      </c>
      <c r="E1086" t="s">
        <v>3846</v>
      </c>
      <c r="F1086" t="s">
        <v>968</v>
      </c>
      <c r="G1086" t="s">
        <v>4</v>
      </c>
      <c r="H1086">
        <v>0</v>
      </c>
      <c r="I1086">
        <v>0</v>
      </c>
      <c r="J1086">
        <v>2017</v>
      </c>
      <c r="K1086" t="str">
        <f>IF(Books[[#This Row],[AVERAGE RATING]]&gt;=4,"High",IF(Books[[#This Row],[AVERAGE RATING]]&gt;=3,"Medium","Low"))</f>
        <v>Low</v>
      </c>
      <c r="L1086" t="str">
        <f>IF(Books[[#This Row],[AVERAGE RATING]]&gt;10000,"Popular","Average")</f>
        <v>Average</v>
      </c>
      <c r="M1086">
        <f>Books[[#This Row],[AVERAGE RATING]]*Books[[#This Row],[RATINGS COUNT]]</f>
        <v>0</v>
      </c>
    </row>
    <row r="1087" spans="1:13" x14ac:dyDescent="0.25">
      <c r="A1087" t="s">
        <v>2383</v>
      </c>
      <c r="B1087" t="s">
        <v>2384</v>
      </c>
      <c r="C1087">
        <v>145</v>
      </c>
      <c r="D1087" t="s">
        <v>63</v>
      </c>
      <c r="E1087" t="s">
        <v>3055</v>
      </c>
      <c r="F1087" t="s">
        <v>2385</v>
      </c>
      <c r="G1087" t="s">
        <v>4</v>
      </c>
      <c r="H1087">
        <v>0</v>
      </c>
      <c r="I1087">
        <v>0</v>
      </c>
      <c r="J1087">
        <v>2004</v>
      </c>
      <c r="K1087" t="str">
        <f>IF(Books[[#This Row],[AVERAGE RATING]]&gt;=4,"High",IF(Books[[#This Row],[AVERAGE RATING]]&gt;=3,"Medium","Low"))</f>
        <v>Low</v>
      </c>
      <c r="L1087" t="str">
        <f>IF(Books[[#This Row],[AVERAGE RATING]]&gt;10000,"Popular","Average")</f>
        <v>Average</v>
      </c>
      <c r="M1087">
        <f>Books[[#This Row],[AVERAGE RATING]]*Books[[#This Row],[RATINGS COUNT]]</f>
        <v>0</v>
      </c>
    </row>
    <row r="1088" spans="1:13" x14ac:dyDescent="0.25">
      <c r="A1088" t="s">
        <v>2386</v>
      </c>
      <c r="B1088" t="s">
        <v>2387</v>
      </c>
      <c r="C1088">
        <v>257</v>
      </c>
      <c r="D1088" t="s">
        <v>2</v>
      </c>
      <c r="E1088" t="s">
        <v>3268</v>
      </c>
      <c r="F1088" t="s">
        <v>2388</v>
      </c>
      <c r="G1088" t="s">
        <v>4</v>
      </c>
      <c r="H1088">
        <v>0</v>
      </c>
      <c r="I1088">
        <v>0</v>
      </c>
      <c r="J1088">
        <v>2007</v>
      </c>
      <c r="K1088" t="str">
        <f>IF(Books[[#This Row],[AVERAGE RATING]]&gt;=4,"High",IF(Books[[#This Row],[AVERAGE RATING]]&gt;=3,"Medium","Low"))</f>
        <v>Low</v>
      </c>
      <c r="L1088" t="str">
        <f>IF(Books[[#This Row],[AVERAGE RATING]]&gt;10000,"Popular","Average")</f>
        <v>Average</v>
      </c>
      <c r="M1088">
        <f>Books[[#This Row],[AVERAGE RATING]]*Books[[#This Row],[RATINGS COUNT]]</f>
        <v>0</v>
      </c>
    </row>
    <row r="1089" spans="1:13" x14ac:dyDescent="0.25">
      <c r="A1089" t="s">
        <v>2389</v>
      </c>
      <c r="B1089" t="s">
        <v>2390</v>
      </c>
      <c r="C1089">
        <v>115</v>
      </c>
      <c r="D1089" t="s">
        <v>207</v>
      </c>
      <c r="E1089" t="s">
        <v>3847</v>
      </c>
      <c r="F1089" t="s">
        <v>1545</v>
      </c>
      <c r="G1089" t="s">
        <v>4</v>
      </c>
      <c r="H1089">
        <v>0</v>
      </c>
      <c r="I1089">
        <v>0</v>
      </c>
      <c r="J1089">
        <v>2015</v>
      </c>
      <c r="K1089" t="str">
        <f>IF(Books[[#This Row],[AVERAGE RATING]]&gt;=4,"High",IF(Books[[#This Row],[AVERAGE RATING]]&gt;=3,"Medium","Low"))</f>
        <v>Low</v>
      </c>
      <c r="L1089" t="str">
        <f>IF(Books[[#This Row],[AVERAGE RATING]]&gt;10000,"Popular","Average")</f>
        <v>Average</v>
      </c>
      <c r="M1089">
        <f>Books[[#This Row],[AVERAGE RATING]]*Books[[#This Row],[RATINGS COUNT]]</f>
        <v>0</v>
      </c>
    </row>
    <row r="1090" spans="1:13" x14ac:dyDescent="0.25">
      <c r="A1090" t="s">
        <v>2391</v>
      </c>
      <c r="B1090" t="s">
        <v>2392</v>
      </c>
      <c r="C1090">
        <v>339</v>
      </c>
      <c r="D1090" t="s">
        <v>28</v>
      </c>
      <c r="E1090" t="s">
        <v>3635</v>
      </c>
      <c r="F1090" t="s">
        <v>2393</v>
      </c>
      <c r="G1090" t="s">
        <v>4</v>
      </c>
      <c r="H1090">
        <v>0</v>
      </c>
      <c r="I1090">
        <v>0</v>
      </c>
      <c r="J1090">
        <v>2024</v>
      </c>
      <c r="K1090" t="str">
        <f>IF(Books[[#This Row],[AVERAGE RATING]]&gt;=4,"High",IF(Books[[#This Row],[AVERAGE RATING]]&gt;=3,"Medium","Low"))</f>
        <v>Low</v>
      </c>
      <c r="L1090" t="str">
        <f>IF(Books[[#This Row],[AVERAGE RATING]]&gt;10000,"Popular","Average")</f>
        <v>Average</v>
      </c>
      <c r="M1090">
        <f>Books[[#This Row],[AVERAGE RATING]]*Books[[#This Row],[RATINGS COUNT]]</f>
        <v>0</v>
      </c>
    </row>
    <row r="1091" spans="1:13" x14ac:dyDescent="0.25">
      <c r="A1091" t="s">
        <v>2394</v>
      </c>
      <c r="B1091" t="s">
        <v>2395</v>
      </c>
      <c r="C1091">
        <v>197</v>
      </c>
      <c r="D1091" t="s">
        <v>63</v>
      </c>
      <c r="E1091" t="s">
        <v>3848</v>
      </c>
      <c r="F1091" t="s">
        <v>756</v>
      </c>
      <c r="G1091" t="s">
        <v>4</v>
      </c>
      <c r="H1091">
        <v>0</v>
      </c>
      <c r="I1091">
        <v>0</v>
      </c>
      <c r="J1091">
        <v>2021</v>
      </c>
      <c r="K1091" t="str">
        <f>IF(Books[[#This Row],[AVERAGE RATING]]&gt;=4,"High",IF(Books[[#This Row],[AVERAGE RATING]]&gt;=3,"Medium","Low"))</f>
        <v>Low</v>
      </c>
      <c r="L1091" t="str">
        <f>IF(Books[[#This Row],[AVERAGE RATING]]&gt;10000,"Popular","Average")</f>
        <v>Average</v>
      </c>
      <c r="M1091">
        <f>Books[[#This Row],[AVERAGE RATING]]*Books[[#This Row],[RATINGS COUNT]]</f>
        <v>0</v>
      </c>
    </row>
    <row r="1092" spans="1:13" x14ac:dyDescent="0.25">
      <c r="A1092" t="s">
        <v>2396</v>
      </c>
      <c r="B1092" t="s">
        <v>2397</v>
      </c>
      <c r="C1092">
        <v>824</v>
      </c>
      <c r="D1092" t="s">
        <v>2</v>
      </c>
      <c r="E1092" t="s">
        <v>3135</v>
      </c>
      <c r="F1092" t="s">
        <v>122</v>
      </c>
      <c r="G1092" t="s">
        <v>4</v>
      </c>
      <c r="H1092">
        <v>0</v>
      </c>
      <c r="I1092">
        <v>0</v>
      </c>
      <c r="J1092">
        <v>1994</v>
      </c>
      <c r="K1092" t="str">
        <f>IF(Books[[#This Row],[AVERAGE RATING]]&gt;=4,"High",IF(Books[[#This Row],[AVERAGE RATING]]&gt;=3,"Medium","Low"))</f>
        <v>Low</v>
      </c>
      <c r="L1092" t="str">
        <f>IF(Books[[#This Row],[AVERAGE RATING]]&gt;10000,"Popular","Average")</f>
        <v>Average</v>
      </c>
      <c r="M1092">
        <f>Books[[#This Row],[AVERAGE RATING]]*Books[[#This Row],[RATINGS COUNT]]</f>
        <v>0</v>
      </c>
    </row>
    <row r="1093" spans="1:13" x14ac:dyDescent="0.25">
      <c r="A1093" t="s">
        <v>2398</v>
      </c>
      <c r="B1093" t="s">
        <v>2399</v>
      </c>
      <c r="C1093">
        <v>330</v>
      </c>
      <c r="D1093" t="s">
        <v>383</v>
      </c>
      <c r="E1093" t="s">
        <v>3099</v>
      </c>
      <c r="F1093" t="s">
        <v>2400</v>
      </c>
      <c r="G1093" t="s">
        <v>4</v>
      </c>
      <c r="H1093">
        <v>0</v>
      </c>
      <c r="I1093">
        <v>0</v>
      </c>
      <c r="J1093">
        <v>2005</v>
      </c>
      <c r="K1093" t="str">
        <f>IF(Books[[#This Row],[AVERAGE RATING]]&gt;=4,"High",IF(Books[[#This Row],[AVERAGE RATING]]&gt;=3,"Medium","Low"))</f>
        <v>Low</v>
      </c>
      <c r="L1093" t="str">
        <f>IF(Books[[#This Row],[AVERAGE RATING]]&gt;10000,"Popular","Average")</f>
        <v>Average</v>
      </c>
      <c r="M1093">
        <f>Books[[#This Row],[AVERAGE RATING]]*Books[[#This Row],[RATINGS COUNT]]</f>
        <v>0</v>
      </c>
    </row>
    <row r="1094" spans="1:13" x14ac:dyDescent="0.25">
      <c r="A1094" t="s">
        <v>2401</v>
      </c>
      <c r="B1094" t="s">
        <v>2402</v>
      </c>
      <c r="C1094">
        <v>1096</v>
      </c>
      <c r="D1094" t="s">
        <v>7</v>
      </c>
      <c r="E1094" t="s">
        <v>3849</v>
      </c>
      <c r="F1094" t="s">
        <v>2388</v>
      </c>
      <c r="G1094" t="s">
        <v>4</v>
      </c>
      <c r="H1094">
        <v>5</v>
      </c>
      <c r="I1094">
        <v>1</v>
      </c>
      <c r="J1094">
        <v>2001</v>
      </c>
      <c r="K1094" t="str">
        <f>IF(Books[[#This Row],[AVERAGE RATING]]&gt;=4,"High",IF(Books[[#This Row],[AVERAGE RATING]]&gt;=3,"Medium","Low"))</f>
        <v>High</v>
      </c>
      <c r="L1094" t="str">
        <f>IF(Books[[#This Row],[AVERAGE RATING]]&gt;10000,"Popular","Average")</f>
        <v>Average</v>
      </c>
      <c r="M1094">
        <f>Books[[#This Row],[AVERAGE RATING]]*Books[[#This Row],[RATINGS COUNT]]</f>
        <v>5</v>
      </c>
    </row>
    <row r="1095" spans="1:13" x14ac:dyDescent="0.25">
      <c r="A1095" t="s">
        <v>2403</v>
      </c>
      <c r="B1095" t="s">
        <v>2404</v>
      </c>
      <c r="C1095">
        <v>192</v>
      </c>
      <c r="D1095" t="s">
        <v>85</v>
      </c>
      <c r="E1095" t="s">
        <v>3055</v>
      </c>
      <c r="F1095" t="s">
        <v>834</v>
      </c>
      <c r="G1095" t="s">
        <v>4</v>
      </c>
      <c r="H1095">
        <v>0</v>
      </c>
      <c r="I1095">
        <v>0</v>
      </c>
      <c r="J1095">
        <v>2004</v>
      </c>
      <c r="K1095" t="str">
        <f>IF(Books[[#This Row],[AVERAGE RATING]]&gt;=4,"High",IF(Books[[#This Row],[AVERAGE RATING]]&gt;=3,"Medium","Low"))</f>
        <v>Low</v>
      </c>
      <c r="L1095" t="str">
        <f>IF(Books[[#This Row],[AVERAGE RATING]]&gt;10000,"Popular","Average")</f>
        <v>Average</v>
      </c>
      <c r="M1095">
        <f>Books[[#This Row],[AVERAGE RATING]]*Books[[#This Row],[RATINGS COUNT]]</f>
        <v>0</v>
      </c>
    </row>
    <row r="1096" spans="1:13" x14ac:dyDescent="0.25">
      <c r="A1096" t="s">
        <v>2405</v>
      </c>
      <c r="B1096" t="s">
        <v>2406</v>
      </c>
      <c r="C1096">
        <v>298</v>
      </c>
      <c r="D1096" t="s">
        <v>15</v>
      </c>
      <c r="E1096" t="s">
        <v>3149</v>
      </c>
      <c r="F1096" t="s">
        <v>168</v>
      </c>
      <c r="G1096" t="s">
        <v>4</v>
      </c>
      <c r="H1096">
        <v>0</v>
      </c>
      <c r="I1096">
        <v>0</v>
      </c>
      <c r="J1096">
        <v>2009</v>
      </c>
      <c r="K1096" t="str">
        <f>IF(Books[[#This Row],[AVERAGE RATING]]&gt;=4,"High",IF(Books[[#This Row],[AVERAGE RATING]]&gt;=3,"Medium","Low"))</f>
        <v>Low</v>
      </c>
      <c r="L1096" t="str">
        <f>IF(Books[[#This Row],[AVERAGE RATING]]&gt;10000,"Popular","Average")</f>
        <v>Average</v>
      </c>
      <c r="M1096">
        <f>Books[[#This Row],[AVERAGE RATING]]*Books[[#This Row],[RATINGS COUNT]]</f>
        <v>0</v>
      </c>
    </row>
    <row r="1097" spans="1:13" x14ac:dyDescent="0.25">
      <c r="A1097" t="s">
        <v>2407</v>
      </c>
      <c r="B1097" t="s">
        <v>2408</v>
      </c>
      <c r="C1097">
        <v>329</v>
      </c>
      <c r="D1097" t="s">
        <v>2</v>
      </c>
      <c r="E1097" t="s">
        <v>3514</v>
      </c>
      <c r="F1097" t="s">
        <v>2409</v>
      </c>
      <c r="G1097" t="s">
        <v>4</v>
      </c>
      <c r="H1097">
        <v>0</v>
      </c>
      <c r="I1097">
        <v>0</v>
      </c>
      <c r="J1097">
        <v>2007</v>
      </c>
      <c r="K1097" t="str">
        <f>IF(Books[[#This Row],[AVERAGE RATING]]&gt;=4,"High",IF(Books[[#This Row],[AVERAGE RATING]]&gt;=3,"Medium","Low"))</f>
        <v>Low</v>
      </c>
      <c r="L1097" t="str">
        <f>IF(Books[[#This Row],[AVERAGE RATING]]&gt;10000,"Popular","Average")</f>
        <v>Average</v>
      </c>
      <c r="M1097">
        <f>Books[[#This Row],[AVERAGE RATING]]*Books[[#This Row],[RATINGS COUNT]]</f>
        <v>0</v>
      </c>
    </row>
    <row r="1098" spans="1:13" x14ac:dyDescent="0.25">
      <c r="A1098" t="s">
        <v>2410</v>
      </c>
      <c r="B1098" t="s">
        <v>2411</v>
      </c>
      <c r="C1098">
        <v>267</v>
      </c>
      <c r="D1098" t="s">
        <v>2</v>
      </c>
      <c r="E1098" t="s">
        <v>3850</v>
      </c>
      <c r="F1098" t="s">
        <v>60</v>
      </c>
      <c r="G1098" t="s">
        <v>4</v>
      </c>
      <c r="H1098">
        <v>0</v>
      </c>
      <c r="I1098">
        <v>0</v>
      </c>
      <c r="J1098">
        <v>2022</v>
      </c>
      <c r="K1098" t="str">
        <f>IF(Books[[#This Row],[AVERAGE RATING]]&gt;=4,"High",IF(Books[[#This Row],[AVERAGE RATING]]&gt;=3,"Medium","Low"))</f>
        <v>Low</v>
      </c>
      <c r="L1098" t="str">
        <f>IF(Books[[#This Row],[AVERAGE RATING]]&gt;10000,"Popular","Average")</f>
        <v>Average</v>
      </c>
      <c r="M1098">
        <f>Books[[#This Row],[AVERAGE RATING]]*Books[[#This Row],[RATINGS COUNT]]</f>
        <v>0</v>
      </c>
    </row>
    <row r="1099" spans="1:13" x14ac:dyDescent="0.25">
      <c r="A1099" t="s">
        <v>2412</v>
      </c>
      <c r="B1099" t="s">
        <v>2413</v>
      </c>
      <c r="C1099">
        <v>223</v>
      </c>
      <c r="D1099" t="s">
        <v>2</v>
      </c>
      <c r="E1099" t="s">
        <v>3851</v>
      </c>
      <c r="F1099" t="s">
        <v>998</v>
      </c>
      <c r="G1099" t="s">
        <v>4</v>
      </c>
      <c r="H1099">
        <v>0</v>
      </c>
      <c r="I1099">
        <v>0</v>
      </c>
      <c r="J1099">
        <v>2009</v>
      </c>
      <c r="K1099" t="str">
        <f>IF(Books[[#This Row],[AVERAGE RATING]]&gt;=4,"High",IF(Books[[#This Row],[AVERAGE RATING]]&gt;=3,"Medium","Low"))</f>
        <v>Low</v>
      </c>
      <c r="L1099" t="str">
        <f>IF(Books[[#This Row],[AVERAGE RATING]]&gt;10000,"Popular","Average")</f>
        <v>Average</v>
      </c>
      <c r="M1099">
        <f>Books[[#This Row],[AVERAGE RATING]]*Books[[#This Row],[RATINGS COUNT]]</f>
        <v>0</v>
      </c>
    </row>
    <row r="1100" spans="1:13" x14ac:dyDescent="0.25">
      <c r="A1100" t="s">
        <v>2414</v>
      </c>
      <c r="B1100" t="s">
        <v>2415</v>
      </c>
      <c r="C1100">
        <v>241</v>
      </c>
      <c r="D1100" t="s">
        <v>38</v>
      </c>
      <c r="E1100" t="s">
        <v>3615</v>
      </c>
      <c r="F1100" t="s">
        <v>334</v>
      </c>
      <c r="G1100" t="s">
        <v>4</v>
      </c>
      <c r="H1100">
        <v>0</v>
      </c>
      <c r="I1100">
        <v>0</v>
      </c>
      <c r="J1100">
        <v>2020</v>
      </c>
      <c r="K1100" t="str">
        <f>IF(Books[[#This Row],[AVERAGE RATING]]&gt;=4,"High",IF(Books[[#This Row],[AVERAGE RATING]]&gt;=3,"Medium","Low"))</f>
        <v>Low</v>
      </c>
      <c r="L1100" t="str">
        <f>IF(Books[[#This Row],[AVERAGE RATING]]&gt;10000,"Popular","Average")</f>
        <v>Average</v>
      </c>
      <c r="M1100">
        <f>Books[[#This Row],[AVERAGE RATING]]*Books[[#This Row],[RATINGS COUNT]]</f>
        <v>0</v>
      </c>
    </row>
    <row r="1101" spans="1:13" x14ac:dyDescent="0.25">
      <c r="A1101" t="s">
        <v>2416</v>
      </c>
      <c r="B1101" t="s">
        <v>2417</v>
      </c>
      <c r="C1101">
        <v>236</v>
      </c>
      <c r="D1101" t="s">
        <v>383</v>
      </c>
      <c r="E1101" t="s">
        <v>3852</v>
      </c>
      <c r="F1101" t="s">
        <v>235</v>
      </c>
      <c r="G1101" t="s">
        <v>4</v>
      </c>
      <c r="H1101">
        <v>0</v>
      </c>
      <c r="I1101">
        <v>0</v>
      </c>
      <c r="J1101">
        <v>1991</v>
      </c>
      <c r="K1101" t="str">
        <f>IF(Books[[#This Row],[AVERAGE RATING]]&gt;=4,"High",IF(Books[[#This Row],[AVERAGE RATING]]&gt;=3,"Medium","Low"))</f>
        <v>Low</v>
      </c>
      <c r="L1101" t="str">
        <f>IF(Books[[#This Row],[AVERAGE RATING]]&gt;10000,"Popular","Average")</f>
        <v>Average</v>
      </c>
      <c r="M1101">
        <f>Books[[#This Row],[AVERAGE RATING]]*Books[[#This Row],[RATINGS COUNT]]</f>
        <v>0</v>
      </c>
    </row>
    <row r="1102" spans="1:13" x14ac:dyDescent="0.25">
      <c r="A1102" t="s">
        <v>2418</v>
      </c>
      <c r="B1102" t="s">
        <v>2419</v>
      </c>
      <c r="C1102">
        <v>322</v>
      </c>
      <c r="D1102" t="s">
        <v>15</v>
      </c>
      <c r="E1102" t="s">
        <v>3853</v>
      </c>
      <c r="F1102" t="s">
        <v>2420</v>
      </c>
      <c r="G1102" t="s">
        <v>4</v>
      </c>
      <c r="H1102">
        <v>0</v>
      </c>
      <c r="I1102">
        <v>0</v>
      </c>
      <c r="J1102">
        <v>2023</v>
      </c>
      <c r="K1102" t="str">
        <f>IF(Books[[#This Row],[AVERAGE RATING]]&gt;=4,"High",IF(Books[[#This Row],[AVERAGE RATING]]&gt;=3,"Medium","Low"))</f>
        <v>Low</v>
      </c>
      <c r="L1102" t="str">
        <f>IF(Books[[#This Row],[AVERAGE RATING]]&gt;10000,"Popular","Average")</f>
        <v>Average</v>
      </c>
      <c r="M1102">
        <f>Books[[#This Row],[AVERAGE RATING]]*Books[[#This Row],[RATINGS COUNT]]</f>
        <v>0</v>
      </c>
    </row>
    <row r="1103" spans="1:13" x14ac:dyDescent="0.25">
      <c r="A1103" t="s">
        <v>2421</v>
      </c>
      <c r="B1103" t="s">
        <v>2422</v>
      </c>
      <c r="C1103">
        <v>328</v>
      </c>
      <c r="D1103" t="s">
        <v>63</v>
      </c>
      <c r="E1103" t="s">
        <v>3854</v>
      </c>
      <c r="F1103" t="s">
        <v>791</v>
      </c>
      <c r="G1103" t="s">
        <v>4</v>
      </c>
      <c r="H1103">
        <v>0</v>
      </c>
      <c r="I1103">
        <v>0</v>
      </c>
      <c r="J1103">
        <v>2010</v>
      </c>
      <c r="K1103" t="str">
        <f>IF(Books[[#This Row],[AVERAGE RATING]]&gt;=4,"High",IF(Books[[#This Row],[AVERAGE RATING]]&gt;=3,"Medium","Low"))</f>
        <v>Low</v>
      </c>
      <c r="L1103" t="str">
        <f>IF(Books[[#This Row],[AVERAGE RATING]]&gt;10000,"Popular","Average")</f>
        <v>Average</v>
      </c>
      <c r="M1103">
        <f>Books[[#This Row],[AVERAGE RATING]]*Books[[#This Row],[RATINGS COUNT]]</f>
        <v>0</v>
      </c>
    </row>
    <row r="1104" spans="1:13" x14ac:dyDescent="0.25">
      <c r="A1104" t="s">
        <v>2423</v>
      </c>
      <c r="B1104" t="s">
        <v>2424</v>
      </c>
      <c r="C1104">
        <v>736</v>
      </c>
      <c r="D1104" t="s">
        <v>7</v>
      </c>
      <c r="E1104" t="s">
        <v>3236</v>
      </c>
      <c r="F1104" t="s">
        <v>2425</v>
      </c>
      <c r="G1104" t="s">
        <v>4</v>
      </c>
      <c r="H1104">
        <v>0</v>
      </c>
      <c r="I1104">
        <v>0</v>
      </c>
      <c r="J1104">
        <v>1987</v>
      </c>
      <c r="K1104" t="str">
        <f>IF(Books[[#This Row],[AVERAGE RATING]]&gt;=4,"High",IF(Books[[#This Row],[AVERAGE RATING]]&gt;=3,"Medium","Low"))</f>
        <v>Low</v>
      </c>
      <c r="L1104" t="str">
        <f>IF(Books[[#This Row],[AVERAGE RATING]]&gt;10000,"Popular","Average")</f>
        <v>Average</v>
      </c>
      <c r="M1104">
        <f>Books[[#This Row],[AVERAGE RATING]]*Books[[#This Row],[RATINGS COUNT]]</f>
        <v>0</v>
      </c>
    </row>
    <row r="1105" spans="1:13" x14ac:dyDescent="0.25">
      <c r="A1105" t="s">
        <v>2426</v>
      </c>
      <c r="B1105" t="s">
        <v>2427</v>
      </c>
      <c r="C1105">
        <v>372</v>
      </c>
      <c r="D1105" t="s">
        <v>15</v>
      </c>
      <c r="E1105" t="s">
        <v>3067</v>
      </c>
      <c r="F1105" t="s">
        <v>235</v>
      </c>
      <c r="G1105" t="s">
        <v>4</v>
      </c>
      <c r="H1105">
        <v>5</v>
      </c>
      <c r="I1105">
        <v>1</v>
      </c>
      <c r="J1105">
        <v>2003</v>
      </c>
      <c r="K1105" t="str">
        <f>IF(Books[[#This Row],[AVERAGE RATING]]&gt;=4,"High",IF(Books[[#This Row],[AVERAGE RATING]]&gt;=3,"Medium","Low"))</f>
        <v>High</v>
      </c>
      <c r="L1105" t="str">
        <f>IF(Books[[#This Row],[AVERAGE RATING]]&gt;10000,"Popular","Average")</f>
        <v>Average</v>
      </c>
      <c r="M1105">
        <f>Books[[#This Row],[AVERAGE RATING]]*Books[[#This Row],[RATINGS COUNT]]</f>
        <v>5</v>
      </c>
    </row>
    <row r="1106" spans="1:13" x14ac:dyDescent="0.25">
      <c r="A1106" t="s">
        <v>2428</v>
      </c>
      <c r="B1106" t="s">
        <v>2429</v>
      </c>
      <c r="C1106">
        <v>652</v>
      </c>
      <c r="D1106" t="s">
        <v>144</v>
      </c>
      <c r="E1106" t="s">
        <v>3855</v>
      </c>
      <c r="F1106" t="s">
        <v>460</v>
      </c>
      <c r="G1106" t="s">
        <v>4</v>
      </c>
      <c r="H1106">
        <v>0</v>
      </c>
      <c r="I1106">
        <v>0</v>
      </c>
      <c r="J1106">
        <v>2013</v>
      </c>
      <c r="K1106" t="str">
        <f>IF(Books[[#This Row],[AVERAGE RATING]]&gt;=4,"High",IF(Books[[#This Row],[AVERAGE RATING]]&gt;=3,"Medium","Low"))</f>
        <v>Low</v>
      </c>
      <c r="L1106" t="str">
        <f>IF(Books[[#This Row],[AVERAGE RATING]]&gt;10000,"Popular","Average")</f>
        <v>Average</v>
      </c>
      <c r="M1106">
        <f>Books[[#This Row],[AVERAGE RATING]]*Books[[#This Row],[RATINGS COUNT]]</f>
        <v>0</v>
      </c>
    </row>
    <row r="1107" spans="1:13" x14ac:dyDescent="0.25">
      <c r="A1107" t="s">
        <v>2430</v>
      </c>
      <c r="B1107" t="s">
        <v>2431</v>
      </c>
      <c r="C1107">
        <v>585</v>
      </c>
      <c r="D1107" t="s">
        <v>28</v>
      </c>
      <c r="E1107" t="s">
        <v>3856</v>
      </c>
      <c r="F1107" t="s">
        <v>132</v>
      </c>
      <c r="G1107" t="s">
        <v>4</v>
      </c>
      <c r="H1107">
        <v>0</v>
      </c>
      <c r="I1107">
        <v>0</v>
      </c>
      <c r="J1107">
        <v>2013</v>
      </c>
      <c r="K1107" t="str">
        <f>IF(Books[[#This Row],[AVERAGE RATING]]&gt;=4,"High",IF(Books[[#This Row],[AVERAGE RATING]]&gt;=3,"Medium","Low"))</f>
        <v>Low</v>
      </c>
      <c r="L1107" t="str">
        <f>IF(Books[[#This Row],[AVERAGE RATING]]&gt;10000,"Popular","Average")</f>
        <v>Average</v>
      </c>
      <c r="M1107">
        <f>Books[[#This Row],[AVERAGE RATING]]*Books[[#This Row],[RATINGS COUNT]]</f>
        <v>0</v>
      </c>
    </row>
    <row r="1108" spans="1:13" x14ac:dyDescent="0.25">
      <c r="A1108" t="s">
        <v>2432</v>
      </c>
      <c r="B1108" t="s">
        <v>2433</v>
      </c>
      <c r="C1108">
        <v>40</v>
      </c>
      <c r="D1108" t="s">
        <v>54</v>
      </c>
      <c r="E1108" t="s">
        <v>3287</v>
      </c>
      <c r="F1108" t="s">
        <v>2434</v>
      </c>
      <c r="G1108" t="s">
        <v>4</v>
      </c>
      <c r="H1108">
        <v>0</v>
      </c>
      <c r="I1108">
        <v>0</v>
      </c>
      <c r="J1108">
        <v>2010</v>
      </c>
      <c r="K1108" t="str">
        <f>IF(Books[[#This Row],[AVERAGE RATING]]&gt;=4,"High",IF(Books[[#This Row],[AVERAGE RATING]]&gt;=3,"Medium","Low"))</f>
        <v>Low</v>
      </c>
      <c r="L1108" t="str">
        <f>IF(Books[[#This Row],[AVERAGE RATING]]&gt;10000,"Popular","Average")</f>
        <v>Average</v>
      </c>
      <c r="M1108">
        <f>Books[[#This Row],[AVERAGE RATING]]*Books[[#This Row],[RATINGS COUNT]]</f>
        <v>0</v>
      </c>
    </row>
    <row r="1109" spans="1:13" x14ac:dyDescent="0.25">
      <c r="A1109" t="s">
        <v>2435</v>
      </c>
      <c r="B1109" t="s">
        <v>2436</v>
      </c>
      <c r="C1109">
        <v>260</v>
      </c>
      <c r="D1109" t="s">
        <v>45</v>
      </c>
      <c r="E1109" t="s">
        <v>3078</v>
      </c>
      <c r="F1109" t="s">
        <v>1203</v>
      </c>
      <c r="G1109" t="s">
        <v>4</v>
      </c>
      <c r="H1109">
        <v>4</v>
      </c>
      <c r="I1109">
        <v>1</v>
      </c>
      <c r="J1109">
        <v>1999</v>
      </c>
      <c r="K1109" t="str">
        <f>IF(Books[[#This Row],[AVERAGE RATING]]&gt;=4,"High",IF(Books[[#This Row],[AVERAGE RATING]]&gt;=3,"Medium","Low"))</f>
        <v>High</v>
      </c>
      <c r="L1109" t="str">
        <f>IF(Books[[#This Row],[AVERAGE RATING]]&gt;10000,"Popular","Average")</f>
        <v>Average</v>
      </c>
      <c r="M1109">
        <f>Books[[#This Row],[AVERAGE RATING]]*Books[[#This Row],[RATINGS COUNT]]</f>
        <v>4</v>
      </c>
    </row>
    <row r="1110" spans="1:13" x14ac:dyDescent="0.25">
      <c r="A1110" t="s">
        <v>2437</v>
      </c>
      <c r="B1110" t="s">
        <v>2438</v>
      </c>
      <c r="C1110">
        <v>562</v>
      </c>
      <c r="D1110" t="s">
        <v>420</v>
      </c>
      <c r="E1110" t="s">
        <v>3284</v>
      </c>
      <c r="F1110" t="s">
        <v>1578</v>
      </c>
      <c r="G1110" t="s">
        <v>4</v>
      </c>
      <c r="H1110">
        <v>0</v>
      </c>
      <c r="I1110">
        <v>0</v>
      </c>
      <c r="J1110">
        <v>1997</v>
      </c>
      <c r="K1110" t="str">
        <f>IF(Books[[#This Row],[AVERAGE RATING]]&gt;=4,"High",IF(Books[[#This Row],[AVERAGE RATING]]&gt;=3,"Medium","Low"))</f>
        <v>Low</v>
      </c>
      <c r="L1110" t="str">
        <f>IF(Books[[#This Row],[AVERAGE RATING]]&gt;10000,"Popular","Average")</f>
        <v>Average</v>
      </c>
      <c r="M1110">
        <f>Books[[#This Row],[AVERAGE RATING]]*Books[[#This Row],[RATINGS COUNT]]</f>
        <v>0</v>
      </c>
    </row>
    <row r="1111" spans="1:13" x14ac:dyDescent="0.25">
      <c r="A1111" t="s">
        <v>2439</v>
      </c>
      <c r="B1111" t="s">
        <v>2440</v>
      </c>
      <c r="C1111">
        <v>314</v>
      </c>
      <c r="D1111" t="s">
        <v>45</v>
      </c>
      <c r="E1111" t="s">
        <v>3075</v>
      </c>
      <c r="F1111" t="s">
        <v>2441</v>
      </c>
      <c r="G1111" t="s">
        <v>4</v>
      </c>
      <c r="H1111">
        <v>0</v>
      </c>
      <c r="I1111">
        <v>0</v>
      </c>
      <c r="J1111">
        <v>1993</v>
      </c>
      <c r="K1111" t="str">
        <f>IF(Books[[#This Row],[AVERAGE RATING]]&gt;=4,"High",IF(Books[[#This Row],[AVERAGE RATING]]&gt;=3,"Medium","Low"))</f>
        <v>Low</v>
      </c>
      <c r="L1111" t="str">
        <f>IF(Books[[#This Row],[AVERAGE RATING]]&gt;10000,"Popular","Average")</f>
        <v>Average</v>
      </c>
      <c r="M1111">
        <f>Books[[#This Row],[AVERAGE RATING]]*Books[[#This Row],[RATINGS COUNT]]</f>
        <v>0</v>
      </c>
    </row>
    <row r="1112" spans="1:13" x14ac:dyDescent="0.25">
      <c r="A1112" t="s">
        <v>2442</v>
      </c>
      <c r="B1112" t="s">
        <v>2443</v>
      </c>
      <c r="C1112">
        <v>419</v>
      </c>
      <c r="D1112" t="s">
        <v>59</v>
      </c>
      <c r="E1112" t="s">
        <v>3857</v>
      </c>
      <c r="F1112" t="s">
        <v>718</v>
      </c>
      <c r="G1112" t="s">
        <v>4</v>
      </c>
      <c r="H1112">
        <v>0</v>
      </c>
      <c r="I1112">
        <v>0</v>
      </c>
      <c r="J1112">
        <v>1977</v>
      </c>
      <c r="K1112" t="str">
        <f>IF(Books[[#This Row],[AVERAGE RATING]]&gt;=4,"High",IF(Books[[#This Row],[AVERAGE RATING]]&gt;=3,"Medium","Low"))</f>
        <v>Low</v>
      </c>
      <c r="L1112" t="str">
        <f>IF(Books[[#This Row],[AVERAGE RATING]]&gt;10000,"Popular","Average")</f>
        <v>Average</v>
      </c>
      <c r="M1112">
        <f>Books[[#This Row],[AVERAGE RATING]]*Books[[#This Row],[RATINGS COUNT]]</f>
        <v>0</v>
      </c>
    </row>
    <row r="1113" spans="1:13" x14ac:dyDescent="0.25">
      <c r="A1113" t="s">
        <v>2444</v>
      </c>
      <c r="B1113" t="s">
        <v>2445</v>
      </c>
      <c r="C1113">
        <v>214</v>
      </c>
      <c r="D1113" t="s">
        <v>2</v>
      </c>
      <c r="E1113" t="s">
        <v>3858</v>
      </c>
      <c r="F1113" t="s">
        <v>35</v>
      </c>
      <c r="G1113" t="s">
        <v>4</v>
      </c>
      <c r="H1113">
        <v>0</v>
      </c>
      <c r="I1113">
        <v>0</v>
      </c>
      <c r="J1113">
        <v>2013</v>
      </c>
      <c r="K1113" t="str">
        <f>IF(Books[[#This Row],[AVERAGE RATING]]&gt;=4,"High",IF(Books[[#This Row],[AVERAGE RATING]]&gt;=3,"Medium","Low"))</f>
        <v>Low</v>
      </c>
      <c r="L1113" t="str">
        <f>IF(Books[[#This Row],[AVERAGE RATING]]&gt;10000,"Popular","Average")</f>
        <v>Average</v>
      </c>
      <c r="M1113">
        <f>Books[[#This Row],[AVERAGE RATING]]*Books[[#This Row],[RATINGS COUNT]]</f>
        <v>0</v>
      </c>
    </row>
    <row r="1114" spans="1:13" x14ac:dyDescent="0.25">
      <c r="A1114" t="s">
        <v>2446</v>
      </c>
      <c r="B1114" t="s">
        <v>2447</v>
      </c>
      <c r="C1114">
        <v>309</v>
      </c>
      <c r="D1114" t="s">
        <v>144</v>
      </c>
      <c r="E1114" t="s">
        <v>3859</v>
      </c>
      <c r="F1114" t="s">
        <v>2448</v>
      </c>
      <c r="G1114" t="s">
        <v>4</v>
      </c>
      <c r="H1114">
        <v>0</v>
      </c>
      <c r="I1114">
        <v>0</v>
      </c>
      <c r="J1114">
        <v>1986</v>
      </c>
      <c r="K1114" t="str">
        <f>IF(Books[[#This Row],[AVERAGE RATING]]&gt;=4,"High",IF(Books[[#This Row],[AVERAGE RATING]]&gt;=3,"Medium","Low"))</f>
        <v>Low</v>
      </c>
      <c r="L1114" t="str">
        <f>IF(Books[[#This Row],[AVERAGE RATING]]&gt;10000,"Popular","Average")</f>
        <v>Average</v>
      </c>
      <c r="M1114">
        <f>Books[[#This Row],[AVERAGE RATING]]*Books[[#This Row],[RATINGS COUNT]]</f>
        <v>0</v>
      </c>
    </row>
    <row r="1115" spans="1:13" x14ac:dyDescent="0.25">
      <c r="A1115" t="s">
        <v>2449</v>
      </c>
      <c r="B1115" t="s">
        <v>2450</v>
      </c>
      <c r="C1115">
        <v>204</v>
      </c>
      <c r="D1115" t="s">
        <v>2</v>
      </c>
      <c r="E1115" t="s">
        <v>3075</v>
      </c>
      <c r="F1115" t="s">
        <v>110</v>
      </c>
      <c r="G1115" t="s">
        <v>4</v>
      </c>
      <c r="H1115">
        <v>0</v>
      </c>
      <c r="I1115">
        <v>0</v>
      </c>
      <c r="J1115">
        <v>1993</v>
      </c>
      <c r="K1115" t="str">
        <f>IF(Books[[#This Row],[AVERAGE RATING]]&gt;=4,"High",IF(Books[[#This Row],[AVERAGE RATING]]&gt;=3,"Medium","Low"))</f>
        <v>Low</v>
      </c>
      <c r="L1115" t="str">
        <f>IF(Books[[#This Row],[AVERAGE RATING]]&gt;10000,"Popular","Average")</f>
        <v>Average</v>
      </c>
      <c r="M1115">
        <f>Books[[#This Row],[AVERAGE RATING]]*Books[[#This Row],[RATINGS COUNT]]</f>
        <v>0</v>
      </c>
    </row>
    <row r="1116" spans="1:13" x14ac:dyDescent="0.25">
      <c r="A1116" t="s">
        <v>2451</v>
      </c>
      <c r="B1116" t="s">
        <v>2452</v>
      </c>
      <c r="C1116">
        <v>623</v>
      </c>
      <c r="D1116" t="s">
        <v>118</v>
      </c>
      <c r="E1116" t="s">
        <v>3860</v>
      </c>
      <c r="F1116" t="s">
        <v>985</v>
      </c>
      <c r="G1116" t="s">
        <v>4</v>
      </c>
      <c r="H1116">
        <v>0</v>
      </c>
      <c r="I1116">
        <v>0</v>
      </c>
      <c r="J1116">
        <v>2016</v>
      </c>
      <c r="K1116" t="str">
        <f>IF(Books[[#This Row],[AVERAGE RATING]]&gt;=4,"High",IF(Books[[#This Row],[AVERAGE RATING]]&gt;=3,"Medium","Low"))</f>
        <v>Low</v>
      </c>
      <c r="L1116" t="str">
        <f>IF(Books[[#This Row],[AVERAGE RATING]]&gt;10000,"Popular","Average")</f>
        <v>Average</v>
      </c>
      <c r="M1116">
        <f>Books[[#This Row],[AVERAGE RATING]]*Books[[#This Row],[RATINGS COUNT]]</f>
        <v>0</v>
      </c>
    </row>
    <row r="1117" spans="1:13" x14ac:dyDescent="0.25">
      <c r="A1117" t="s">
        <v>2453</v>
      </c>
      <c r="B1117" t="s">
        <v>2454</v>
      </c>
      <c r="C1117">
        <v>1452</v>
      </c>
      <c r="D1117" t="s">
        <v>673</v>
      </c>
      <c r="E1117" t="s">
        <v>3263</v>
      </c>
      <c r="F1117" t="s">
        <v>985</v>
      </c>
      <c r="G1117" t="s">
        <v>4</v>
      </c>
      <c r="H1117">
        <v>0</v>
      </c>
      <c r="I1117">
        <v>0</v>
      </c>
      <c r="J1117">
        <v>1995</v>
      </c>
      <c r="K1117" t="str">
        <f>IF(Books[[#This Row],[AVERAGE RATING]]&gt;=4,"High",IF(Books[[#This Row],[AVERAGE RATING]]&gt;=3,"Medium","Low"))</f>
        <v>Low</v>
      </c>
      <c r="L1117" t="str">
        <f>IF(Books[[#This Row],[AVERAGE RATING]]&gt;10000,"Popular","Average")</f>
        <v>Average</v>
      </c>
      <c r="M1117">
        <f>Books[[#This Row],[AVERAGE RATING]]*Books[[#This Row],[RATINGS COUNT]]</f>
        <v>0</v>
      </c>
    </row>
    <row r="1118" spans="1:13" x14ac:dyDescent="0.25">
      <c r="A1118" t="s">
        <v>2455</v>
      </c>
      <c r="B1118" t="s">
        <v>2456</v>
      </c>
      <c r="C1118">
        <v>404</v>
      </c>
      <c r="D1118" t="s">
        <v>15</v>
      </c>
      <c r="E1118" t="s">
        <v>3861</v>
      </c>
      <c r="F1118" t="s">
        <v>505</v>
      </c>
      <c r="G1118" t="s">
        <v>4</v>
      </c>
      <c r="H1118">
        <v>0</v>
      </c>
      <c r="I1118">
        <v>0</v>
      </c>
      <c r="J1118">
        <v>2022</v>
      </c>
      <c r="K1118" t="str">
        <f>IF(Books[[#This Row],[AVERAGE RATING]]&gt;=4,"High",IF(Books[[#This Row],[AVERAGE RATING]]&gt;=3,"Medium","Low"))</f>
        <v>Low</v>
      </c>
      <c r="L1118" t="str">
        <f>IF(Books[[#This Row],[AVERAGE RATING]]&gt;10000,"Popular","Average")</f>
        <v>Average</v>
      </c>
      <c r="M1118">
        <f>Books[[#This Row],[AVERAGE RATING]]*Books[[#This Row],[RATINGS COUNT]]</f>
        <v>0</v>
      </c>
    </row>
    <row r="1119" spans="1:13" x14ac:dyDescent="0.25">
      <c r="A1119" t="s">
        <v>2457</v>
      </c>
      <c r="B1119" t="s">
        <v>2458</v>
      </c>
      <c r="C1119">
        <v>169</v>
      </c>
      <c r="D1119" t="s">
        <v>32</v>
      </c>
      <c r="E1119" t="s">
        <v>3862</v>
      </c>
      <c r="F1119" t="s">
        <v>2459</v>
      </c>
      <c r="G1119" t="s">
        <v>4</v>
      </c>
      <c r="H1119">
        <v>0</v>
      </c>
      <c r="I1119">
        <v>0</v>
      </c>
      <c r="J1119">
        <v>2014</v>
      </c>
      <c r="K1119" t="str">
        <f>IF(Books[[#This Row],[AVERAGE RATING]]&gt;=4,"High",IF(Books[[#This Row],[AVERAGE RATING]]&gt;=3,"Medium","Low"))</f>
        <v>Low</v>
      </c>
      <c r="L1119" t="str">
        <f>IF(Books[[#This Row],[AVERAGE RATING]]&gt;10000,"Popular","Average")</f>
        <v>Average</v>
      </c>
      <c r="M1119">
        <f>Books[[#This Row],[AVERAGE RATING]]*Books[[#This Row],[RATINGS COUNT]]</f>
        <v>0</v>
      </c>
    </row>
    <row r="1120" spans="1:13" x14ac:dyDescent="0.25">
      <c r="A1120" t="s">
        <v>2460</v>
      </c>
      <c r="B1120" t="s">
        <v>1318</v>
      </c>
      <c r="C1120">
        <v>1598</v>
      </c>
      <c r="D1120" t="s">
        <v>11</v>
      </c>
      <c r="E1120" t="s">
        <v>3646</v>
      </c>
      <c r="F1120" t="s">
        <v>73</v>
      </c>
      <c r="G1120" t="s">
        <v>4</v>
      </c>
      <c r="H1120">
        <v>0</v>
      </c>
      <c r="I1120">
        <v>0</v>
      </c>
      <c r="J1120">
        <v>2022</v>
      </c>
      <c r="K1120" t="str">
        <f>IF(Books[[#This Row],[AVERAGE RATING]]&gt;=4,"High",IF(Books[[#This Row],[AVERAGE RATING]]&gt;=3,"Medium","Low"))</f>
        <v>Low</v>
      </c>
      <c r="L1120" t="str">
        <f>IF(Books[[#This Row],[AVERAGE RATING]]&gt;10000,"Popular","Average")</f>
        <v>Average</v>
      </c>
      <c r="M1120">
        <f>Books[[#This Row],[AVERAGE RATING]]*Books[[#This Row],[RATINGS COUNT]]</f>
        <v>0</v>
      </c>
    </row>
    <row r="1121" spans="1:13" x14ac:dyDescent="0.25">
      <c r="A1121" t="s">
        <v>2461</v>
      </c>
      <c r="B1121" t="s">
        <v>2462</v>
      </c>
      <c r="C1121">
        <v>420</v>
      </c>
      <c r="D1121" t="s">
        <v>356</v>
      </c>
      <c r="E1121" t="s">
        <v>3056</v>
      </c>
      <c r="F1121" t="s">
        <v>276</v>
      </c>
      <c r="G1121" t="s">
        <v>4</v>
      </c>
      <c r="H1121">
        <v>0</v>
      </c>
      <c r="I1121">
        <v>0</v>
      </c>
      <c r="J1121">
        <v>2007</v>
      </c>
      <c r="K1121" t="str">
        <f>IF(Books[[#This Row],[AVERAGE RATING]]&gt;=4,"High",IF(Books[[#This Row],[AVERAGE RATING]]&gt;=3,"Medium","Low"))</f>
        <v>Low</v>
      </c>
      <c r="L1121" t="str">
        <f>IF(Books[[#This Row],[AVERAGE RATING]]&gt;10000,"Popular","Average")</f>
        <v>Average</v>
      </c>
      <c r="M1121">
        <f>Books[[#This Row],[AVERAGE RATING]]*Books[[#This Row],[RATINGS COUNT]]</f>
        <v>0</v>
      </c>
    </row>
    <row r="1122" spans="1:13" x14ac:dyDescent="0.25">
      <c r="A1122" t="s">
        <v>2463</v>
      </c>
      <c r="B1122" t="s">
        <v>2464</v>
      </c>
      <c r="C1122">
        <v>3101</v>
      </c>
      <c r="D1122" t="s">
        <v>11</v>
      </c>
      <c r="E1122" t="s">
        <v>3863</v>
      </c>
      <c r="F1122" t="s">
        <v>924</v>
      </c>
      <c r="G1122" t="s">
        <v>4</v>
      </c>
      <c r="H1122">
        <v>0</v>
      </c>
      <c r="I1122">
        <v>0</v>
      </c>
      <c r="J1122">
        <v>2017</v>
      </c>
      <c r="K1122" t="str">
        <f>IF(Books[[#This Row],[AVERAGE RATING]]&gt;=4,"High",IF(Books[[#This Row],[AVERAGE RATING]]&gt;=3,"Medium","Low"))</f>
        <v>Low</v>
      </c>
      <c r="L1122" t="str">
        <f>IF(Books[[#This Row],[AVERAGE RATING]]&gt;10000,"Popular","Average")</f>
        <v>Average</v>
      </c>
      <c r="M1122">
        <f>Books[[#This Row],[AVERAGE RATING]]*Books[[#This Row],[RATINGS COUNT]]</f>
        <v>0</v>
      </c>
    </row>
    <row r="1123" spans="1:13" x14ac:dyDescent="0.25">
      <c r="A1123" t="s">
        <v>2465</v>
      </c>
      <c r="B1123" t="s">
        <v>2466</v>
      </c>
      <c r="C1123">
        <v>155</v>
      </c>
      <c r="D1123" t="s">
        <v>11</v>
      </c>
      <c r="E1123" t="s">
        <v>3864</v>
      </c>
      <c r="F1123" t="s">
        <v>2467</v>
      </c>
      <c r="G1123" t="s">
        <v>4</v>
      </c>
      <c r="H1123">
        <v>0</v>
      </c>
      <c r="I1123">
        <v>0</v>
      </c>
      <c r="J1123">
        <v>2015</v>
      </c>
      <c r="K1123" t="str">
        <f>IF(Books[[#This Row],[AVERAGE RATING]]&gt;=4,"High",IF(Books[[#This Row],[AVERAGE RATING]]&gt;=3,"Medium","Low"))</f>
        <v>Low</v>
      </c>
      <c r="L1123" t="str">
        <f>IF(Books[[#This Row],[AVERAGE RATING]]&gt;10000,"Popular","Average")</f>
        <v>Average</v>
      </c>
      <c r="M1123">
        <f>Books[[#This Row],[AVERAGE RATING]]*Books[[#This Row],[RATINGS COUNT]]</f>
        <v>0</v>
      </c>
    </row>
    <row r="1124" spans="1:13" x14ac:dyDescent="0.25">
      <c r="A1124" t="s">
        <v>2468</v>
      </c>
      <c r="B1124" t="s">
        <v>2469</v>
      </c>
      <c r="C1124">
        <v>220</v>
      </c>
      <c r="D1124" t="s">
        <v>11</v>
      </c>
      <c r="E1124" t="s">
        <v>3260</v>
      </c>
      <c r="F1124" t="s">
        <v>426</v>
      </c>
      <c r="G1124" t="s">
        <v>4</v>
      </c>
      <c r="H1124">
        <v>0</v>
      </c>
      <c r="I1124">
        <v>0</v>
      </c>
      <c r="J1124">
        <v>1982</v>
      </c>
      <c r="K1124" t="str">
        <f>IF(Books[[#This Row],[AVERAGE RATING]]&gt;=4,"High",IF(Books[[#This Row],[AVERAGE RATING]]&gt;=3,"Medium","Low"))</f>
        <v>Low</v>
      </c>
      <c r="L1124" t="str">
        <f>IF(Books[[#This Row],[AVERAGE RATING]]&gt;10000,"Popular","Average")</f>
        <v>Average</v>
      </c>
      <c r="M1124">
        <f>Books[[#This Row],[AVERAGE RATING]]*Books[[#This Row],[RATINGS COUNT]]</f>
        <v>0</v>
      </c>
    </row>
    <row r="1125" spans="1:13" x14ac:dyDescent="0.25">
      <c r="A1125" t="s">
        <v>2470</v>
      </c>
      <c r="B1125" t="s">
        <v>2471</v>
      </c>
      <c r="C1125">
        <v>211</v>
      </c>
      <c r="D1125" t="s">
        <v>2</v>
      </c>
      <c r="E1125" t="s">
        <v>3865</v>
      </c>
      <c r="F1125" t="s">
        <v>76</v>
      </c>
      <c r="G1125" t="s">
        <v>4</v>
      </c>
      <c r="H1125">
        <v>0</v>
      </c>
      <c r="I1125">
        <v>0</v>
      </c>
      <c r="J1125">
        <v>2020</v>
      </c>
      <c r="K1125" t="str">
        <f>IF(Books[[#This Row],[AVERAGE RATING]]&gt;=4,"High",IF(Books[[#This Row],[AVERAGE RATING]]&gt;=3,"Medium","Low"))</f>
        <v>Low</v>
      </c>
      <c r="L1125" t="str">
        <f>IF(Books[[#This Row],[AVERAGE RATING]]&gt;10000,"Popular","Average")</f>
        <v>Average</v>
      </c>
      <c r="M1125">
        <f>Books[[#This Row],[AVERAGE RATING]]*Books[[#This Row],[RATINGS COUNT]]</f>
        <v>0</v>
      </c>
    </row>
    <row r="1126" spans="1:13" x14ac:dyDescent="0.25">
      <c r="A1126" t="s">
        <v>2472</v>
      </c>
      <c r="B1126" t="s">
        <v>2473</v>
      </c>
      <c r="C1126">
        <v>272</v>
      </c>
      <c r="D1126" t="s">
        <v>2</v>
      </c>
      <c r="E1126" t="s">
        <v>3136</v>
      </c>
      <c r="F1126" t="s">
        <v>1203</v>
      </c>
      <c r="G1126" t="s">
        <v>4</v>
      </c>
      <c r="H1126">
        <v>0</v>
      </c>
      <c r="I1126">
        <v>0</v>
      </c>
      <c r="J1126">
        <v>2013</v>
      </c>
      <c r="K1126" t="str">
        <f>IF(Books[[#This Row],[AVERAGE RATING]]&gt;=4,"High",IF(Books[[#This Row],[AVERAGE RATING]]&gt;=3,"Medium","Low"))</f>
        <v>Low</v>
      </c>
      <c r="L1126" t="str">
        <f>IF(Books[[#This Row],[AVERAGE RATING]]&gt;10000,"Popular","Average")</f>
        <v>Average</v>
      </c>
      <c r="M1126">
        <f>Books[[#This Row],[AVERAGE RATING]]*Books[[#This Row],[RATINGS COUNT]]</f>
        <v>0</v>
      </c>
    </row>
    <row r="1127" spans="1:13" x14ac:dyDescent="0.25">
      <c r="A1127" t="s">
        <v>2474</v>
      </c>
      <c r="B1127" t="s">
        <v>2475</v>
      </c>
      <c r="C1127">
        <v>462</v>
      </c>
      <c r="D1127" t="s">
        <v>11</v>
      </c>
      <c r="E1127" t="s">
        <v>3866</v>
      </c>
      <c r="F1127" t="s">
        <v>1488</v>
      </c>
      <c r="G1127" t="s">
        <v>4</v>
      </c>
      <c r="H1127">
        <v>0</v>
      </c>
      <c r="I1127">
        <v>0</v>
      </c>
      <c r="J1127">
        <v>2005</v>
      </c>
      <c r="K1127" t="str">
        <f>IF(Books[[#This Row],[AVERAGE RATING]]&gt;=4,"High",IF(Books[[#This Row],[AVERAGE RATING]]&gt;=3,"Medium","Low"))</f>
        <v>Low</v>
      </c>
      <c r="L1127" t="str">
        <f>IF(Books[[#This Row],[AVERAGE RATING]]&gt;10000,"Popular","Average")</f>
        <v>Average</v>
      </c>
      <c r="M1127">
        <f>Books[[#This Row],[AVERAGE RATING]]*Books[[#This Row],[RATINGS COUNT]]</f>
        <v>0</v>
      </c>
    </row>
    <row r="1128" spans="1:13" x14ac:dyDescent="0.25">
      <c r="A1128" t="s">
        <v>1322</v>
      </c>
      <c r="B1128" t="s">
        <v>2476</v>
      </c>
      <c r="C1128">
        <v>28</v>
      </c>
      <c r="D1128" t="s">
        <v>207</v>
      </c>
      <c r="E1128" t="s">
        <v>3153</v>
      </c>
      <c r="F1128" t="s">
        <v>1545</v>
      </c>
      <c r="G1128" t="s">
        <v>4</v>
      </c>
      <c r="H1128">
        <v>0</v>
      </c>
      <c r="I1128">
        <v>0</v>
      </c>
      <c r="J1128">
        <v>2001</v>
      </c>
      <c r="K1128" t="str">
        <f>IF(Books[[#This Row],[AVERAGE RATING]]&gt;=4,"High",IF(Books[[#This Row],[AVERAGE RATING]]&gt;=3,"Medium","Low"))</f>
        <v>Low</v>
      </c>
      <c r="L1128" t="str">
        <f>IF(Books[[#This Row],[AVERAGE RATING]]&gt;10000,"Popular","Average")</f>
        <v>Average</v>
      </c>
      <c r="M1128">
        <f>Books[[#This Row],[AVERAGE RATING]]*Books[[#This Row],[RATINGS COUNT]]</f>
        <v>0</v>
      </c>
    </row>
    <row r="1129" spans="1:13" x14ac:dyDescent="0.25">
      <c r="A1129" t="s">
        <v>1322</v>
      </c>
      <c r="B1129" t="s">
        <v>2477</v>
      </c>
      <c r="C1129">
        <v>116</v>
      </c>
      <c r="D1129" t="s">
        <v>207</v>
      </c>
      <c r="E1129" t="s">
        <v>3867</v>
      </c>
      <c r="F1129" t="s">
        <v>2478</v>
      </c>
      <c r="G1129" t="s">
        <v>4</v>
      </c>
      <c r="H1129">
        <v>0</v>
      </c>
      <c r="I1129">
        <v>0</v>
      </c>
      <c r="J1129">
        <v>2007</v>
      </c>
      <c r="K1129" t="str">
        <f>IF(Books[[#This Row],[AVERAGE RATING]]&gt;=4,"High",IF(Books[[#This Row],[AVERAGE RATING]]&gt;=3,"Medium","Low"))</f>
        <v>Low</v>
      </c>
      <c r="L1129" t="str">
        <f>IF(Books[[#This Row],[AVERAGE RATING]]&gt;10000,"Popular","Average")</f>
        <v>Average</v>
      </c>
      <c r="M1129">
        <f>Books[[#This Row],[AVERAGE RATING]]*Books[[#This Row],[RATINGS COUNT]]</f>
        <v>0</v>
      </c>
    </row>
    <row r="1130" spans="1:13" x14ac:dyDescent="0.25">
      <c r="A1130" t="s">
        <v>2479</v>
      </c>
      <c r="B1130" t="s">
        <v>2480</v>
      </c>
      <c r="C1130">
        <v>70</v>
      </c>
      <c r="D1130" t="s">
        <v>85</v>
      </c>
      <c r="E1130" t="s">
        <v>3868</v>
      </c>
      <c r="F1130" t="s">
        <v>1488</v>
      </c>
      <c r="G1130" t="s">
        <v>4</v>
      </c>
      <c r="H1130">
        <v>0</v>
      </c>
      <c r="I1130">
        <v>0</v>
      </c>
      <c r="J1130">
        <v>2010</v>
      </c>
      <c r="K1130" t="str">
        <f>IF(Books[[#This Row],[AVERAGE RATING]]&gt;=4,"High",IF(Books[[#This Row],[AVERAGE RATING]]&gt;=3,"Medium","Low"))</f>
        <v>Low</v>
      </c>
      <c r="L1130" t="str">
        <f>IF(Books[[#This Row],[AVERAGE RATING]]&gt;10000,"Popular","Average")</f>
        <v>Average</v>
      </c>
      <c r="M1130">
        <f>Books[[#This Row],[AVERAGE RATING]]*Books[[#This Row],[RATINGS COUNT]]</f>
        <v>0</v>
      </c>
    </row>
    <row r="1131" spans="1:13" x14ac:dyDescent="0.25">
      <c r="A1131" t="s">
        <v>2481</v>
      </c>
      <c r="B1131" t="s">
        <v>2482</v>
      </c>
      <c r="C1131">
        <v>37</v>
      </c>
      <c r="D1131" t="s">
        <v>135</v>
      </c>
      <c r="E1131" t="s">
        <v>3523</v>
      </c>
      <c r="F1131" t="s">
        <v>2483</v>
      </c>
      <c r="G1131" t="s">
        <v>2188</v>
      </c>
      <c r="H1131">
        <v>0</v>
      </c>
      <c r="I1131">
        <v>0</v>
      </c>
      <c r="J1131">
        <v>2019</v>
      </c>
      <c r="K1131" t="str">
        <f>IF(Books[[#This Row],[AVERAGE RATING]]&gt;=4,"High",IF(Books[[#This Row],[AVERAGE RATING]]&gt;=3,"Medium","Low"))</f>
        <v>Low</v>
      </c>
      <c r="L1131" t="str">
        <f>IF(Books[[#This Row],[AVERAGE RATING]]&gt;10000,"Popular","Average")</f>
        <v>Average</v>
      </c>
      <c r="M1131">
        <f>Books[[#This Row],[AVERAGE RATING]]*Books[[#This Row],[RATINGS COUNT]]</f>
        <v>0</v>
      </c>
    </row>
    <row r="1132" spans="1:13" x14ac:dyDescent="0.25">
      <c r="A1132" t="s">
        <v>2484</v>
      </c>
      <c r="B1132" t="s">
        <v>1322</v>
      </c>
      <c r="C1132">
        <v>379</v>
      </c>
      <c r="D1132" t="s">
        <v>54</v>
      </c>
      <c r="E1132" t="s">
        <v>3869</v>
      </c>
      <c r="F1132" t="s">
        <v>2485</v>
      </c>
      <c r="G1132" t="s">
        <v>2486</v>
      </c>
      <c r="H1132">
        <v>0</v>
      </c>
      <c r="I1132">
        <v>0</v>
      </c>
      <c r="J1132">
        <v>2021</v>
      </c>
      <c r="K1132" t="str">
        <f>IF(Books[[#This Row],[AVERAGE RATING]]&gt;=4,"High",IF(Books[[#This Row],[AVERAGE RATING]]&gt;=3,"Medium","Low"))</f>
        <v>Low</v>
      </c>
      <c r="L1132" t="str">
        <f>IF(Books[[#This Row],[AVERAGE RATING]]&gt;10000,"Popular","Average")</f>
        <v>Average</v>
      </c>
      <c r="M1132">
        <f>Books[[#This Row],[AVERAGE RATING]]*Books[[#This Row],[RATINGS COUNT]]</f>
        <v>0</v>
      </c>
    </row>
    <row r="1133" spans="1:13" x14ac:dyDescent="0.25">
      <c r="A1133" t="s">
        <v>2487</v>
      </c>
      <c r="B1133" t="s">
        <v>2488</v>
      </c>
      <c r="C1133">
        <v>302</v>
      </c>
      <c r="D1133" t="s">
        <v>79</v>
      </c>
      <c r="E1133" t="s">
        <v>3870</v>
      </c>
      <c r="F1133" t="s">
        <v>2489</v>
      </c>
      <c r="G1133" t="s">
        <v>4</v>
      </c>
      <c r="H1133">
        <v>0</v>
      </c>
      <c r="I1133">
        <v>0</v>
      </c>
      <c r="J1133">
        <v>2009</v>
      </c>
      <c r="K1133" t="str">
        <f>IF(Books[[#This Row],[AVERAGE RATING]]&gt;=4,"High",IF(Books[[#This Row],[AVERAGE RATING]]&gt;=3,"Medium","Low"))</f>
        <v>Low</v>
      </c>
      <c r="L1133" t="str">
        <f>IF(Books[[#This Row],[AVERAGE RATING]]&gt;10000,"Popular","Average")</f>
        <v>Average</v>
      </c>
      <c r="M1133">
        <f>Books[[#This Row],[AVERAGE RATING]]*Books[[#This Row],[RATINGS COUNT]]</f>
        <v>0</v>
      </c>
    </row>
    <row r="1134" spans="1:13" x14ac:dyDescent="0.25">
      <c r="A1134" t="s">
        <v>2490</v>
      </c>
      <c r="B1134" t="s">
        <v>2491</v>
      </c>
      <c r="C1134">
        <v>707</v>
      </c>
      <c r="D1134" t="s">
        <v>11</v>
      </c>
      <c r="E1134" t="s">
        <v>3871</v>
      </c>
      <c r="F1134" t="s">
        <v>100</v>
      </c>
      <c r="G1134" t="s">
        <v>4</v>
      </c>
      <c r="H1134">
        <v>0</v>
      </c>
      <c r="I1134">
        <v>0</v>
      </c>
      <c r="J1134">
        <v>2013</v>
      </c>
      <c r="K1134" t="str">
        <f>IF(Books[[#This Row],[AVERAGE RATING]]&gt;=4,"High",IF(Books[[#This Row],[AVERAGE RATING]]&gt;=3,"Medium","Low"))</f>
        <v>Low</v>
      </c>
      <c r="L1134" t="str">
        <f>IF(Books[[#This Row],[AVERAGE RATING]]&gt;10000,"Popular","Average")</f>
        <v>Average</v>
      </c>
      <c r="M1134">
        <f>Books[[#This Row],[AVERAGE RATING]]*Books[[#This Row],[RATINGS COUNT]]</f>
        <v>0</v>
      </c>
    </row>
    <row r="1135" spans="1:13" x14ac:dyDescent="0.25">
      <c r="A1135" t="s">
        <v>1322</v>
      </c>
      <c r="B1135" t="s">
        <v>1373</v>
      </c>
      <c r="C1135">
        <v>34</v>
      </c>
      <c r="D1135" t="s">
        <v>207</v>
      </c>
      <c r="E1135" t="s">
        <v>3872</v>
      </c>
      <c r="F1135" t="s">
        <v>2179</v>
      </c>
      <c r="G1135" t="s">
        <v>4</v>
      </c>
      <c r="H1135">
        <v>0</v>
      </c>
      <c r="I1135">
        <v>0</v>
      </c>
      <c r="J1135">
        <v>2018</v>
      </c>
      <c r="K1135" t="str">
        <f>IF(Books[[#This Row],[AVERAGE RATING]]&gt;=4,"High",IF(Books[[#This Row],[AVERAGE RATING]]&gt;=3,"Medium","Low"))</f>
        <v>Low</v>
      </c>
      <c r="L1135" t="str">
        <f>IF(Books[[#This Row],[AVERAGE RATING]]&gt;10000,"Popular","Average")</f>
        <v>Average</v>
      </c>
      <c r="M1135">
        <f>Books[[#This Row],[AVERAGE RATING]]*Books[[#This Row],[RATINGS COUNT]]</f>
        <v>0</v>
      </c>
    </row>
    <row r="1136" spans="1:13" x14ac:dyDescent="0.25">
      <c r="A1136" t="s">
        <v>2492</v>
      </c>
      <c r="B1136" t="s">
        <v>2493</v>
      </c>
      <c r="C1136">
        <v>38</v>
      </c>
      <c r="D1136" t="s">
        <v>135</v>
      </c>
      <c r="E1136" t="s">
        <v>3873</v>
      </c>
      <c r="F1136" t="s">
        <v>55</v>
      </c>
      <c r="G1136" t="s">
        <v>4</v>
      </c>
      <c r="H1136">
        <v>0</v>
      </c>
      <c r="I1136">
        <v>0</v>
      </c>
      <c r="J1136">
        <v>2018</v>
      </c>
      <c r="K1136" t="str">
        <f>IF(Books[[#This Row],[AVERAGE RATING]]&gt;=4,"High",IF(Books[[#This Row],[AVERAGE RATING]]&gt;=3,"Medium","Low"))</f>
        <v>Low</v>
      </c>
      <c r="L1136" t="str">
        <f>IF(Books[[#This Row],[AVERAGE RATING]]&gt;10000,"Popular","Average")</f>
        <v>Average</v>
      </c>
      <c r="M1136">
        <f>Books[[#This Row],[AVERAGE RATING]]*Books[[#This Row],[RATINGS COUNT]]</f>
        <v>0</v>
      </c>
    </row>
    <row r="1137" spans="1:13" x14ac:dyDescent="0.25">
      <c r="A1137" t="s">
        <v>1322</v>
      </c>
      <c r="B1137" t="s">
        <v>2494</v>
      </c>
      <c r="C1137">
        <v>130</v>
      </c>
      <c r="D1137" t="s">
        <v>2495</v>
      </c>
      <c r="E1137" t="s">
        <v>3149</v>
      </c>
      <c r="F1137" t="s">
        <v>807</v>
      </c>
      <c r="G1137" t="s">
        <v>4</v>
      </c>
      <c r="H1137">
        <v>0</v>
      </c>
      <c r="I1137">
        <v>0</v>
      </c>
      <c r="J1137">
        <v>2009</v>
      </c>
      <c r="K1137" t="str">
        <f>IF(Books[[#This Row],[AVERAGE RATING]]&gt;=4,"High",IF(Books[[#This Row],[AVERAGE RATING]]&gt;=3,"Medium","Low"))</f>
        <v>Low</v>
      </c>
      <c r="L1137" t="str">
        <f>IF(Books[[#This Row],[AVERAGE RATING]]&gt;10000,"Popular","Average")</f>
        <v>Average</v>
      </c>
      <c r="M1137">
        <f>Books[[#This Row],[AVERAGE RATING]]*Books[[#This Row],[RATINGS COUNT]]</f>
        <v>0</v>
      </c>
    </row>
    <row r="1138" spans="1:13" x14ac:dyDescent="0.25">
      <c r="A1138" t="s">
        <v>1322</v>
      </c>
      <c r="B1138" t="s">
        <v>2496</v>
      </c>
      <c r="C1138">
        <v>133</v>
      </c>
      <c r="D1138" t="s">
        <v>207</v>
      </c>
      <c r="E1138" t="s">
        <v>3874</v>
      </c>
      <c r="F1138" t="s">
        <v>1523</v>
      </c>
      <c r="G1138" t="s">
        <v>4</v>
      </c>
      <c r="H1138">
        <v>0</v>
      </c>
      <c r="I1138">
        <v>0</v>
      </c>
      <c r="J1138">
        <v>2013</v>
      </c>
      <c r="K1138" t="str">
        <f>IF(Books[[#This Row],[AVERAGE RATING]]&gt;=4,"High",IF(Books[[#This Row],[AVERAGE RATING]]&gt;=3,"Medium","Low"))</f>
        <v>Low</v>
      </c>
      <c r="L1138" t="str">
        <f>IF(Books[[#This Row],[AVERAGE RATING]]&gt;10000,"Popular","Average")</f>
        <v>Average</v>
      </c>
      <c r="M1138">
        <f>Books[[#This Row],[AVERAGE RATING]]*Books[[#This Row],[RATINGS COUNT]]</f>
        <v>0</v>
      </c>
    </row>
    <row r="1139" spans="1:13" x14ac:dyDescent="0.25">
      <c r="A1139" t="s">
        <v>2497</v>
      </c>
      <c r="B1139" t="s">
        <v>2498</v>
      </c>
      <c r="C1139">
        <v>114</v>
      </c>
      <c r="D1139" t="s">
        <v>207</v>
      </c>
      <c r="E1139" t="s">
        <v>3765</v>
      </c>
      <c r="F1139" t="s">
        <v>1545</v>
      </c>
      <c r="G1139" t="s">
        <v>4</v>
      </c>
      <c r="H1139">
        <v>0</v>
      </c>
      <c r="I1139">
        <v>0</v>
      </c>
      <c r="J1139">
        <v>2011</v>
      </c>
      <c r="K1139" t="str">
        <f>IF(Books[[#This Row],[AVERAGE RATING]]&gt;=4,"High",IF(Books[[#This Row],[AVERAGE RATING]]&gt;=3,"Medium","Low"))</f>
        <v>Low</v>
      </c>
      <c r="L1139" t="str">
        <f>IF(Books[[#This Row],[AVERAGE RATING]]&gt;10000,"Popular","Average")</f>
        <v>Average</v>
      </c>
      <c r="M1139">
        <f>Books[[#This Row],[AVERAGE RATING]]*Books[[#This Row],[RATINGS COUNT]]</f>
        <v>0</v>
      </c>
    </row>
    <row r="1140" spans="1:13" x14ac:dyDescent="0.25">
      <c r="A1140" t="s">
        <v>2499</v>
      </c>
      <c r="B1140" t="s">
        <v>2500</v>
      </c>
      <c r="C1140">
        <v>133</v>
      </c>
      <c r="D1140" t="s">
        <v>2</v>
      </c>
      <c r="E1140" t="s">
        <v>3875</v>
      </c>
      <c r="F1140" t="s">
        <v>183</v>
      </c>
      <c r="G1140" t="s">
        <v>4</v>
      </c>
      <c r="H1140">
        <v>0</v>
      </c>
      <c r="I1140">
        <v>0</v>
      </c>
      <c r="J1140">
        <v>2025</v>
      </c>
      <c r="K1140" t="str">
        <f>IF(Books[[#This Row],[AVERAGE RATING]]&gt;=4,"High",IF(Books[[#This Row],[AVERAGE RATING]]&gt;=3,"Medium","Low"))</f>
        <v>Low</v>
      </c>
      <c r="L1140" t="str">
        <f>IF(Books[[#This Row],[AVERAGE RATING]]&gt;10000,"Popular","Average")</f>
        <v>Average</v>
      </c>
      <c r="M1140">
        <f>Books[[#This Row],[AVERAGE RATING]]*Books[[#This Row],[RATINGS COUNT]]</f>
        <v>0</v>
      </c>
    </row>
    <row r="1141" spans="1:13" x14ac:dyDescent="0.25">
      <c r="A1141" t="s">
        <v>2501</v>
      </c>
      <c r="B1141" t="s">
        <v>1703</v>
      </c>
      <c r="C1141">
        <v>337</v>
      </c>
      <c r="D1141" t="s">
        <v>158</v>
      </c>
      <c r="E1141" t="s">
        <v>3876</v>
      </c>
      <c r="F1141" t="s">
        <v>2502</v>
      </c>
      <c r="G1141" t="s">
        <v>4</v>
      </c>
      <c r="H1141">
        <v>0</v>
      </c>
      <c r="I1141">
        <v>0</v>
      </c>
      <c r="J1141">
        <v>2009</v>
      </c>
      <c r="K1141" t="str">
        <f>IF(Books[[#This Row],[AVERAGE RATING]]&gt;=4,"High",IF(Books[[#This Row],[AVERAGE RATING]]&gt;=3,"Medium","Low"))</f>
        <v>Low</v>
      </c>
      <c r="L1141" t="str">
        <f>IF(Books[[#This Row],[AVERAGE RATING]]&gt;10000,"Popular","Average")</f>
        <v>Average</v>
      </c>
      <c r="M1141">
        <f>Books[[#This Row],[AVERAGE RATING]]*Books[[#This Row],[RATINGS COUNT]]</f>
        <v>0</v>
      </c>
    </row>
    <row r="1142" spans="1:13" x14ac:dyDescent="0.25">
      <c r="A1142" t="s">
        <v>2503</v>
      </c>
      <c r="B1142" t="s">
        <v>1703</v>
      </c>
      <c r="C1142">
        <v>48</v>
      </c>
      <c r="D1142" t="s">
        <v>38</v>
      </c>
      <c r="E1142" t="s">
        <v>3156</v>
      </c>
      <c r="F1142" t="s">
        <v>2504</v>
      </c>
      <c r="G1142" t="s">
        <v>4</v>
      </c>
      <c r="H1142">
        <v>0</v>
      </c>
      <c r="I1142">
        <v>0</v>
      </c>
      <c r="J1142">
        <v>2021</v>
      </c>
      <c r="K1142" t="str">
        <f>IF(Books[[#This Row],[AVERAGE RATING]]&gt;=4,"High",IF(Books[[#This Row],[AVERAGE RATING]]&gt;=3,"Medium","Low"))</f>
        <v>Low</v>
      </c>
      <c r="L1142" t="str">
        <f>IF(Books[[#This Row],[AVERAGE RATING]]&gt;10000,"Popular","Average")</f>
        <v>Average</v>
      </c>
      <c r="M1142">
        <f>Books[[#This Row],[AVERAGE RATING]]*Books[[#This Row],[RATINGS COUNT]]</f>
        <v>0</v>
      </c>
    </row>
    <row r="1143" spans="1:13" x14ac:dyDescent="0.25">
      <c r="A1143" t="s">
        <v>2505</v>
      </c>
      <c r="B1143" t="s">
        <v>1703</v>
      </c>
      <c r="C1143">
        <v>32</v>
      </c>
      <c r="D1143" t="s">
        <v>158</v>
      </c>
      <c r="E1143" t="s">
        <v>3156</v>
      </c>
      <c r="F1143" t="s">
        <v>2504</v>
      </c>
      <c r="G1143" t="s">
        <v>4</v>
      </c>
      <c r="H1143">
        <v>5</v>
      </c>
      <c r="I1143">
        <v>1</v>
      </c>
      <c r="J1143">
        <v>2021</v>
      </c>
      <c r="K1143" t="str">
        <f>IF(Books[[#This Row],[AVERAGE RATING]]&gt;=4,"High",IF(Books[[#This Row],[AVERAGE RATING]]&gt;=3,"Medium","Low"))</f>
        <v>High</v>
      </c>
      <c r="L1143" t="str">
        <f>IF(Books[[#This Row],[AVERAGE RATING]]&gt;10000,"Popular","Average")</f>
        <v>Average</v>
      </c>
      <c r="M1143">
        <f>Books[[#This Row],[AVERAGE RATING]]*Books[[#This Row],[RATINGS COUNT]]</f>
        <v>5</v>
      </c>
    </row>
    <row r="1144" spans="1:13" x14ac:dyDescent="0.25">
      <c r="A1144" t="s">
        <v>2506</v>
      </c>
      <c r="B1144" t="s">
        <v>1703</v>
      </c>
      <c r="C1144">
        <v>102</v>
      </c>
      <c r="D1144" t="s">
        <v>11</v>
      </c>
      <c r="E1144" t="s">
        <v>3877</v>
      </c>
      <c r="F1144" t="s">
        <v>2507</v>
      </c>
      <c r="G1144" t="s">
        <v>4</v>
      </c>
      <c r="H1144">
        <v>0</v>
      </c>
      <c r="I1144">
        <v>0</v>
      </c>
      <c r="J1144">
        <v>2024</v>
      </c>
      <c r="K1144" t="str">
        <f>IF(Books[[#This Row],[AVERAGE RATING]]&gt;=4,"High",IF(Books[[#This Row],[AVERAGE RATING]]&gt;=3,"Medium","Low"))</f>
        <v>Low</v>
      </c>
      <c r="L1144" t="str">
        <f>IF(Books[[#This Row],[AVERAGE RATING]]&gt;10000,"Popular","Average")</f>
        <v>Average</v>
      </c>
      <c r="M1144">
        <f>Books[[#This Row],[AVERAGE RATING]]*Books[[#This Row],[RATINGS COUNT]]</f>
        <v>0</v>
      </c>
    </row>
    <row r="1145" spans="1:13" x14ac:dyDescent="0.25">
      <c r="A1145" t="s">
        <v>2508</v>
      </c>
      <c r="B1145" t="s">
        <v>1703</v>
      </c>
      <c r="C1145">
        <v>1303</v>
      </c>
      <c r="D1145" t="s">
        <v>158</v>
      </c>
      <c r="E1145" t="s">
        <v>3646</v>
      </c>
      <c r="F1145" t="s">
        <v>73</v>
      </c>
      <c r="G1145" t="s">
        <v>4</v>
      </c>
      <c r="H1145">
        <v>0</v>
      </c>
      <c r="I1145">
        <v>0</v>
      </c>
      <c r="J1145">
        <v>2022</v>
      </c>
      <c r="K1145" t="str">
        <f>IF(Books[[#This Row],[AVERAGE RATING]]&gt;=4,"High",IF(Books[[#This Row],[AVERAGE RATING]]&gt;=3,"Medium","Low"))</f>
        <v>Low</v>
      </c>
      <c r="L1145" t="str">
        <f>IF(Books[[#This Row],[AVERAGE RATING]]&gt;10000,"Popular","Average")</f>
        <v>Average</v>
      </c>
      <c r="M1145">
        <f>Books[[#This Row],[AVERAGE RATING]]*Books[[#This Row],[RATINGS COUNT]]</f>
        <v>0</v>
      </c>
    </row>
    <row r="1146" spans="1:13" x14ac:dyDescent="0.25">
      <c r="A1146" t="s">
        <v>2509</v>
      </c>
      <c r="B1146" t="s">
        <v>1703</v>
      </c>
      <c r="C1146">
        <v>48</v>
      </c>
      <c r="D1146" t="s">
        <v>158</v>
      </c>
      <c r="E1146" t="s">
        <v>3878</v>
      </c>
      <c r="F1146" t="s">
        <v>2504</v>
      </c>
      <c r="G1146" t="s">
        <v>4</v>
      </c>
      <c r="H1146">
        <v>0</v>
      </c>
      <c r="I1146">
        <v>0</v>
      </c>
      <c r="J1146">
        <v>2022</v>
      </c>
      <c r="K1146" t="str">
        <f>IF(Books[[#This Row],[AVERAGE RATING]]&gt;=4,"High",IF(Books[[#This Row],[AVERAGE RATING]]&gt;=3,"Medium","Low"))</f>
        <v>Low</v>
      </c>
      <c r="L1146" t="str">
        <f>IF(Books[[#This Row],[AVERAGE RATING]]&gt;10000,"Popular","Average")</f>
        <v>Average</v>
      </c>
      <c r="M1146">
        <f>Books[[#This Row],[AVERAGE RATING]]*Books[[#This Row],[RATINGS COUNT]]</f>
        <v>0</v>
      </c>
    </row>
    <row r="1147" spans="1:13" x14ac:dyDescent="0.25">
      <c r="A1147" t="s">
        <v>2510</v>
      </c>
      <c r="B1147" t="s">
        <v>1703</v>
      </c>
      <c r="C1147">
        <v>265</v>
      </c>
      <c r="D1147" t="s">
        <v>11</v>
      </c>
      <c r="E1147" t="s">
        <v>3879</v>
      </c>
      <c r="F1147" t="s">
        <v>73</v>
      </c>
      <c r="G1147" t="s">
        <v>4</v>
      </c>
      <c r="H1147">
        <v>0</v>
      </c>
      <c r="I1147">
        <v>0</v>
      </c>
      <c r="J1147">
        <v>2022</v>
      </c>
      <c r="K1147" t="str">
        <f>IF(Books[[#This Row],[AVERAGE RATING]]&gt;=4,"High",IF(Books[[#This Row],[AVERAGE RATING]]&gt;=3,"Medium","Low"))</f>
        <v>Low</v>
      </c>
      <c r="L1147" t="str">
        <f>IF(Books[[#This Row],[AVERAGE RATING]]&gt;10000,"Popular","Average")</f>
        <v>Average</v>
      </c>
      <c r="M1147">
        <f>Books[[#This Row],[AVERAGE RATING]]*Books[[#This Row],[RATINGS COUNT]]</f>
        <v>0</v>
      </c>
    </row>
    <row r="1148" spans="1:13" x14ac:dyDescent="0.25">
      <c r="A1148" t="s">
        <v>2511</v>
      </c>
      <c r="B1148" t="s">
        <v>1703</v>
      </c>
      <c r="C1148">
        <v>259</v>
      </c>
      <c r="D1148" t="s">
        <v>11</v>
      </c>
      <c r="E1148" t="s">
        <v>3880</v>
      </c>
      <c r="F1148" t="s">
        <v>2502</v>
      </c>
      <c r="G1148" t="s">
        <v>4</v>
      </c>
      <c r="H1148">
        <v>0</v>
      </c>
      <c r="I1148">
        <v>0</v>
      </c>
      <c r="J1148">
        <v>1969</v>
      </c>
      <c r="K1148" t="str">
        <f>IF(Books[[#This Row],[AVERAGE RATING]]&gt;=4,"High",IF(Books[[#This Row],[AVERAGE RATING]]&gt;=3,"Medium","Low"))</f>
        <v>Low</v>
      </c>
      <c r="L1148" t="str">
        <f>IF(Books[[#This Row],[AVERAGE RATING]]&gt;10000,"Popular","Average")</f>
        <v>Average</v>
      </c>
      <c r="M1148">
        <f>Books[[#This Row],[AVERAGE RATING]]*Books[[#This Row],[RATINGS COUNT]]</f>
        <v>0</v>
      </c>
    </row>
    <row r="1149" spans="1:13" x14ac:dyDescent="0.25">
      <c r="A1149" t="s">
        <v>2512</v>
      </c>
      <c r="B1149" t="s">
        <v>1729</v>
      </c>
      <c r="C1149">
        <v>1292</v>
      </c>
      <c r="D1149" t="s">
        <v>11</v>
      </c>
      <c r="E1149" t="s">
        <v>3155</v>
      </c>
      <c r="F1149" t="s">
        <v>1605</v>
      </c>
      <c r="G1149" t="s">
        <v>4</v>
      </c>
      <c r="H1149">
        <v>0</v>
      </c>
      <c r="I1149">
        <v>0</v>
      </c>
      <c r="J1149">
        <v>2006</v>
      </c>
      <c r="K1149" t="str">
        <f>IF(Books[[#This Row],[AVERAGE RATING]]&gt;=4,"High",IF(Books[[#This Row],[AVERAGE RATING]]&gt;=3,"Medium","Low"))</f>
        <v>Low</v>
      </c>
      <c r="L1149" t="str">
        <f>IF(Books[[#This Row],[AVERAGE RATING]]&gt;10000,"Popular","Average")</f>
        <v>Average</v>
      </c>
      <c r="M1149">
        <f>Books[[#This Row],[AVERAGE RATING]]*Books[[#This Row],[RATINGS COUNT]]</f>
        <v>0</v>
      </c>
    </row>
    <row r="1150" spans="1:13" x14ac:dyDescent="0.25">
      <c r="A1150" t="s">
        <v>2513</v>
      </c>
      <c r="B1150" t="s">
        <v>902</v>
      </c>
      <c r="C1150">
        <v>220</v>
      </c>
      <c r="D1150" t="s">
        <v>47</v>
      </c>
      <c r="E1150" t="s">
        <v>3061</v>
      </c>
      <c r="F1150" t="s">
        <v>148</v>
      </c>
      <c r="G1150" t="s">
        <v>4</v>
      </c>
      <c r="H1150">
        <v>3</v>
      </c>
      <c r="I1150">
        <v>2</v>
      </c>
      <c r="J1150">
        <v>1902</v>
      </c>
      <c r="K1150" t="str">
        <f>IF(Books[[#This Row],[AVERAGE RATING]]&gt;=4,"High",IF(Books[[#This Row],[AVERAGE RATING]]&gt;=3,"Medium","Low"))</f>
        <v>Medium</v>
      </c>
      <c r="L1150" t="str">
        <f>IF(Books[[#This Row],[AVERAGE RATING]]&gt;10000,"Popular","Average")</f>
        <v>Average</v>
      </c>
      <c r="M1150">
        <f>Books[[#This Row],[AVERAGE RATING]]*Books[[#This Row],[RATINGS COUNT]]</f>
        <v>6</v>
      </c>
    </row>
    <row r="1151" spans="1:13" x14ac:dyDescent="0.25">
      <c r="A1151" t="s">
        <v>2514</v>
      </c>
      <c r="B1151" t="s">
        <v>2336</v>
      </c>
      <c r="C1151">
        <v>116</v>
      </c>
      <c r="D1151" t="s">
        <v>2</v>
      </c>
      <c r="E1151" t="s">
        <v>3881</v>
      </c>
      <c r="F1151" t="s">
        <v>2337</v>
      </c>
      <c r="G1151" t="s">
        <v>4</v>
      </c>
      <c r="H1151">
        <v>0</v>
      </c>
      <c r="I1151">
        <v>0</v>
      </c>
      <c r="J1151">
        <v>2012</v>
      </c>
      <c r="K1151" t="str">
        <f>IF(Books[[#This Row],[AVERAGE RATING]]&gt;=4,"High",IF(Books[[#This Row],[AVERAGE RATING]]&gt;=3,"Medium","Low"))</f>
        <v>Low</v>
      </c>
      <c r="L1151" t="str">
        <f>IF(Books[[#This Row],[AVERAGE RATING]]&gt;10000,"Popular","Average")</f>
        <v>Average</v>
      </c>
      <c r="M1151">
        <f>Books[[#This Row],[AVERAGE RATING]]*Books[[#This Row],[RATINGS COUNT]]</f>
        <v>0</v>
      </c>
    </row>
    <row r="1152" spans="1:13" x14ac:dyDescent="0.25">
      <c r="A1152" t="s">
        <v>2515</v>
      </c>
      <c r="B1152" t="s">
        <v>2516</v>
      </c>
      <c r="C1152">
        <v>326</v>
      </c>
      <c r="D1152" t="s">
        <v>79</v>
      </c>
      <c r="E1152" t="s">
        <v>3452</v>
      </c>
      <c r="F1152" t="s">
        <v>2023</v>
      </c>
      <c r="G1152" t="s">
        <v>4</v>
      </c>
      <c r="H1152">
        <v>0</v>
      </c>
      <c r="I1152">
        <v>0</v>
      </c>
      <c r="J1152">
        <v>2012</v>
      </c>
      <c r="K1152" t="str">
        <f>IF(Books[[#This Row],[AVERAGE RATING]]&gt;=4,"High",IF(Books[[#This Row],[AVERAGE RATING]]&gt;=3,"Medium","Low"))</f>
        <v>Low</v>
      </c>
      <c r="L1152" t="str">
        <f>IF(Books[[#This Row],[AVERAGE RATING]]&gt;10000,"Popular","Average")</f>
        <v>Average</v>
      </c>
      <c r="M1152">
        <f>Books[[#This Row],[AVERAGE RATING]]*Books[[#This Row],[RATINGS COUNT]]</f>
        <v>0</v>
      </c>
    </row>
    <row r="1153" spans="1:13" x14ac:dyDescent="0.25">
      <c r="A1153" t="s">
        <v>2517</v>
      </c>
      <c r="B1153" t="s">
        <v>2518</v>
      </c>
      <c r="C1153">
        <v>114</v>
      </c>
      <c r="D1153" t="s">
        <v>207</v>
      </c>
      <c r="E1153" t="s">
        <v>3658</v>
      </c>
      <c r="F1153" t="s">
        <v>1431</v>
      </c>
      <c r="G1153" t="s">
        <v>4</v>
      </c>
      <c r="H1153">
        <v>0</v>
      </c>
      <c r="I1153">
        <v>0</v>
      </c>
      <c r="J1153">
        <v>2012</v>
      </c>
      <c r="K1153" t="str">
        <f>IF(Books[[#This Row],[AVERAGE RATING]]&gt;=4,"High",IF(Books[[#This Row],[AVERAGE RATING]]&gt;=3,"Medium","Low"))</f>
        <v>Low</v>
      </c>
      <c r="L1153" t="str">
        <f>IF(Books[[#This Row],[AVERAGE RATING]]&gt;10000,"Popular","Average")</f>
        <v>Average</v>
      </c>
      <c r="M1153">
        <f>Books[[#This Row],[AVERAGE RATING]]*Books[[#This Row],[RATINGS COUNT]]</f>
        <v>0</v>
      </c>
    </row>
    <row r="1154" spans="1:13" x14ac:dyDescent="0.25">
      <c r="A1154" t="s">
        <v>1404</v>
      </c>
      <c r="B1154" t="s">
        <v>2519</v>
      </c>
      <c r="C1154">
        <v>389</v>
      </c>
      <c r="D1154" t="s">
        <v>45</v>
      </c>
      <c r="E1154" t="s">
        <v>3882</v>
      </c>
      <c r="F1154" t="s">
        <v>2502</v>
      </c>
      <c r="G1154" t="s">
        <v>4</v>
      </c>
      <c r="H1154">
        <v>0</v>
      </c>
      <c r="I1154">
        <v>0</v>
      </c>
      <c r="J1154">
        <v>2014</v>
      </c>
      <c r="K1154" t="str">
        <f>IF(Books[[#This Row],[AVERAGE RATING]]&gt;=4,"High",IF(Books[[#This Row],[AVERAGE RATING]]&gt;=3,"Medium","Low"))</f>
        <v>Low</v>
      </c>
      <c r="L1154" t="str">
        <f>IF(Books[[#This Row],[AVERAGE RATING]]&gt;10000,"Popular","Average")</f>
        <v>Average</v>
      </c>
      <c r="M1154">
        <f>Books[[#This Row],[AVERAGE RATING]]*Books[[#This Row],[RATINGS COUNT]]</f>
        <v>0</v>
      </c>
    </row>
    <row r="1155" spans="1:13" x14ac:dyDescent="0.25">
      <c r="A1155" t="s">
        <v>2520</v>
      </c>
      <c r="B1155" t="s">
        <v>2521</v>
      </c>
      <c r="C1155">
        <v>810</v>
      </c>
      <c r="D1155" t="s">
        <v>2</v>
      </c>
      <c r="E1155" t="s">
        <v>3056</v>
      </c>
      <c r="F1155" t="s">
        <v>60</v>
      </c>
      <c r="G1155" t="s">
        <v>4</v>
      </c>
      <c r="H1155">
        <v>5</v>
      </c>
      <c r="I1155">
        <v>2</v>
      </c>
      <c r="J1155">
        <v>2007</v>
      </c>
      <c r="K1155" t="str">
        <f>IF(Books[[#This Row],[AVERAGE RATING]]&gt;=4,"High",IF(Books[[#This Row],[AVERAGE RATING]]&gt;=3,"Medium","Low"))</f>
        <v>High</v>
      </c>
      <c r="L1155" t="str">
        <f>IF(Books[[#This Row],[AVERAGE RATING]]&gt;10000,"Popular","Average")</f>
        <v>Average</v>
      </c>
      <c r="M1155">
        <f>Books[[#This Row],[AVERAGE RATING]]*Books[[#This Row],[RATINGS COUNT]]</f>
        <v>10</v>
      </c>
    </row>
    <row r="1156" spans="1:13" x14ac:dyDescent="0.25">
      <c r="A1156" t="s">
        <v>2522</v>
      </c>
      <c r="B1156" t="s">
        <v>1428</v>
      </c>
      <c r="C1156">
        <v>280</v>
      </c>
      <c r="D1156" t="s">
        <v>59</v>
      </c>
      <c r="E1156" t="s">
        <v>3883</v>
      </c>
      <c r="F1156" t="s">
        <v>42</v>
      </c>
      <c r="G1156" t="s">
        <v>4</v>
      </c>
      <c r="H1156">
        <v>0</v>
      </c>
      <c r="I1156">
        <v>0</v>
      </c>
      <c r="J1156">
        <v>2001</v>
      </c>
      <c r="K1156" t="str">
        <f>IF(Books[[#This Row],[AVERAGE RATING]]&gt;=4,"High",IF(Books[[#This Row],[AVERAGE RATING]]&gt;=3,"Medium","Low"))</f>
        <v>Low</v>
      </c>
      <c r="L1156" t="str">
        <f>IF(Books[[#This Row],[AVERAGE RATING]]&gt;10000,"Popular","Average")</f>
        <v>Average</v>
      </c>
      <c r="M1156">
        <f>Books[[#This Row],[AVERAGE RATING]]*Books[[#This Row],[RATINGS COUNT]]</f>
        <v>0</v>
      </c>
    </row>
    <row r="1157" spans="1:13" x14ac:dyDescent="0.25">
      <c r="A1157" t="s">
        <v>2523</v>
      </c>
      <c r="B1157" t="s">
        <v>2524</v>
      </c>
      <c r="C1157">
        <v>596</v>
      </c>
      <c r="D1157" t="s">
        <v>2</v>
      </c>
      <c r="E1157" t="s">
        <v>3117</v>
      </c>
      <c r="F1157" t="s">
        <v>132</v>
      </c>
      <c r="G1157" t="s">
        <v>4</v>
      </c>
      <c r="H1157">
        <v>0</v>
      </c>
      <c r="I1157">
        <v>0</v>
      </c>
      <c r="J1157">
        <v>2022</v>
      </c>
      <c r="K1157" t="str">
        <f>IF(Books[[#This Row],[AVERAGE RATING]]&gt;=4,"High",IF(Books[[#This Row],[AVERAGE RATING]]&gt;=3,"Medium","Low"))</f>
        <v>Low</v>
      </c>
      <c r="L1157" t="str">
        <f>IF(Books[[#This Row],[AVERAGE RATING]]&gt;10000,"Popular","Average")</f>
        <v>Average</v>
      </c>
      <c r="M1157">
        <f>Books[[#This Row],[AVERAGE RATING]]*Books[[#This Row],[RATINGS COUNT]]</f>
        <v>0</v>
      </c>
    </row>
    <row r="1158" spans="1:13" x14ac:dyDescent="0.25">
      <c r="A1158" t="s">
        <v>2525</v>
      </c>
      <c r="B1158" t="s">
        <v>2526</v>
      </c>
      <c r="C1158">
        <v>108</v>
      </c>
      <c r="D1158" t="s">
        <v>79</v>
      </c>
      <c r="E1158" t="s">
        <v>3884</v>
      </c>
      <c r="F1158" t="s">
        <v>100</v>
      </c>
      <c r="G1158" t="s">
        <v>4</v>
      </c>
      <c r="H1158">
        <v>0</v>
      </c>
      <c r="I1158">
        <v>0</v>
      </c>
      <c r="J1158">
        <v>2014</v>
      </c>
      <c r="K1158" t="str">
        <f>IF(Books[[#This Row],[AVERAGE RATING]]&gt;=4,"High",IF(Books[[#This Row],[AVERAGE RATING]]&gt;=3,"Medium","Low"))</f>
        <v>Low</v>
      </c>
      <c r="L1158" t="str">
        <f>IF(Books[[#This Row],[AVERAGE RATING]]&gt;10000,"Popular","Average")</f>
        <v>Average</v>
      </c>
      <c r="M1158">
        <f>Books[[#This Row],[AVERAGE RATING]]*Books[[#This Row],[RATINGS COUNT]]</f>
        <v>0</v>
      </c>
    </row>
    <row r="1159" spans="1:13" x14ac:dyDescent="0.25">
      <c r="A1159" t="s">
        <v>2527</v>
      </c>
      <c r="B1159" t="s">
        <v>2528</v>
      </c>
      <c r="C1159">
        <v>345</v>
      </c>
      <c r="D1159" t="s">
        <v>328</v>
      </c>
      <c r="E1159" t="s">
        <v>3492</v>
      </c>
      <c r="F1159" t="s">
        <v>299</v>
      </c>
      <c r="G1159" t="s">
        <v>4</v>
      </c>
      <c r="H1159">
        <v>0</v>
      </c>
      <c r="I1159">
        <v>0</v>
      </c>
      <c r="J1159">
        <v>2010</v>
      </c>
      <c r="K1159" t="str">
        <f>IF(Books[[#This Row],[AVERAGE RATING]]&gt;=4,"High",IF(Books[[#This Row],[AVERAGE RATING]]&gt;=3,"Medium","Low"))</f>
        <v>Low</v>
      </c>
      <c r="L1159" t="str">
        <f>IF(Books[[#This Row],[AVERAGE RATING]]&gt;10000,"Popular","Average")</f>
        <v>Average</v>
      </c>
      <c r="M1159">
        <f>Books[[#This Row],[AVERAGE RATING]]*Books[[#This Row],[RATINGS COUNT]]</f>
        <v>0</v>
      </c>
    </row>
    <row r="1160" spans="1:13" x14ac:dyDescent="0.25">
      <c r="A1160" t="s">
        <v>2529</v>
      </c>
      <c r="B1160" t="s">
        <v>2315</v>
      </c>
      <c r="C1160">
        <v>176</v>
      </c>
      <c r="D1160" t="s">
        <v>1632</v>
      </c>
      <c r="E1160" t="s">
        <v>3679</v>
      </c>
      <c r="F1160" t="s">
        <v>1203</v>
      </c>
      <c r="G1160" t="s">
        <v>4</v>
      </c>
      <c r="H1160">
        <v>0</v>
      </c>
      <c r="I1160">
        <v>0</v>
      </c>
      <c r="J1160">
        <v>2013</v>
      </c>
      <c r="K1160" t="str">
        <f>IF(Books[[#This Row],[AVERAGE RATING]]&gt;=4,"High",IF(Books[[#This Row],[AVERAGE RATING]]&gt;=3,"Medium","Low"))</f>
        <v>Low</v>
      </c>
      <c r="L1160" t="str">
        <f>IF(Books[[#This Row],[AVERAGE RATING]]&gt;10000,"Popular","Average")</f>
        <v>Average</v>
      </c>
      <c r="M1160">
        <f>Books[[#This Row],[AVERAGE RATING]]*Books[[#This Row],[RATINGS COUNT]]</f>
        <v>0</v>
      </c>
    </row>
    <row r="1161" spans="1:13" x14ac:dyDescent="0.25">
      <c r="A1161" t="s">
        <v>1433</v>
      </c>
      <c r="B1161" t="s">
        <v>2530</v>
      </c>
      <c r="C1161">
        <v>45</v>
      </c>
      <c r="D1161" t="s">
        <v>45</v>
      </c>
      <c r="E1161" t="s">
        <v>3885</v>
      </c>
      <c r="F1161" t="s">
        <v>2530</v>
      </c>
      <c r="G1161" t="s">
        <v>4</v>
      </c>
      <c r="H1161">
        <v>0</v>
      </c>
      <c r="I1161">
        <v>0</v>
      </c>
      <c r="J1161">
        <v>2019</v>
      </c>
      <c r="K1161" t="str">
        <f>IF(Books[[#This Row],[AVERAGE RATING]]&gt;=4,"High",IF(Books[[#This Row],[AVERAGE RATING]]&gt;=3,"Medium","Low"))</f>
        <v>Low</v>
      </c>
      <c r="L1161" t="str">
        <f>IF(Books[[#This Row],[AVERAGE RATING]]&gt;10000,"Popular","Average")</f>
        <v>Average</v>
      </c>
      <c r="M1161">
        <f>Books[[#This Row],[AVERAGE RATING]]*Books[[#This Row],[RATINGS COUNT]]</f>
        <v>0</v>
      </c>
    </row>
    <row r="1162" spans="1:13" x14ac:dyDescent="0.25">
      <c r="A1162" t="s">
        <v>1404</v>
      </c>
      <c r="B1162" t="s">
        <v>2531</v>
      </c>
      <c r="C1162">
        <v>26</v>
      </c>
      <c r="D1162" t="s">
        <v>207</v>
      </c>
      <c r="E1162" t="s">
        <v>3886</v>
      </c>
      <c r="F1162" t="s">
        <v>2532</v>
      </c>
      <c r="G1162" t="s">
        <v>4</v>
      </c>
      <c r="H1162">
        <v>0</v>
      </c>
      <c r="I1162">
        <v>0</v>
      </c>
      <c r="J1162">
        <v>2008</v>
      </c>
      <c r="K1162" t="str">
        <f>IF(Books[[#This Row],[AVERAGE RATING]]&gt;=4,"High",IF(Books[[#This Row],[AVERAGE RATING]]&gt;=3,"Medium","Low"))</f>
        <v>Low</v>
      </c>
      <c r="L1162" t="str">
        <f>IF(Books[[#This Row],[AVERAGE RATING]]&gt;10000,"Popular","Average")</f>
        <v>Average</v>
      </c>
      <c r="M1162">
        <f>Books[[#This Row],[AVERAGE RATING]]*Books[[#This Row],[RATINGS COUNT]]</f>
        <v>0</v>
      </c>
    </row>
    <row r="1163" spans="1:13" x14ac:dyDescent="0.25">
      <c r="A1163" t="s">
        <v>2533</v>
      </c>
      <c r="B1163" t="s">
        <v>2534</v>
      </c>
      <c r="C1163">
        <v>192</v>
      </c>
      <c r="D1163" t="s">
        <v>118</v>
      </c>
      <c r="E1163" t="s">
        <v>3056</v>
      </c>
      <c r="F1163" t="s">
        <v>1867</v>
      </c>
      <c r="G1163" t="s">
        <v>4</v>
      </c>
      <c r="H1163">
        <v>0</v>
      </c>
      <c r="I1163">
        <v>0</v>
      </c>
      <c r="J1163">
        <v>2007</v>
      </c>
      <c r="K1163" t="str">
        <f>IF(Books[[#This Row],[AVERAGE RATING]]&gt;=4,"High",IF(Books[[#This Row],[AVERAGE RATING]]&gt;=3,"Medium","Low"))</f>
        <v>Low</v>
      </c>
      <c r="L1163" t="str">
        <f>IF(Books[[#This Row],[AVERAGE RATING]]&gt;10000,"Popular","Average")</f>
        <v>Average</v>
      </c>
      <c r="M1163">
        <f>Books[[#This Row],[AVERAGE RATING]]*Books[[#This Row],[RATINGS COUNT]]</f>
        <v>0</v>
      </c>
    </row>
    <row r="1164" spans="1:13" x14ac:dyDescent="0.25">
      <c r="A1164" t="s">
        <v>2535</v>
      </c>
      <c r="B1164" t="s">
        <v>2536</v>
      </c>
      <c r="C1164">
        <v>824</v>
      </c>
      <c r="D1164" t="s">
        <v>118</v>
      </c>
      <c r="E1164" t="s">
        <v>3887</v>
      </c>
      <c r="F1164" t="s">
        <v>460</v>
      </c>
      <c r="G1164" t="s">
        <v>4</v>
      </c>
      <c r="H1164">
        <v>4</v>
      </c>
      <c r="I1164">
        <v>1</v>
      </c>
      <c r="J1164">
        <v>2009</v>
      </c>
      <c r="K1164" t="str">
        <f>IF(Books[[#This Row],[AVERAGE RATING]]&gt;=4,"High",IF(Books[[#This Row],[AVERAGE RATING]]&gt;=3,"Medium","Low"))</f>
        <v>High</v>
      </c>
      <c r="L1164" t="str">
        <f>IF(Books[[#This Row],[AVERAGE RATING]]&gt;10000,"Popular","Average")</f>
        <v>Average</v>
      </c>
      <c r="M1164">
        <f>Books[[#This Row],[AVERAGE RATING]]*Books[[#This Row],[RATINGS COUNT]]</f>
        <v>4</v>
      </c>
    </row>
    <row r="1165" spans="1:13" x14ac:dyDescent="0.25">
      <c r="A1165" t="s">
        <v>2537</v>
      </c>
      <c r="B1165" t="s">
        <v>2538</v>
      </c>
      <c r="C1165">
        <v>1092</v>
      </c>
      <c r="D1165" t="s">
        <v>307</v>
      </c>
      <c r="E1165" t="s">
        <v>3155</v>
      </c>
      <c r="F1165" t="s">
        <v>2538</v>
      </c>
      <c r="G1165" t="s">
        <v>4</v>
      </c>
      <c r="H1165">
        <v>4.5</v>
      </c>
      <c r="I1165">
        <v>7</v>
      </c>
      <c r="J1165">
        <v>2006</v>
      </c>
      <c r="K1165" t="str">
        <f>IF(Books[[#This Row],[AVERAGE RATING]]&gt;=4,"High",IF(Books[[#This Row],[AVERAGE RATING]]&gt;=3,"Medium","Low"))</f>
        <v>High</v>
      </c>
      <c r="L1165" t="str">
        <f>IF(Books[[#This Row],[AVERAGE RATING]]&gt;10000,"Popular","Average")</f>
        <v>Average</v>
      </c>
      <c r="M1165">
        <f>Books[[#This Row],[AVERAGE RATING]]*Books[[#This Row],[RATINGS COUNT]]</f>
        <v>31.5</v>
      </c>
    </row>
    <row r="1166" spans="1:13" x14ac:dyDescent="0.25">
      <c r="A1166" t="s">
        <v>2539</v>
      </c>
      <c r="B1166" t="s">
        <v>2540</v>
      </c>
      <c r="C1166">
        <v>65</v>
      </c>
      <c r="D1166" t="s">
        <v>476</v>
      </c>
      <c r="E1166" t="s">
        <v>3888</v>
      </c>
      <c r="F1166" t="s">
        <v>901</v>
      </c>
      <c r="G1166" t="s">
        <v>4</v>
      </c>
      <c r="H1166">
        <v>0</v>
      </c>
      <c r="I1166">
        <v>0</v>
      </c>
      <c r="J1166">
        <v>2006</v>
      </c>
      <c r="K1166" t="str">
        <f>IF(Books[[#This Row],[AVERAGE RATING]]&gt;=4,"High",IF(Books[[#This Row],[AVERAGE RATING]]&gt;=3,"Medium","Low"))</f>
        <v>Low</v>
      </c>
      <c r="L1166" t="str">
        <f>IF(Books[[#This Row],[AVERAGE RATING]]&gt;10000,"Popular","Average")</f>
        <v>Average</v>
      </c>
      <c r="M1166">
        <f>Books[[#This Row],[AVERAGE RATING]]*Books[[#This Row],[RATINGS COUNT]]</f>
        <v>0</v>
      </c>
    </row>
    <row r="1167" spans="1:13" x14ac:dyDescent="0.25">
      <c r="A1167" t="s">
        <v>2541</v>
      </c>
      <c r="B1167" t="s">
        <v>2542</v>
      </c>
      <c r="C1167">
        <v>1243</v>
      </c>
      <c r="D1167" t="s">
        <v>118</v>
      </c>
      <c r="E1167" t="s">
        <v>3889</v>
      </c>
      <c r="F1167" t="s">
        <v>460</v>
      </c>
      <c r="G1167" t="s">
        <v>4</v>
      </c>
      <c r="H1167">
        <v>4</v>
      </c>
      <c r="I1167">
        <v>1</v>
      </c>
      <c r="J1167">
        <v>2006</v>
      </c>
      <c r="K1167" t="str">
        <f>IF(Books[[#This Row],[AVERAGE RATING]]&gt;=4,"High",IF(Books[[#This Row],[AVERAGE RATING]]&gt;=3,"Medium","Low"))</f>
        <v>High</v>
      </c>
      <c r="L1167" t="str">
        <f>IF(Books[[#This Row],[AVERAGE RATING]]&gt;10000,"Popular","Average")</f>
        <v>Average</v>
      </c>
      <c r="M1167">
        <f>Books[[#This Row],[AVERAGE RATING]]*Books[[#This Row],[RATINGS COUNT]]</f>
        <v>4</v>
      </c>
    </row>
    <row r="1168" spans="1:13" x14ac:dyDescent="0.25">
      <c r="A1168" t="s">
        <v>2543</v>
      </c>
      <c r="B1168" t="s">
        <v>2544</v>
      </c>
      <c r="C1168">
        <v>869</v>
      </c>
      <c r="D1168" t="s">
        <v>144</v>
      </c>
      <c r="E1168" t="s">
        <v>3890</v>
      </c>
      <c r="F1168" t="s">
        <v>603</v>
      </c>
      <c r="G1168" t="s">
        <v>4</v>
      </c>
      <c r="H1168">
        <v>0</v>
      </c>
      <c r="I1168">
        <v>0</v>
      </c>
      <c r="J1168">
        <v>2021</v>
      </c>
      <c r="K1168" t="str">
        <f>IF(Books[[#This Row],[AVERAGE RATING]]&gt;=4,"High",IF(Books[[#This Row],[AVERAGE RATING]]&gt;=3,"Medium","Low"))</f>
        <v>Low</v>
      </c>
      <c r="L1168" t="str">
        <f>IF(Books[[#This Row],[AVERAGE RATING]]&gt;10000,"Popular","Average")</f>
        <v>Average</v>
      </c>
      <c r="M1168">
        <f>Books[[#This Row],[AVERAGE RATING]]*Books[[#This Row],[RATINGS COUNT]]</f>
        <v>0</v>
      </c>
    </row>
    <row r="1169" spans="1:13" x14ac:dyDescent="0.25">
      <c r="A1169" t="s">
        <v>2545</v>
      </c>
      <c r="B1169" t="s">
        <v>2546</v>
      </c>
      <c r="C1169">
        <v>798</v>
      </c>
      <c r="D1169" t="s">
        <v>406</v>
      </c>
      <c r="E1169" t="s">
        <v>3891</v>
      </c>
      <c r="F1169" t="s">
        <v>93</v>
      </c>
      <c r="G1169" t="s">
        <v>4</v>
      </c>
      <c r="H1169">
        <v>5</v>
      </c>
      <c r="I1169">
        <v>1</v>
      </c>
      <c r="J1169">
        <v>2019</v>
      </c>
      <c r="K1169" t="str">
        <f>IF(Books[[#This Row],[AVERAGE RATING]]&gt;=4,"High",IF(Books[[#This Row],[AVERAGE RATING]]&gt;=3,"Medium","Low"))</f>
        <v>High</v>
      </c>
      <c r="L1169" t="str">
        <f>IF(Books[[#This Row],[AVERAGE RATING]]&gt;10000,"Popular","Average")</f>
        <v>Average</v>
      </c>
      <c r="M1169">
        <f>Books[[#This Row],[AVERAGE RATING]]*Books[[#This Row],[RATINGS COUNT]]</f>
        <v>5</v>
      </c>
    </row>
    <row r="1170" spans="1:13" x14ac:dyDescent="0.25">
      <c r="A1170" t="s">
        <v>2547</v>
      </c>
      <c r="B1170" t="s">
        <v>2548</v>
      </c>
      <c r="C1170">
        <v>132</v>
      </c>
      <c r="D1170" t="s">
        <v>79</v>
      </c>
      <c r="E1170" t="s">
        <v>3067</v>
      </c>
      <c r="F1170" t="s">
        <v>927</v>
      </c>
      <c r="G1170" t="s">
        <v>4</v>
      </c>
      <c r="H1170">
        <v>3.5</v>
      </c>
      <c r="I1170">
        <v>2</v>
      </c>
      <c r="J1170">
        <v>2003</v>
      </c>
      <c r="K1170" t="str">
        <f>IF(Books[[#This Row],[AVERAGE RATING]]&gt;=4,"High",IF(Books[[#This Row],[AVERAGE RATING]]&gt;=3,"Medium","Low"))</f>
        <v>Medium</v>
      </c>
      <c r="L1170" t="str">
        <f>IF(Books[[#This Row],[AVERAGE RATING]]&gt;10000,"Popular","Average")</f>
        <v>Average</v>
      </c>
      <c r="M1170">
        <f>Books[[#This Row],[AVERAGE RATING]]*Books[[#This Row],[RATINGS COUNT]]</f>
        <v>7</v>
      </c>
    </row>
    <row r="1171" spans="1:13" x14ac:dyDescent="0.25">
      <c r="A1171" t="s">
        <v>2549</v>
      </c>
      <c r="B1171" t="s">
        <v>2550</v>
      </c>
      <c r="C1171">
        <v>692</v>
      </c>
      <c r="D1171" t="s">
        <v>673</v>
      </c>
      <c r="E1171" t="s">
        <v>3308</v>
      </c>
      <c r="F1171" t="s">
        <v>460</v>
      </c>
      <c r="G1171" t="s">
        <v>4</v>
      </c>
      <c r="H1171">
        <v>0</v>
      </c>
      <c r="I1171">
        <v>0</v>
      </c>
      <c r="J1171">
        <v>2013</v>
      </c>
      <c r="K1171" t="str">
        <f>IF(Books[[#This Row],[AVERAGE RATING]]&gt;=4,"High",IF(Books[[#This Row],[AVERAGE RATING]]&gt;=3,"Medium","Low"))</f>
        <v>Low</v>
      </c>
      <c r="L1171" t="str">
        <f>IF(Books[[#This Row],[AVERAGE RATING]]&gt;10000,"Popular","Average")</f>
        <v>Average</v>
      </c>
      <c r="M1171">
        <f>Books[[#This Row],[AVERAGE RATING]]*Books[[#This Row],[RATINGS COUNT]]</f>
        <v>0</v>
      </c>
    </row>
    <row r="1172" spans="1:13" x14ac:dyDescent="0.25">
      <c r="A1172" t="s">
        <v>2551</v>
      </c>
      <c r="B1172" t="s">
        <v>3892</v>
      </c>
      <c r="C1172">
        <v>14</v>
      </c>
      <c r="D1172" t="s">
        <v>298</v>
      </c>
      <c r="E1172" t="s">
        <v>3893</v>
      </c>
      <c r="F1172" t="s">
        <v>2552</v>
      </c>
      <c r="G1172" t="s">
        <v>4</v>
      </c>
      <c r="H1172">
        <v>0</v>
      </c>
      <c r="I1172">
        <v>0</v>
      </c>
      <c r="J1172">
        <v>2023</v>
      </c>
      <c r="K1172" t="str">
        <f>IF(Books[[#This Row],[AVERAGE RATING]]&gt;=4,"High",IF(Books[[#This Row],[AVERAGE RATING]]&gt;=3,"Medium","Low"))</f>
        <v>Low</v>
      </c>
      <c r="L1172" t="str">
        <f>IF(Books[[#This Row],[AVERAGE RATING]]&gt;10000,"Popular","Average")</f>
        <v>Average</v>
      </c>
      <c r="M1172">
        <f>Books[[#This Row],[AVERAGE RATING]]*Books[[#This Row],[RATINGS COUNT]]</f>
        <v>0</v>
      </c>
    </row>
    <row r="1173" spans="1:13" x14ac:dyDescent="0.25">
      <c r="A1173" t="s">
        <v>2553</v>
      </c>
      <c r="B1173" t="s">
        <v>2554</v>
      </c>
      <c r="C1173">
        <v>152</v>
      </c>
      <c r="D1173" t="s">
        <v>406</v>
      </c>
      <c r="E1173" t="s">
        <v>3894</v>
      </c>
      <c r="F1173" t="s">
        <v>2555</v>
      </c>
      <c r="G1173" t="s">
        <v>4</v>
      </c>
      <c r="H1173">
        <v>0</v>
      </c>
      <c r="I1173">
        <v>0</v>
      </c>
      <c r="J1173">
        <v>2025</v>
      </c>
      <c r="K1173" t="str">
        <f>IF(Books[[#This Row],[AVERAGE RATING]]&gt;=4,"High",IF(Books[[#This Row],[AVERAGE RATING]]&gt;=3,"Medium","Low"))</f>
        <v>Low</v>
      </c>
      <c r="L1173" t="str">
        <f>IF(Books[[#This Row],[AVERAGE RATING]]&gt;10000,"Popular","Average")</f>
        <v>Average</v>
      </c>
      <c r="M1173">
        <f>Books[[#This Row],[AVERAGE RATING]]*Books[[#This Row],[RATINGS COUNT]]</f>
        <v>0</v>
      </c>
    </row>
    <row r="1174" spans="1:13" x14ac:dyDescent="0.25">
      <c r="A1174" t="s">
        <v>2556</v>
      </c>
      <c r="B1174" t="s">
        <v>2557</v>
      </c>
      <c r="C1174">
        <v>191</v>
      </c>
      <c r="D1174" t="s">
        <v>118</v>
      </c>
      <c r="E1174" t="s">
        <v>3895</v>
      </c>
      <c r="F1174" t="s">
        <v>2558</v>
      </c>
      <c r="G1174" t="s">
        <v>4</v>
      </c>
      <c r="H1174">
        <v>0</v>
      </c>
      <c r="I1174">
        <v>0</v>
      </c>
      <c r="J1174">
        <v>2024</v>
      </c>
      <c r="K1174" t="str">
        <f>IF(Books[[#This Row],[AVERAGE RATING]]&gt;=4,"High",IF(Books[[#This Row],[AVERAGE RATING]]&gt;=3,"Medium","Low"))</f>
        <v>Low</v>
      </c>
      <c r="L1174" t="str">
        <f>IF(Books[[#This Row],[AVERAGE RATING]]&gt;10000,"Popular","Average")</f>
        <v>Average</v>
      </c>
      <c r="M1174">
        <f>Books[[#This Row],[AVERAGE RATING]]*Books[[#This Row],[RATINGS COUNT]]</f>
        <v>0</v>
      </c>
    </row>
    <row r="1175" spans="1:13" x14ac:dyDescent="0.25">
      <c r="A1175" t="s">
        <v>2559</v>
      </c>
      <c r="B1175" t="s">
        <v>2560</v>
      </c>
      <c r="C1175">
        <v>254</v>
      </c>
      <c r="D1175" t="s">
        <v>118</v>
      </c>
      <c r="E1175" t="s">
        <v>3397</v>
      </c>
      <c r="F1175" t="s">
        <v>2561</v>
      </c>
      <c r="G1175" t="s">
        <v>4</v>
      </c>
      <c r="H1175">
        <v>0</v>
      </c>
      <c r="I1175">
        <v>0</v>
      </c>
      <c r="J1175">
        <v>2024</v>
      </c>
      <c r="K1175" t="str">
        <f>IF(Books[[#This Row],[AVERAGE RATING]]&gt;=4,"High",IF(Books[[#This Row],[AVERAGE RATING]]&gt;=3,"Medium","Low"))</f>
        <v>Low</v>
      </c>
      <c r="L1175" t="str">
        <f>IF(Books[[#This Row],[AVERAGE RATING]]&gt;10000,"Popular","Average")</f>
        <v>Average</v>
      </c>
      <c r="M1175">
        <f>Books[[#This Row],[AVERAGE RATING]]*Books[[#This Row],[RATINGS COUNT]]</f>
        <v>0</v>
      </c>
    </row>
    <row r="1176" spans="1:13" x14ac:dyDescent="0.25">
      <c r="A1176" t="s">
        <v>2562</v>
      </c>
      <c r="B1176" t="s">
        <v>2563</v>
      </c>
      <c r="C1176">
        <v>416</v>
      </c>
      <c r="D1176" t="s">
        <v>406</v>
      </c>
      <c r="E1176" t="s">
        <v>3896</v>
      </c>
      <c r="F1176" t="s">
        <v>2564</v>
      </c>
      <c r="G1176" t="s">
        <v>4</v>
      </c>
      <c r="H1176">
        <v>0</v>
      </c>
      <c r="I1176">
        <v>0</v>
      </c>
      <c r="J1176">
        <v>2016</v>
      </c>
      <c r="K1176" t="str">
        <f>IF(Books[[#This Row],[AVERAGE RATING]]&gt;=4,"High",IF(Books[[#This Row],[AVERAGE RATING]]&gt;=3,"Medium","Low"))</f>
        <v>Low</v>
      </c>
      <c r="L1176" t="str">
        <f>IF(Books[[#This Row],[AVERAGE RATING]]&gt;10000,"Popular","Average")</f>
        <v>Average</v>
      </c>
      <c r="M1176">
        <f>Books[[#This Row],[AVERAGE RATING]]*Books[[#This Row],[RATINGS COUNT]]</f>
        <v>0</v>
      </c>
    </row>
    <row r="1177" spans="1:13" x14ac:dyDescent="0.25">
      <c r="A1177" t="s">
        <v>2565</v>
      </c>
      <c r="B1177" t="s">
        <v>2566</v>
      </c>
      <c r="C1177">
        <v>669</v>
      </c>
      <c r="D1177" t="s">
        <v>59</v>
      </c>
      <c r="E1177" t="s">
        <v>3521</v>
      </c>
      <c r="F1177" t="s">
        <v>2567</v>
      </c>
      <c r="G1177" t="s">
        <v>4</v>
      </c>
      <c r="H1177">
        <v>0</v>
      </c>
      <c r="I1177">
        <v>0</v>
      </c>
      <c r="J1177">
        <v>2024</v>
      </c>
      <c r="K1177" t="str">
        <f>IF(Books[[#This Row],[AVERAGE RATING]]&gt;=4,"High",IF(Books[[#This Row],[AVERAGE RATING]]&gt;=3,"Medium","Low"))</f>
        <v>Low</v>
      </c>
      <c r="L1177" t="str">
        <f>IF(Books[[#This Row],[AVERAGE RATING]]&gt;10000,"Popular","Average")</f>
        <v>Average</v>
      </c>
      <c r="M1177">
        <f>Books[[#This Row],[AVERAGE RATING]]*Books[[#This Row],[RATINGS COUNT]]</f>
        <v>0</v>
      </c>
    </row>
    <row r="1178" spans="1:13" x14ac:dyDescent="0.25">
      <c r="A1178" t="s">
        <v>2568</v>
      </c>
      <c r="B1178" t="s">
        <v>2569</v>
      </c>
      <c r="C1178">
        <v>71</v>
      </c>
      <c r="D1178" t="s">
        <v>406</v>
      </c>
      <c r="E1178" t="s">
        <v>3897</v>
      </c>
      <c r="F1178" t="s">
        <v>2570</v>
      </c>
      <c r="G1178" t="s">
        <v>4</v>
      </c>
      <c r="H1178">
        <v>0</v>
      </c>
      <c r="I1178">
        <v>0</v>
      </c>
      <c r="J1178">
        <v>2016</v>
      </c>
      <c r="K1178" t="str">
        <f>IF(Books[[#This Row],[AVERAGE RATING]]&gt;=4,"High",IF(Books[[#This Row],[AVERAGE RATING]]&gt;=3,"Medium","Low"))</f>
        <v>Low</v>
      </c>
      <c r="L1178" t="str">
        <f>IF(Books[[#This Row],[AVERAGE RATING]]&gt;10000,"Popular","Average")</f>
        <v>Average</v>
      </c>
      <c r="M1178">
        <f>Books[[#This Row],[AVERAGE RATING]]*Books[[#This Row],[RATINGS COUNT]]</f>
        <v>0</v>
      </c>
    </row>
    <row r="1179" spans="1:13" x14ac:dyDescent="0.25">
      <c r="A1179" t="s">
        <v>2571</v>
      </c>
      <c r="B1179" t="s">
        <v>2572</v>
      </c>
      <c r="C1179">
        <v>443</v>
      </c>
      <c r="D1179" t="s">
        <v>45</v>
      </c>
      <c r="E1179" t="s">
        <v>3898</v>
      </c>
      <c r="F1179" t="s">
        <v>2573</v>
      </c>
      <c r="G1179" t="s">
        <v>4</v>
      </c>
      <c r="H1179">
        <v>0</v>
      </c>
      <c r="I1179">
        <v>0</v>
      </c>
      <c r="J1179">
        <v>2005</v>
      </c>
      <c r="K1179" t="str">
        <f>IF(Books[[#This Row],[AVERAGE RATING]]&gt;=4,"High",IF(Books[[#This Row],[AVERAGE RATING]]&gt;=3,"Medium","Low"))</f>
        <v>Low</v>
      </c>
      <c r="L1179" t="str">
        <f>IF(Books[[#This Row],[AVERAGE RATING]]&gt;10000,"Popular","Average")</f>
        <v>Average</v>
      </c>
      <c r="M1179">
        <f>Books[[#This Row],[AVERAGE RATING]]*Books[[#This Row],[RATINGS COUNT]]</f>
        <v>0</v>
      </c>
    </row>
    <row r="1180" spans="1:13" x14ac:dyDescent="0.25">
      <c r="A1180" t="s">
        <v>2574</v>
      </c>
      <c r="B1180" t="s">
        <v>2575</v>
      </c>
      <c r="C1180">
        <v>225</v>
      </c>
      <c r="D1180" t="s">
        <v>420</v>
      </c>
      <c r="E1180" t="s">
        <v>3688</v>
      </c>
      <c r="F1180" t="s">
        <v>985</v>
      </c>
      <c r="G1180" t="s">
        <v>4</v>
      </c>
      <c r="H1180">
        <v>0</v>
      </c>
      <c r="I1180">
        <v>0</v>
      </c>
      <c r="J1180">
        <v>2013</v>
      </c>
      <c r="K1180" t="str">
        <f>IF(Books[[#This Row],[AVERAGE RATING]]&gt;=4,"High",IF(Books[[#This Row],[AVERAGE RATING]]&gt;=3,"Medium","Low"))</f>
        <v>Low</v>
      </c>
      <c r="L1180" t="str">
        <f>IF(Books[[#This Row],[AVERAGE RATING]]&gt;10000,"Popular","Average")</f>
        <v>Average</v>
      </c>
      <c r="M1180">
        <f>Books[[#This Row],[AVERAGE RATING]]*Books[[#This Row],[RATINGS COUNT]]</f>
        <v>0</v>
      </c>
    </row>
    <row r="1181" spans="1:13" x14ac:dyDescent="0.25">
      <c r="A1181" t="s">
        <v>2576</v>
      </c>
      <c r="B1181" t="s">
        <v>2577</v>
      </c>
      <c r="C1181">
        <v>41</v>
      </c>
      <c r="D1181" t="s">
        <v>298</v>
      </c>
      <c r="E1181" t="s">
        <v>3899</v>
      </c>
      <c r="F1181" t="s">
        <v>2578</v>
      </c>
      <c r="G1181" t="s">
        <v>4</v>
      </c>
      <c r="H1181">
        <v>0</v>
      </c>
      <c r="I1181">
        <v>0</v>
      </c>
      <c r="J1181">
        <v>2017</v>
      </c>
      <c r="K1181" t="str">
        <f>IF(Books[[#This Row],[AVERAGE RATING]]&gt;=4,"High",IF(Books[[#This Row],[AVERAGE RATING]]&gt;=3,"Medium","Low"))</f>
        <v>Low</v>
      </c>
      <c r="L1181" t="str">
        <f>IF(Books[[#This Row],[AVERAGE RATING]]&gt;10000,"Popular","Average")</f>
        <v>Average</v>
      </c>
      <c r="M1181">
        <f>Books[[#This Row],[AVERAGE RATING]]*Books[[#This Row],[RATINGS COUNT]]</f>
        <v>0</v>
      </c>
    </row>
    <row r="1182" spans="1:13" x14ac:dyDescent="0.25">
      <c r="A1182" t="s">
        <v>2579</v>
      </c>
      <c r="B1182" t="s">
        <v>2580</v>
      </c>
      <c r="C1182">
        <v>28</v>
      </c>
      <c r="D1182" t="s">
        <v>298</v>
      </c>
      <c r="E1182" t="s">
        <v>3900</v>
      </c>
      <c r="F1182" t="s">
        <v>2578</v>
      </c>
      <c r="G1182" t="s">
        <v>4</v>
      </c>
      <c r="H1182">
        <v>0</v>
      </c>
      <c r="I1182">
        <v>0</v>
      </c>
      <c r="J1182">
        <v>2013</v>
      </c>
      <c r="K1182" t="str">
        <f>IF(Books[[#This Row],[AVERAGE RATING]]&gt;=4,"High",IF(Books[[#This Row],[AVERAGE RATING]]&gt;=3,"Medium","Low"))</f>
        <v>Low</v>
      </c>
      <c r="L1182" t="str">
        <f>IF(Books[[#This Row],[AVERAGE RATING]]&gt;10000,"Popular","Average")</f>
        <v>Average</v>
      </c>
      <c r="M1182">
        <f>Books[[#This Row],[AVERAGE RATING]]*Books[[#This Row],[RATINGS COUNT]]</f>
        <v>0</v>
      </c>
    </row>
    <row r="1183" spans="1:13" x14ac:dyDescent="0.25">
      <c r="A1183" t="s">
        <v>2581</v>
      </c>
      <c r="B1183" t="s">
        <v>1988</v>
      </c>
      <c r="C1183">
        <v>508</v>
      </c>
      <c r="D1183" t="s">
        <v>11</v>
      </c>
      <c r="E1183" t="s">
        <v>3901</v>
      </c>
      <c r="F1183" t="s">
        <v>2290</v>
      </c>
      <c r="G1183" t="s">
        <v>1314</v>
      </c>
      <c r="H1183">
        <v>0</v>
      </c>
      <c r="I1183">
        <v>0</v>
      </c>
      <c r="J1183">
        <v>2016</v>
      </c>
      <c r="K1183" t="str">
        <f>IF(Books[[#This Row],[AVERAGE RATING]]&gt;=4,"High",IF(Books[[#This Row],[AVERAGE RATING]]&gt;=3,"Medium","Low"))</f>
        <v>Low</v>
      </c>
      <c r="L1183" t="str">
        <f>IF(Books[[#This Row],[AVERAGE RATING]]&gt;10000,"Popular","Average")</f>
        <v>Average</v>
      </c>
      <c r="M1183">
        <f>Books[[#This Row],[AVERAGE RATING]]*Books[[#This Row],[RATINGS COUNT]]</f>
        <v>0</v>
      </c>
    </row>
    <row r="1184" spans="1:13" x14ac:dyDescent="0.25">
      <c r="A1184" t="s">
        <v>2582</v>
      </c>
      <c r="B1184" t="s">
        <v>1042</v>
      </c>
      <c r="C1184">
        <v>226</v>
      </c>
      <c r="D1184" t="s">
        <v>2</v>
      </c>
      <c r="E1184" t="s">
        <v>3902</v>
      </c>
      <c r="F1184" t="s">
        <v>433</v>
      </c>
      <c r="G1184" t="s">
        <v>4</v>
      </c>
      <c r="H1184">
        <v>0</v>
      </c>
      <c r="I1184">
        <v>0</v>
      </c>
      <c r="J1184">
        <v>2021</v>
      </c>
      <c r="K1184" t="str">
        <f>IF(Books[[#This Row],[AVERAGE RATING]]&gt;=4,"High",IF(Books[[#This Row],[AVERAGE RATING]]&gt;=3,"Medium","Low"))</f>
        <v>Low</v>
      </c>
      <c r="L1184" t="str">
        <f>IF(Books[[#This Row],[AVERAGE RATING]]&gt;10000,"Popular","Average")</f>
        <v>Average</v>
      </c>
      <c r="M1184">
        <f>Books[[#This Row],[AVERAGE RATING]]*Books[[#This Row],[RATINGS COUNT]]</f>
        <v>0</v>
      </c>
    </row>
    <row r="1185" spans="1:13" x14ac:dyDescent="0.25">
      <c r="A1185" t="s">
        <v>2583</v>
      </c>
      <c r="B1185" t="s">
        <v>2584</v>
      </c>
      <c r="C1185">
        <v>233</v>
      </c>
      <c r="D1185" t="s">
        <v>28</v>
      </c>
      <c r="E1185" t="s">
        <v>3903</v>
      </c>
      <c r="F1185" t="s">
        <v>334</v>
      </c>
      <c r="G1185" t="s">
        <v>4</v>
      </c>
      <c r="H1185">
        <v>0</v>
      </c>
      <c r="I1185">
        <v>0</v>
      </c>
      <c r="J1185">
        <v>2020</v>
      </c>
      <c r="K1185" t="str">
        <f>IF(Books[[#This Row],[AVERAGE RATING]]&gt;=4,"High",IF(Books[[#This Row],[AVERAGE RATING]]&gt;=3,"Medium","Low"))</f>
        <v>Low</v>
      </c>
      <c r="L1185" t="str">
        <f>IF(Books[[#This Row],[AVERAGE RATING]]&gt;10000,"Popular","Average")</f>
        <v>Average</v>
      </c>
      <c r="M1185">
        <f>Books[[#This Row],[AVERAGE RATING]]*Books[[#This Row],[RATINGS COUNT]]</f>
        <v>0</v>
      </c>
    </row>
    <row r="1186" spans="1:13" x14ac:dyDescent="0.25">
      <c r="A1186" t="s">
        <v>2585</v>
      </c>
      <c r="B1186" t="s">
        <v>2586</v>
      </c>
      <c r="C1186">
        <v>295</v>
      </c>
      <c r="D1186" t="s">
        <v>11</v>
      </c>
      <c r="E1186" t="s">
        <v>3904</v>
      </c>
      <c r="F1186" t="s">
        <v>93</v>
      </c>
      <c r="G1186" t="s">
        <v>4</v>
      </c>
      <c r="H1186">
        <v>0</v>
      </c>
      <c r="I1186">
        <v>0</v>
      </c>
      <c r="J1186">
        <v>2018</v>
      </c>
      <c r="K1186" t="str">
        <f>IF(Books[[#This Row],[AVERAGE RATING]]&gt;=4,"High",IF(Books[[#This Row],[AVERAGE RATING]]&gt;=3,"Medium","Low"))</f>
        <v>Low</v>
      </c>
      <c r="L1186" t="str">
        <f>IF(Books[[#This Row],[AVERAGE RATING]]&gt;10000,"Popular","Average")</f>
        <v>Average</v>
      </c>
      <c r="M1186">
        <f>Books[[#This Row],[AVERAGE RATING]]*Books[[#This Row],[RATINGS COUNT]]</f>
        <v>0</v>
      </c>
    </row>
    <row r="1187" spans="1:13" x14ac:dyDescent="0.25">
      <c r="A1187" t="s">
        <v>2587</v>
      </c>
      <c r="B1187" t="s">
        <v>2588</v>
      </c>
      <c r="C1187">
        <v>93</v>
      </c>
      <c r="D1187" t="s">
        <v>243</v>
      </c>
      <c r="E1187" t="s">
        <v>3905</v>
      </c>
      <c r="F1187" t="s">
        <v>107</v>
      </c>
      <c r="G1187" t="s">
        <v>4</v>
      </c>
      <c r="H1187">
        <v>0</v>
      </c>
      <c r="I1187">
        <v>0</v>
      </c>
      <c r="J1187">
        <v>2014</v>
      </c>
      <c r="K1187" t="str">
        <f>IF(Books[[#This Row],[AVERAGE RATING]]&gt;=4,"High",IF(Books[[#This Row],[AVERAGE RATING]]&gt;=3,"Medium","Low"))</f>
        <v>Low</v>
      </c>
      <c r="L1187" t="str">
        <f>IF(Books[[#This Row],[AVERAGE RATING]]&gt;10000,"Popular","Average")</f>
        <v>Average</v>
      </c>
      <c r="M1187">
        <f>Books[[#This Row],[AVERAGE RATING]]*Books[[#This Row],[RATINGS COUNT]]</f>
        <v>0</v>
      </c>
    </row>
    <row r="1188" spans="1:13" x14ac:dyDescent="0.25">
      <c r="A1188" t="s">
        <v>2589</v>
      </c>
      <c r="B1188" t="s">
        <v>2590</v>
      </c>
      <c r="C1188">
        <v>558</v>
      </c>
      <c r="D1188" t="s">
        <v>2</v>
      </c>
      <c r="E1188" t="s">
        <v>3906</v>
      </c>
      <c r="F1188" t="s">
        <v>2591</v>
      </c>
      <c r="G1188" t="s">
        <v>4</v>
      </c>
      <c r="H1188">
        <v>0</v>
      </c>
      <c r="I1188">
        <v>0</v>
      </c>
      <c r="J1188">
        <v>2023</v>
      </c>
      <c r="K1188" t="str">
        <f>IF(Books[[#This Row],[AVERAGE RATING]]&gt;=4,"High",IF(Books[[#This Row],[AVERAGE RATING]]&gt;=3,"Medium","Low"))</f>
        <v>Low</v>
      </c>
      <c r="L1188" t="str">
        <f>IF(Books[[#This Row],[AVERAGE RATING]]&gt;10000,"Popular","Average")</f>
        <v>Average</v>
      </c>
      <c r="M1188">
        <f>Books[[#This Row],[AVERAGE RATING]]*Books[[#This Row],[RATINGS COUNT]]</f>
        <v>0</v>
      </c>
    </row>
    <row r="1189" spans="1:13" x14ac:dyDescent="0.25">
      <c r="A1189" t="s">
        <v>2592</v>
      </c>
      <c r="B1189" t="s">
        <v>2593</v>
      </c>
      <c r="C1189">
        <v>179</v>
      </c>
      <c r="D1189" t="s">
        <v>2</v>
      </c>
      <c r="E1189" t="s">
        <v>3907</v>
      </c>
      <c r="F1189" t="s">
        <v>433</v>
      </c>
      <c r="G1189" t="s">
        <v>4</v>
      </c>
      <c r="H1189">
        <v>0</v>
      </c>
      <c r="I1189">
        <v>0</v>
      </c>
      <c r="J1189">
        <v>2019</v>
      </c>
      <c r="K1189" t="str">
        <f>IF(Books[[#This Row],[AVERAGE RATING]]&gt;=4,"High",IF(Books[[#This Row],[AVERAGE RATING]]&gt;=3,"Medium","Low"))</f>
        <v>Low</v>
      </c>
      <c r="L1189" t="str">
        <f>IF(Books[[#This Row],[AVERAGE RATING]]&gt;10000,"Popular","Average")</f>
        <v>Average</v>
      </c>
      <c r="M1189">
        <f>Books[[#This Row],[AVERAGE RATING]]*Books[[#This Row],[RATINGS COUNT]]</f>
        <v>0</v>
      </c>
    </row>
    <row r="1190" spans="1:13" x14ac:dyDescent="0.25">
      <c r="A1190" t="s">
        <v>2594</v>
      </c>
      <c r="B1190" t="s">
        <v>2595</v>
      </c>
      <c r="C1190">
        <v>212</v>
      </c>
      <c r="D1190" t="s">
        <v>640</v>
      </c>
      <c r="E1190" t="s">
        <v>3604</v>
      </c>
      <c r="F1190" t="s">
        <v>2596</v>
      </c>
      <c r="G1190" t="s">
        <v>4</v>
      </c>
      <c r="H1190">
        <v>0</v>
      </c>
      <c r="I1190">
        <v>0</v>
      </c>
      <c r="J1190">
        <v>2015</v>
      </c>
      <c r="K1190" t="str">
        <f>IF(Books[[#This Row],[AVERAGE RATING]]&gt;=4,"High",IF(Books[[#This Row],[AVERAGE RATING]]&gt;=3,"Medium","Low"))</f>
        <v>Low</v>
      </c>
      <c r="L1190" t="str">
        <f>IF(Books[[#This Row],[AVERAGE RATING]]&gt;10000,"Popular","Average")</f>
        <v>Average</v>
      </c>
      <c r="M1190">
        <f>Books[[#This Row],[AVERAGE RATING]]*Books[[#This Row],[RATINGS COUNT]]</f>
        <v>0</v>
      </c>
    </row>
    <row r="1191" spans="1:13" x14ac:dyDescent="0.25">
      <c r="A1191" t="s">
        <v>2597</v>
      </c>
      <c r="B1191" t="s">
        <v>2598</v>
      </c>
      <c r="C1191">
        <v>157</v>
      </c>
      <c r="D1191" t="s">
        <v>2</v>
      </c>
      <c r="E1191" t="s">
        <v>3908</v>
      </c>
      <c r="F1191" t="s">
        <v>60</v>
      </c>
      <c r="G1191" t="s">
        <v>4</v>
      </c>
      <c r="H1191">
        <v>0</v>
      </c>
      <c r="I1191">
        <v>0</v>
      </c>
      <c r="J1191">
        <v>2017</v>
      </c>
      <c r="K1191" t="str">
        <f>IF(Books[[#This Row],[AVERAGE RATING]]&gt;=4,"High",IF(Books[[#This Row],[AVERAGE RATING]]&gt;=3,"Medium","Low"))</f>
        <v>Low</v>
      </c>
      <c r="L1191" t="str">
        <f>IF(Books[[#This Row],[AVERAGE RATING]]&gt;10000,"Popular","Average")</f>
        <v>Average</v>
      </c>
      <c r="M1191">
        <f>Books[[#This Row],[AVERAGE RATING]]*Books[[#This Row],[RATINGS COUNT]]</f>
        <v>0</v>
      </c>
    </row>
    <row r="1192" spans="1:13" x14ac:dyDescent="0.25">
      <c r="A1192" t="s">
        <v>2599</v>
      </c>
      <c r="B1192" t="s">
        <v>2600</v>
      </c>
      <c r="C1192">
        <v>288</v>
      </c>
      <c r="D1192" t="s">
        <v>45</v>
      </c>
      <c r="E1192" t="s">
        <v>3909</v>
      </c>
      <c r="F1192" t="s">
        <v>1203</v>
      </c>
      <c r="G1192" t="s">
        <v>4</v>
      </c>
      <c r="H1192">
        <v>0</v>
      </c>
      <c r="I1192">
        <v>0</v>
      </c>
      <c r="J1192">
        <v>2022</v>
      </c>
      <c r="K1192" t="str">
        <f>IF(Books[[#This Row],[AVERAGE RATING]]&gt;=4,"High",IF(Books[[#This Row],[AVERAGE RATING]]&gt;=3,"Medium","Low"))</f>
        <v>Low</v>
      </c>
      <c r="L1192" t="str">
        <f>IF(Books[[#This Row],[AVERAGE RATING]]&gt;10000,"Popular","Average")</f>
        <v>Average</v>
      </c>
      <c r="M1192">
        <f>Books[[#This Row],[AVERAGE RATING]]*Books[[#This Row],[RATINGS COUNT]]</f>
        <v>0</v>
      </c>
    </row>
    <row r="1193" spans="1:13" x14ac:dyDescent="0.25">
      <c r="A1193" t="s">
        <v>2601</v>
      </c>
      <c r="B1193" t="s">
        <v>2602</v>
      </c>
      <c r="C1193">
        <v>368</v>
      </c>
      <c r="D1193" t="s">
        <v>11</v>
      </c>
      <c r="E1193" t="s">
        <v>3325</v>
      </c>
      <c r="F1193" t="s">
        <v>1203</v>
      </c>
      <c r="G1193" t="s">
        <v>4</v>
      </c>
      <c r="H1193">
        <v>0</v>
      </c>
      <c r="I1193">
        <v>0</v>
      </c>
      <c r="J1193">
        <v>2022</v>
      </c>
      <c r="K1193" t="str">
        <f>IF(Books[[#This Row],[AVERAGE RATING]]&gt;=4,"High",IF(Books[[#This Row],[AVERAGE RATING]]&gt;=3,"Medium","Low"))</f>
        <v>Low</v>
      </c>
      <c r="L1193" t="str">
        <f>IF(Books[[#This Row],[AVERAGE RATING]]&gt;10000,"Popular","Average")</f>
        <v>Average</v>
      </c>
      <c r="M1193">
        <f>Books[[#This Row],[AVERAGE RATING]]*Books[[#This Row],[RATINGS COUNT]]</f>
        <v>0</v>
      </c>
    </row>
    <row r="1194" spans="1:13" x14ac:dyDescent="0.25">
      <c r="A1194" t="s">
        <v>2603</v>
      </c>
      <c r="B1194" t="s">
        <v>2604</v>
      </c>
      <c r="C1194">
        <v>200</v>
      </c>
      <c r="D1194" t="s">
        <v>63</v>
      </c>
      <c r="E1194" t="s">
        <v>3910</v>
      </c>
      <c r="F1194" t="s">
        <v>2605</v>
      </c>
      <c r="G1194" t="s">
        <v>4</v>
      </c>
      <c r="H1194">
        <v>0</v>
      </c>
      <c r="I1194">
        <v>0</v>
      </c>
      <c r="J1194">
        <v>2021</v>
      </c>
      <c r="K1194" t="str">
        <f>IF(Books[[#This Row],[AVERAGE RATING]]&gt;=4,"High",IF(Books[[#This Row],[AVERAGE RATING]]&gt;=3,"Medium","Low"))</f>
        <v>Low</v>
      </c>
      <c r="L1194" t="str">
        <f>IF(Books[[#This Row],[AVERAGE RATING]]&gt;10000,"Popular","Average")</f>
        <v>Average</v>
      </c>
      <c r="M1194">
        <f>Books[[#This Row],[AVERAGE RATING]]*Books[[#This Row],[RATINGS COUNT]]</f>
        <v>0</v>
      </c>
    </row>
    <row r="1195" spans="1:13" x14ac:dyDescent="0.25">
      <c r="A1195" t="s">
        <v>2606</v>
      </c>
      <c r="B1195" t="s">
        <v>2607</v>
      </c>
      <c r="C1195">
        <v>231</v>
      </c>
      <c r="D1195" t="s">
        <v>2</v>
      </c>
      <c r="E1195" t="s">
        <v>3911</v>
      </c>
      <c r="F1195" t="s">
        <v>60</v>
      </c>
      <c r="G1195" t="s">
        <v>4</v>
      </c>
      <c r="H1195">
        <v>0</v>
      </c>
      <c r="I1195">
        <v>0</v>
      </c>
      <c r="J1195">
        <v>2024</v>
      </c>
      <c r="K1195" t="str">
        <f>IF(Books[[#This Row],[AVERAGE RATING]]&gt;=4,"High",IF(Books[[#This Row],[AVERAGE RATING]]&gt;=3,"Medium","Low"))</f>
        <v>Low</v>
      </c>
      <c r="L1195" t="str">
        <f>IF(Books[[#This Row],[AVERAGE RATING]]&gt;10000,"Popular","Average")</f>
        <v>Average</v>
      </c>
      <c r="M1195">
        <f>Books[[#This Row],[AVERAGE RATING]]*Books[[#This Row],[RATINGS COUNT]]</f>
        <v>0</v>
      </c>
    </row>
    <row r="1196" spans="1:13" x14ac:dyDescent="0.25">
      <c r="A1196" t="s">
        <v>2608</v>
      </c>
      <c r="B1196" t="s">
        <v>2609</v>
      </c>
      <c r="C1196">
        <v>333</v>
      </c>
      <c r="D1196" t="s">
        <v>2</v>
      </c>
      <c r="E1196" t="s">
        <v>3912</v>
      </c>
      <c r="F1196" t="s">
        <v>2610</v>
      </c>
      <c r="G1196" t="s">
        <v>4</v>
      </c>
      <c r="H1196">
        <v>0</v>
      </c>
      <c r="I1196">
        <v>0</v>
      </c>
      <c r="J1196">
        <v>2023</v>
      </c>
      <c r="K1196" t="str">
        <f>IF(Books[[#This Row],[AVERAGE RATING]]&gt;=4,"High",IF(Books[[#This Row],[AVERAGE RATING]]&gt;=3,"Medium","Low"))</f>
        <v>Low</v>
      </c>
      <c r="L1196" t="str">
        <f>IF(Books[[#This Row],[AVERAGE RATING]]&gt;10000,"Popular","Average")</f>
        <v>Average</v>
      </c>
      <c r="M1196">
        <f>Books[[#This Row],[AVERAGE RATING]]*Books[[#This Row],[RATINGS COUNT]]</f>
        <v>0</v>
      </c>
    </row>
    <row r="1197" spans="1:13" x14ac:dyDescent="0.25">
      <c r="A1197" t="s">
        <v>2611</v>
      </c>
      <c r="B1197" t="s">
        <v>2612</v>
      </c>
      <c r="C1197">
        <v>271</v>
      </c>
      <c r="D1197" t="s">
        <v>28</v>
      </c>
      <c r="E1197" t="s">
        <v>3913</v>
      </c>
      <c r="F1197" t="s">
        <v>2613</v>
      </c>
      <c r="G1197" t="s">
        <v>4</v>
      </c>
      <c r="H1197">
        <v>0</v>
      </c>
      <c r="I1197">
        <v>0</v>
      </c>
      <c r="J1197">
        <v>2020</v>
      </c>
      <c r="K1197" t="str">
        <f>IF(Books[[#This Row],[AVERAGE RATING]]&gt;=4,"High",IF(Books[[#This Row],[AVERAGE RATING]]&gt;=3,"Medium","Low"))</f>
        <v>Low</v>
      </c>
      <c r="L1197" t="str">
        <f>IF(Books[[#This Row],[AVERAGE RATING]]&gt;10000,"Popular","Average")</f>
        <v>Average</v>
      </c>
      <c r="M1197">
        <f>Books[[#This Row],[AVERAGE RATING]]*Books[[#This Row],[RATINGS COUNT]]</f>
        <v>0</v>
      </c>
    </row>
    <row r="1198" spans="1:13" x14ac:dyDescent="0.25">
      <c r="A1198" t="s">
        <v>2614</v>
      </c>
      <c r="B1198" t="s">
        <v>2615</v>
      </c>
      <c r="C1198">
        <v>342</v>
      </c>
      <c r="D1198" t="s">
        <v>2</v>
      </c>
      <c r="E1198" t="s">
        <v>3914</v>
      </c>
      <c r="F1198" t="s">
        <v>2616</v>
      </c>
      <c r="G1198" t="s">
        <v>4</v>
      </c>
      <c r="H1198">
        <v>0</v>
      </c>
      <c r="I1198">
        <v>0</v>
      </c>
      <c r="J1198">
        <v>2017</v>
      </c>
      <c r="K1198" t="str">
        <f>IF(Books[[#This Row],[AVERAGE RATING]]&gt;=4,"High",IF(Books[[#This Row],[AVERAGE RATING]]&gt;=3,"Medium","Low"))</f>
        <v>Low</v>
      </c>
      <c r="L1198" t="str">
        <f>IF(Books[[#This Row],[AVERAGE RATING]]&gt;10000,"Popular","Average")</f>
        <v>Average</v>
      </c>
      <c r="M1198">
        <f>Books[[#This Row],[AVERAGE RATING]]*Books[[#This Row],[RATINGS COUNT]]</f>
        <v>0</v>
      </c>
    </row>
    <row r="1199" spans="1:13" x14ac:dyDescent="0.25">
      <c r="A1199" t="s">
        <v>2617</v>
      </c>
      <c r="B1199" t="s">
        <v>2618</v>
      </c>
      <c r="C1199">
        <v>346</v>
      </c>
      <c r="D1199" t="s">
        <v>28</v>
      </c>
      <c r="E1199" t="s">
        <v>3915</v>
      </c>
      <c r="F1199" t="s">
        <v>93</v>
      </c>
      <c r="G1199" t="s">
        <v>4</v>
      </c>
      <c r="H1199">
        <v>0</v>
      </c>
      <c r="I1199">
        <v>0</v>
      </c>
      <c r="J1199">
        <v>2019</v>
      </c>
      <c r="K1199" t="str">
        <f>IF(Books[[#This Row],[AVERAGE RATING]]&gt;=4,"High",IF(Books[[#This Row],[AVERAGE RATING]]&gt;=3,"Medium","Low"))</f>
        <v>Low</v>
      </c>
      <c r="L1199" t="str">
        <f>IF(Books[[#This Row],[AVERAGE RATING]]&gt;10000,"Popular","Average")</f>
        <v>Average</v>
      </c>
      <c r="M1199">
        <f>Books[[#This Row],[AVERAGE RATING]]*Books[[#This Row],[RATINGS COUNT]]</f>
        <v>0</v>
      </c>
    </row>
    <row r="1200" spans="1:13" x14ac:dyDescent="0.25">
      <c r="A1200" t="s">
        <v>2619</v>
      </c>
      <c r="B1200" t="s">
        <v>1042</v>
      </c>
      <c r="C1200">
        <v>237</v>
      </c>
      <c r="D1200" t="s">
        <v>2</v>
      </c>
      <c r="E1200" t="s">
        <v>3916</v>
      </c>
      <c r="F1200" t="s">
        <v>76</v>
      </c>
      <c r="G1200" t="s">
        <v>4</v>
      </c>
      <c r="H1200">
        <v>0</v>
      </c>
      <c r="I1200">
        <v>0</v>
      </c>
      <c r="J1200">
        <v>2022</v>
      </c>
      <c r="K1200" t="str">
        <f>IF(Books[[#This Row],[AVERAGE RATING]]&gt;=4,"High",IF(Books[[#This Row],[AVERAGE RATING]]&gt;=3,"Medium","Low"))</f>
        <v>Low</v>
      </c>
      <c r="L1200" t="str">
        <f>IF(Books[[#This Row],[AVERAGE RATING]]&gt;10000,"Popular","Average")</f>
        <v>Average</v>
      </c>
      <c r="M1200">
        <f>Books[[#This Row],[AVERAGE RATING]]*Books[[#This Row],[RATINGS COUNT]]</f>
        <v>0</v>
      </c>
    </row>
    <row r="1201" spans="1:13" x14ac:dyDescent="0.25">
      <c r="A1201" t="s">
        <v>2620</v>
      </c>
      <c r="B1201" t="s">
        <v>2621</v>
      </c>
      <c r="C1201">
        <v>306</v>
      </c>
      <c r="D1201" t="s">
        <v>28</v>
      </c>
      <c r="E1201" t="s">
        <v>3917</v>
      </c>
      <c r="F1201" t="s">
        <v>93</v>
      </c>
      <c r="G1201" t="s">
        <v>4</v>
      </c>
      <c r="H1201">
        <v>0</v>
      </c>
      <c r="I1201">
        <v>0</v>
      </c>
      <c r="J1201">
        <v>2017</v>
      </c>
      <c r="K1201" t="str">
        <f>IF(Books[[#This Row],[AVERAGE RATING]]&gt;=4,"High",IF(Books[[#This Row],[AVERAGE RATING]]&gt;=3,"Medium","Low"))</f>
        <v>Low</v>
      </c>
      <c r="L1201" t="str">
        <f>IF(Books[[#This Row],[AVERAGE RATING]]&gt;10000,"Popular","Average")</f>
        <v>Average</v>
      </c>
      <c r="M1201">
        <f>Books[[#This Row],[AVERAGE RATING]]*Books[[#This Row],[RATINGS COUNT]]</f>
        <v>0</v>
      </c>
    </row>
    <row r="1202" spans="1:13" x14ac:dyDescent="0.25">
      <c r="A1202" t="s">
        <v>2622</v>
      </c>
      <c r="B1202" t="s">
        <v>2623</v>
      </c>
      <c r="C1202">
        <v>1977</v>
      </c>
      <c r="D1202" t="s">
        <v>2</v>
      </c>
      <c r="E1202" s="7" t="s">
        <v>3918</v>
      </c>
      <c r="F1202" t="s">
        <v>119</v>
      </c>
      <c r="G1202" t="s">
        <v>4</v>
      </c>
      <c r="H1202">
        <v>0</v>
      </c>
      <c r="I1202">
        <v>0</v>
      </c>
      <c r="J1202">
        <v>2022</v>
      </c>
      <c r="K1202" t="str">
        <f>IF(Books[[#This Row],[AVERAGE RATING]]&gt;=4,"High",IF(Books[[#This Row],[AVERAGE RATING]]&gt;=3,"Medium","Low"))</f>
        <v>Low</v>
      </c>
      <c r="L1202" t="str">
        <f>IF(Books[[#This Row],[AVERAGE RATING]]&gt;10000,"Popular","Average")</f>
        <v>Average</v>
      </c>
      <c r="M1202">
        <f>Books[[#This Row],[AVERAGE RATING]]*Books[[#This Row],[RATINGS COUNT]]</f>
        <v>0</v>
      </c>
    </row>
    <row r="1203" spans="1:13" x14ac:dyDescent="0.25">
      <c r="A1203" t="s">
        <v>2624</v>
      </c>
      <c r="B1203" t="s">
        <v>2625</v>
      </c>
      <c r="C1203">
        <v>261</v>
      </c>
      <c r="D1203" t="s">
        <v>2</v>
      </c>
      <c r="E1203" t="s">
        <v>3360</v>
      </c>
      <c r="F1203" t="s">
        <v>76</v>
      </c>
      <c r="G1203" t="s">
        <v>4</v>
      </c>
      <c r="H1203">
        <v>0</v>
      </c>
      <c r="I1203">
        <v>0</v>
      </c>
      <c r="J1203">
        <v>2020</v>
      </c>
      <c r="K1203" t="str">
        <f>IF(Books[[#This Row],[AVERAGE RATING]]&gt;=4,"High",IF(Books[[#This Row],[AVERAGE RATING]]&gt;=3,"Medium","Low"))</f>
        <v>Low</v>
      </c>
      <c r="L1203" t="str">
        <f>IF(Books[[#This Row],[AVERAGE RATING]]&gt;10000,"Popular","Average")</f>
        <v>Average</v>
      </c>
      <c r="M1203">
        <f>Books[[#This Row],[AVERAGE RATING]]*Books[[#This Row],[RATINGS COUNT]]</f>
        <v>0</v>
      </c>
    </row>
    <row r="1204" spans="1:13" x14ac:dyDescent="0.25">
      <c r="A1204" t="s">
        <v>2626</v>
      </c>
      <c r="B1204" t="s">
        <v>2627</v>
      </c>
      <c r="C1204">
        <v>309</v>
      </c>
      <c r="D1204" t="s">
        <v>2</v>
      </c>
      <c r="E1204" t="s">
        <v>3798</v>
      </c>
      <c r="F1204" t="s">
        <v>2591</v>
      </c>
      <c r="G1204" t="s">
        <v>4</v>
      </c>
      <c r="H1204">
        <v>0</v>
      </c>
      <c r="I1204">
        <v>0</v>
      </c>
      <c r="J1204">
        <v>2016</v>
      </c>
      <c r="K1204" t="str">
        <f>IF(Books[[#This Row],[AVERAGE RATING]]&gt;=4,"High",IF(Books[[#This Row],[AVERAGE RATING]]&gt;=3,"Medium","Low"))</f>
        <v>Low</v>
      </c>
      <c r="L1204" t="str">
        <f>IF(Books[[#This Row],[AVERAGE RATING]]&gt;10000,"Popular","Average")</f>
        <v>Average</v>
      </c>
      <c r="M1204">
        <f>Books[[#This Row],[AVERAGE RATING]]*Books[[#This Row],[RATINGS COUNT]]</f>
        <v>0</v>
      </c>
    </row>
    <row r="1205" spans="1:13" x14ac:dyDescent="0.25">
      <c r="A1205" t="s">
        <v>2628</v>
      </c>
      <c r="B1205" t="s">
        <v>2629</v>
      </c>
      <c r="C1205">
        <v>368</v>
      </c>
      <c r="D1205" t="s">
        <v>11</v>
      </c>
      <c r="E1205" t="s">
        <v>3919</v>
      </c>
      <c r="F1205" t="s">
        <v>2630</v>
      </c>
      <c r="G1205" t="s">
        <v>4</v>
      </c>
      <c r="H1205">
        <v>0</v>
      </c>
      <c r="I1205">
        <v>0</v>
      </c>
      <c r="J1205">
        <v>2021</v>
      </c>
      <c r="K1205" t="str">
        <f>IF(Books[[#This Row],[AVERAGE RATING]]&gt;=4,"High",IF(Books[[#This Row],[AVERAGE RATING]]&gt;=3,"Medium","Low"))</f>
        <v>Low</v>
      </c>
      <c r="L1205" t="str">
        <f>IF(Books[[#This Row],[AVERAGE RATING]]&gt;10000,"Popular","Average")</f>
        <v>Average</v>
      </c>
      <c r="M1205">
        <f>Books[[#This Row],[AVERAGE RATING]]*Books[[#This Row],[RATINGS COUNT]]</f>
        <v>0</v>
      </c>
    </row>
    <row r="1206" spans="1:13" x14ac:dyDescent="0.25">
      <c r="A1206" t="s">
        <v>2631</v>
      </c>
      <c r="B1206" t="s">
        <v>409</v>
      </c>
      <c r="C1206">
        <v>216</v>
      </c>
      <c r="D1206" t="s">
        <v>11</v>
      </c>
      <c r="E1206" t="s">
        <v>3742</v>
      </c>
      <c r="F1206" t="s">
        <v>409</v>
      </c>
      <c r="G1206" t="s">
        <v>4</v>
      </c>
      <c r="H1206">
        <v>0</v>
      </c>
      <c r="I1206">
        <v>0</v>
      </c>
      <c r="J1206">
        <v>2023</v>
      </c>
      <c r="K1206" t="str">
        <f>IF(Books[[#This Row],[AVERAGE RATING]]&gt;=4,"High",IF(Books[[#This Row],[AVERAGE RATING]]&gt;=3,"Medium","Low"))</f>
        <v>Low</v>
      </c>
      <c r="L1206" t="str">
        <f>IF(Books[[#This Row],[AVERAGE RATING]]&gt;10000,"Popular","Average")</f>
        <v>Average</v>
      </c>
      <c r="M1206">
        <f>Books[[#This Row],[AVERAGE RATING]]*Books[[#This Row],[RATINGS COUNT]]</f>
        <v>0</v>
      </c>
    </row>
    <row r="1207" spans="1:13" x14ac:dyDescent="0.25">
      <c r="A1207" t="s">
        <v>2632</v>
      </c>
      <c r="B1207" t="s">
        <v>2633</v>
      </c>
      <c r="C1207">
        <v>352</v>
      </c>
      <c r="D1207" t="s">
        <v>328</v>
      </c>
      <c r="E1207" t="s">
        <v>3920</v>
      </c>
      <c r="F1207" t="s">
        <v>600</v>
      </c>
      <c r="G1207" t="s">
        <v>4</v>
      </c>
      <c r="H1207">
        <v>0</v>
      </c>
      <c r="I1207">
        <v>0</v>
      </c>
      <c r="J1207">
        <v>2016</v>
      </c>
      <c r="K1207" t="str">
        <f>IF(Books[[#This Row],[AVERAGE RATING]]&gt;=4,"High",IF(Books[[#This Row],[AVERAGE RATING]]&gt;=3,"Medium","Low"))</f>
        <v>Low</v>
      </c>
      <c r="L1207" t="str">
        <f>IF(Books[[#This Row],[AVERAGE RATING]]&gt;10000,"Popular","Average")</f>
        <v>Average</v>
      </c>
      <c r="M1207">
        <f>Books[[#This Row],[AVERAGE RATING]]*Books[[#This Row],[RATINGS COUNT]]</f>
        <v>0</v>
      </c>
    </row>
    <row r="1208" spans="1:13" x14ac:dyDescent="0.25">
      <c r="A1208" t="s">
        <v>2634</v>
      </c>
      <c r="B1208" t="s">
        <v>2635</v>
      </c>
      <c r="C1208">
        <v>296</v>
      </c>
      <c r="D1208" t="s">
        <v>11</v>
      </c>
      <c r="E1208" t="s">
        <v>3559</v>
      </c>
      <c r="F1208" t="s">
        <v>2636</v>
      </c>
      <c r="G1208" t="s">
        <v>4</v>
      </c>
      <c r="H1208">
        <v>0</v>
      </c>
      <c r="I1208">
        <v>0</v>
      </c>
      <c r="J1208">
        <v>2023</v>
      </c>
      <c r="K1208" t="str">
        <f>IF(Books[[#This Row],[AVERAGE RATING]]&gt;=4,"High",IF(Books[[#This Row],[AVERAGE RATING]]&gt;=3,"Medium","Low"))</f>
        <v>Low</v>
      </c>
      <c r="L1208" t="str">
        <f>IF(Books[[#This Row],[AVERAGE RATING]]&gt;10000,"Popular","Average")</f>
        <v>Average</v>
      </c>
      <c r="M1208">
        <f>Books[[#This Row],[AVERAGE RATING]]*Books[[#This Row],[RATINGS COUNT]]</f>
        <v>0</v>
      </c>
    </row>
    <row r="1209" spans="1:13" x14ac:dyDescent="0.25">
      <c r="A1209" t="s">
        <v>2637</v>
      </c>
      <c r="B1209" t="s">
        <v>2638</v>
      </c>
      <c r="C1209">
        <v>184</v>
      </c>
      <c r="D1209" t="s">
        <v>28</v>
      </c>
      <c r="E1209" t="s">
        <v>3921</v>
      </c>
      <c r="F1209" t="s">
        <v>60</v>
      </c>
      <c r="G1209" t="s">
        <v>4</v>
      </c>
      <c r="H1209">
        <v>0</v>
      </c>
      <c r="I1209">
        <v>0</v>
      </c>
      <c r="J1209">
        <v>2023</v>
      </c>
      <c r="K1209" t="str">
        <f>IF(Books[[#This Row],[AVERAGE RATING]]&gt;=4,"High",IF(Books[[#This Row],[AVERAGE RATING]]&gt;=3,"Medium","Low"))</f>
        <v>Low</v>
      </c>
      <c r="L1209" t="str">
        <f>IF(Books[[#This Row],[AVERAGE RATING]]&gt;10000,"Popular","Average")</f>
        <v>Average</v>
      </c>
      <c r="M1209">
        <f>Books[[#This Row],[AVERAGE RATING]]*Books[[#This Row],[RATINGS COUNT]]</f>
        <v>0</v>
      </c>
    </row>
    <row r="1210" spans="1:13" x14ac:dyDescent="0.25">
      <c r="A1210" t="s">
        <v>2639</v>
      </c>
      <c r="B1210" t="s">
        <v>2640</v>
      </c>
      <c r="C1210">
        <v>117</v>
      </c>
      <c r="D1210" t="s">
        <v>32</v>
      </c>
      <c r="E1210" t="s">
        <v>3922</v>
      </c>
      <c r="F1210" t="s">
        <v>119</v>
      </c>
      <c r="G1210" t="s">
        <v>4</v>
      </c>
      <c r="H1210">
        <v>0</v>
      </c>
      <c r="I1210">
        <v>0</v>
      </c>
      <c r="J1210">
        <v>2025</v>
      </c>
      <c r="K1210" t="str">
        <f>IF(Books[[#This Row],[AVERAGE RATING]]&gt;=4,"High",IF(Books[[#This Row],[AVERAGE RATING]]&gt;=3,"Medium","Low"))</f>
        <v>Low</v>
      </c>
      <c r="L1210" t="str">
        <f>IF(Books[[#This Row],[AVERAGE RATING]]&gt;10000,"Popular","Average")</f>
        <v>Average</v>
      </c>
      <c r="M1210">
        <f>Books[[#This Row],[AVERAGE RATING]]*Books[[#This Row],[RATINGS COUNT]]</f>
        <v>0</v>
      </c>
    </row>
    <row r="1211" spans="1:13" x14ac:dyDescent="0.25">
      <c r="A1211" t="s">
        <v>2641</v>
      </c>
      <c r="B1211" t="s">
        <v>2642</v>
      </c>
      <c r="C1211">
        <v>214</v>
      </c>
      <c r="D1211" t="s">
        <v>7</v>
      </c>
      <c r="E1211" t="s">
        <v>3923</v>
      </c>
      <c r="F1211" t="s">
        <v>2643</v>
      </c>
      <c r="G1211" t="s">
        <v>4</v>
      </c>
      <c r="H1211">
        <v>0</v>
      </c>
      <c r="I1211">
        <v>0</v>
      </c>
      <c r="J1211">
        <v>2025</v>
      </c>
      <c r="K1211" t="str">
        <f>IF(Books[[#This Row],[AVERAGE RATING]]&gt;=4,"High",IF(Books[[#This Row],[AVERAGE RATING]]&gt;=3,"Medium","Low"))</f>
        <v>Low</v>
      </c>
      <c r="L1211" t="str">
        <f>IF(Books[[#This Row],[AVERAGE RATING]]&gt;10000,"Popular","Average")</f>
        <v>Average</v>
      </c>
      <c r="M1211">
        <f>Books[[#This Row],[AVERAGE RATING]]*Books[[#This Row],[RATINGS COUNT]]</f>
        <v>0</v>
      </c>
    </row>
    <row r="1212" spans="1:13" x14ac:dyDescent="0.25">
      <c r="A1212" t="s">
        <v>2644</v>
      </c>
      <c r="B1212" t="s">
        <v>2645</v>
      </c>
      <c r="C1212">
        <v>284</v>
      </c>
      <c r="D1212" t="s">
        <v>11</v>
      </c>
      <c r="E1212" t="s">
        <v>3924</v>
      </c>
      <c r="F1212" t="s">
        <v>2645</v>
      </c>
      <c r="G1212" t="s">
        <v>4</v>
      </c>
      <c r="H1212">
        <v>5</v>
      </c>
      <c r="I1212">
        <v>1</v>
      </c>
      <c r="J1212">
        <v>2015</v>
      </c>
      <c r="K1212" t="str">
        <f>IF(Books[[#This Row],[AVERAGE RATING]]&gt;=4,"High",IF(Books[[#This Row],[AVERAGE RATING]]&gt;=3,"Medium","Low"))</f>
        <v>High</v>
      </c>
      <c r="L1212" t="str">
        <f>IF(Books[[#This Row],[AVERAGE RATING]]&gt;10000,"Popular","Average")</f>
        <v>Average</v>
      </c>
      <c r="M1212">
        <f>Books[[#This Row],[AVERAGE RATING]]*Books[[#This Row],[RATINGS COUNT]]</f>
        <v>5</v>
      </c>
    </row>
    <row r="1213" spans="1:13" x14ac:dyDescent="0.25">
      <c r="A1213" t="s">
        <v>2646</v>
      </c>
      <c r="B1213" t="s">
        <v>2647</v>
      </c>
      <c r="C1213">
        <v>277</v>
      </c>
      <c r="D1213" t="s">
        <v>1632</v>
      </c>
      <c r="E1213" t="s">
        <v>3917</v>
      </c>
      <c r="F1213" t="s">
        <v>2648</v>
      </c>
      <c r="G1213" t="s">
        <v>4</v>
      </c>
      <c r="H1213">
        <v>0</v>
      </c>
      <c r="I1213">
        <v>0</v>
      </c>
      <c r="J1213">
        <v>2017</v>
      </c>
      <c r="K1213" t="str">
        <f>IF(Books[[#This Row],[AVERAGE RATING]]&gt;=4,"High",IF(Books[[#This Row],[AVERAGE RATING]]&gt;=3,"Medium","Low"))</f>
        <v>Low</v>
      </c>
      <c r="L1213" t="str">
        <f>IF(Books[[#This Row],[AVERAGE RATING]]&gt;10000,"Popular","Average")</f>
        <v>Average</v>
      </c>
      <c r="M1213">
        <f>Books[[#This Row],[AVERAGE RATING]]*Books[[#This Row],[RATINGS COUNT]]</f>
        <v>0</v>
      </c>
    </row>
    <row r="1214" spans="1:13" x14ac:dyDescent="0.25">
      <c r="A1214" t="s">
        <v>2649</v>
      </c>
      <c r="B1214" t="s">
        <v>2650</v>
      </c>
      <c r="C1214">
        <v>320</v>
      </c>
      <c r="D1214" t="s">
        <v>11</v>
      </c>
      <c r="E1214" t="s">
        <v>3925</v>
      </c>
      <c r="F1214" t="s">
        <v>1203</v>
      </c>
      <c r="G1214" t="s">
        <v>4</v>
      </c>
      <c r="H1214">
        <v>0</v>
      </c>
      <c r="I1214">
        <v>0</v>
      </c>
      <c r="J1214">
        <v>2014</v>
      </c>
      <c r="K1214" t="str">
        <f>IF(Books[[#This Row],[AVERAGE RATING]]&gt;=4,"High",IF(Books[[#This Row],[AVERAGE RATING]]&gt;=3,"Medium","Low"))</f>
        <v>Low</v>
      </c>
      <c r="L1214" t="str">
        <f>IF(Books[[#This Row],[AVERAGE RATING]]&gt;10000,"Popular","Average")</f>
        <v>Average</v>
      </c>
      <c r="M1214">
        <f>Books[[#This Row],[AVERAGE RATING]]*Books[[#This Row],[RATINGS COUNT]]</f>
        <v>0</v>
      </c>
    </row>
    <row r="1215" spans="1:13" x14ac:dyDescent="0.25">
      <c r="A1215" t="s">
        <v>2651</v>
      </c>
      <c r="B1215" t="s">
        <v>2652</v>
      </c>
      <c r="C1215">
        <v>263</v>
      </c>
      <c r="D1215" t="s">
        <v>383</v>
      </c>
      <c r="E1215" t="s">
        <v>3926</v>
      </c>
      <c r="F1215" t="s">
        <v>119</v>
      </c>
      <c r="G1215" t="s">
        <v>4</v>
      </c>
      <c r="H1215">
        <v>0</v>
      </c>
      <c r="I1215">
        <v>0</v>
      </c>
      <c r="J1215">
        <v>2019</v>
      </c>
      <c r="K1215" t="str">
        <f>IF(Books[[#This Row],[AVERAGE RATING]]&gt;=4,"High",IF(Books[[#This Row],[AVERAGE RATING]]&gt;=3,"Medium","Low"))</f>
        <v>Low</v>
      </c>
      <c r="L1215" t="str">
        <f>IF(Books[[#This Row],[AVERAGE RATING]]&gt;10000,"Popular","Average")</f>
        <v>Average</v>
      </c>
      <c r="M1215">
        <f>Books[[#This Row],[AVERAGE RATING]]*Books[[#This Row],[RATINGS COUNT]]</f>
        <v>0</v>
      </c>
    </row>
    <row r="1216" spans="1:13" x14ac:dyDescent="0.25">
      <c r="A1216" t="s">
        <v>2653</v>
      </c>
      <c r="B1216" t="s">
        <v>2654</v>
      </c>
      <c r="C1216">
        <v>678</v>
      </c>
      <c r="D1216" t="s">
        <v>11</v>
      </c>
      <c r="E1216" t="s">
        <v>3927</v>
      </c>
      <c r="F1216" t="s">
        <v>2655</v>
      </c>
      <c r="G1216" t="s">
        <v>1304</v>
      </c>
      <c r="H1216">
        <v>0</v>
      </c>
      <c r="I1216">
        <v>0</v>
      </c>
      <c r="J1216">
        <v>2009</v>
      </c>
      <c r="K1216" t="str">
        <f>IF(Books[[#This Row],[AVERAGE RATING]]&gt;=4,"High",IF(Books[[#This Row],[AVERAGE RATING]]&gt;=3,"Medium","Low"))</f>
        <v>Low</v>
      </c>
      <c r="L1216" t="str">
        <f>IF(Books[[#This Row],[AVERAGE RATING]]&gt;10000,"Popular","Average")</f>
        <v>Average</v>
      </c>
      <c r="M1216">
        <f>Books[[#This Row],[AVERAGE RATING]]*Books[[#This Row],[RATINGS COUNT]]</f>
        <v>0</v>
      </c>
    </row>
    <row r="1217" spans="1:13" x14ac:dyDescent="0.25">
      <c r="A1217" t="s">
        <v>2656</v>
      </c>
      <c r="B1217" t="s">
        <v>1996</v>
      </c>
      <c r="C1217">
        <v>274</v>
      </c>
      <c r="D1217" t="s">
        <v>339</v>
      </c>
      <c r="E1217" t="s">
        <v>3928</v>
      </c>
      <c r="F1217" t="s">
        <v>1998</v>
      </c>
      <c r="G1217" t="s">
        <v>4</v>
      </c>
      <c r="H1217">
        <v>0</v>
      </c>
      <c r="I1217">
        <v>0</v>
      </c>
      <c r="J1217">
        <v>2014</v>
      </c>
      <c r="K1217" t="str">
        <f>IF(Books[[#This Row],[AVERAGE RATING]]&gt;=4,"High",IF(Books[[#This Row],[AVERAGE RATING]]&gt;=3,"Medium","Low"))</f>
        <v>Low</v>
      </c>
      <c r="L1217" t="str">
        <f>IF(Books[[#This Row],[AVERAGE RATING]]&gt;10000,"Popular","Average")</f>
        <v>Average</v>
      </c>
      <c r="M1217">
        <f>Books[[#This Row],[AVERAGE RATING]]*Books[[#This Row],[RATINGS COUNT]]</f>
        <v>0</v>
      </c>
    </row>
    <row r="1218" spans="1:13" x14ac:dyDescent="0.25">
      <c r="A1218" t="s">
        <v>2657</v>
      </c>
      <c r="B1218" t="s">
        <v>2658</v>
      </c>
      <c r="C1218">
        <v>343</v>
      </c>
      <c r="D1218" t="s">
        <v>328</v>
      </c>
      <c r="E1218" t="s">
        <v>3515</v>
      </c>
      <c r="F1218" t="s">
        <v>93</v>
      </c>
      <c r="G1218" t="s">
        <v>4</v>
      </c>
      <c r="H1218">
        <v>0</v>
      </c>
      <c r="I1218">
        <v>0</v>
      </c>
      <c r="J1218">
        <v>2012</v>
      </c>
      <c r="K1218" t="str">
        <f>IF(Books[[#This Row],[AVERAGE RATING]]&gt;=4,"High",IF(Books[[#This Row],[AVERAGE RATING]]&gt;=3,"Medium","Low"))</f>
        <v>Low</v>
      </c>
      <c r="L1218" t="str">
        <f>IF(Books[[#This Row],[AVERAGE RATING]]&gt;10000,"Popular","Average")</f>
        <v>Average</v>
      </c>
      <c r="M1218">
        <f>Books[[#This Row],[AVERAGE RATING]]*Books[[#This Row],[RATINGS COUNT]]</f>
        <v>0</v>
      </c>
    </row>
    <row r="1219" spans="1:13" x14ac:dyDescent="0.25">
      <c r="A1219" t="s">
        <v>2659</v>
      </c>
      <c r="B1219" t="s">
        <v>2660</v>
      </c>
      <c r="C1219">
        <v>629</v>
      </c>
      <c r="D1219" t="s">
        <v>11</v>
      </c>
      <c r="E1219" t="s">
        <v>3929</v>
      </c>
      <c r="F1219" t="s">
        <v>2661</v>
      </c>
      <c r="G1219" t="s">
        <v>1304</v>
      </c>
      <c r="H1219">
        <v>0</v>
      </c>
      <c r="I1219">
        <v>0</v>
      </c>
      <c r="J1219">
        <v>2019</v>
      </c>
      <c r="K1219" t="str">
        <f>IF(Books[[#This Row],[AVERAGE RATING]]&gt;=4,"High",IF(Books[[#This Row],[AVERAGE RATING]]&gt;=3,"Medium","Low"))</f>
        <v>Low</v>
      </c>
      <c r="L1219" t="str">
        <f>IF(Books[[#This Row],[AVERAGE RATING]]&gt;10000,"Popular","Average")</f>
        <v>Average</v>
      </c>
      <c r="M1219">
        <f>Books[[#This Row],[AVERAGE RATING]]*Books[[#This Row],[RATINGS COUNT]]</f>
        <v>0</v>
      </c>
    </row>
    <row r="1220" spans="1:13" x14ac:dyDescent="0.25">
      <c r="A1220" t="s">
        <v>2662</v>
      </c>
      <c r="B1220" t="s">
        <v>2663</v>
      </c>
      <c r="C1220">
        <v>226</v>
      </c>
      <c r="D1220" t="s">
        <v>298</v>
      </c>
      <c r="E1220" t="s">
        <v>3322</v>
      </c>
      <c r="F1220" t="s">
        <v>881</v>
      </c>
      <c r="G1220" t="s">
        <v>4</v>
      </c>
      <c r="H1220">
        <v>0</v>
      </c>
      <c r="I1220">
        <v>0</v>
      </c>
      <c r="J1220">
        <v>2012</v>
      </c>
      <c r="K1220" t="str">
        <f>IF(Books[[#This Row],[AVERAGE RATING]]&gt;=4,"High",IF(Books[[#This Row],[AVERAGE RATING]]&gt;=3,"Medium","Low"))</f>
        <v>Low</v>
      </c>
      <c r="L1220" t="str">
        <f>IF(Books[[#This Row],[AVERAGE RATING]]&gt;10000,"Popular","Average")</f>
        <v>Average</v>
      </c>
      <c r="M1220">
        <f>Books[[#This Row],[AVERAGE RATING]]*Books[[#This Row],[RATINGS COUNT]]</f>
        <v>0</v>
      </c>
    </row>
    <row r="1221" spans="1:13" x14ac:dyDescent="0.25">
      <c r="A1221" t="s">
        <v>2664</v>
      </c>
      <c r="B1221" t="s">
        <v>2665</v>
      </c>
      <c r="C1221">
        <v>274</v>
      </c>
      <c r="D1221" t="s">
        <v>28</v>
      </c>
      <c r="E1221" t="s">
        <v>3930</v>
      </c>
      <c r="F1221" t="s">
        <v>119</v>
      </c>
      <c r="G1221" t="s">
        <v>4</v>
      </c>
      <c r="H1221">
        <v>0</v>
      </c>
      <c r="I1221">
        <v>0</v>
      </c>
      <c r="J1221">
        <v>2022</v>
      </c>
      <c r="K1221" t="str">
        <f>IF(Books[[#This Row],[AVERAGE RATING]]&gt;=4,"High",IF(Books[[#This Row],[AVERAGE RATING]]&gt;=3,"Medium","Low"))</f>
        <v>Low</v>
      </c>
      <c r="L1221" t="str">
        <f>IF(Books[[#This Row],[AVERAGE RATING]]&gt;10000,"Popular","Average")</f>
        <v>Average</v>
      </c>
      <c r="M1221">
        <f>Books[[#This Row],[AVERAGE RATING]]*Books[[#This Row],[RATINGS COUNT]]</f>
        <v>0</v>
      </c>
    </row>
    <row r="1222" spans="1:13" x14ac:dyDescent="0.25">
      <c r="A1222" t="s">
        <v>2666</v>
      </c>
      <c r="B1222" t="s">
        <v>2667</v>
      </c>
      <c r="C1222">
        <v>641</v>
      </c>
      <c r="D1222" t="s">
        <v>298</v>
      </c>
      <c r="E1222" t="s">
        <v>3931</v>
      </c>
      <c r="F1222" t="s">
        <v>35</v>
      </c>
      <c r="G1222" t="s">
        <v>4</v>
      </c>
      <c r="H1222">
        <v>1</v>
      </c>
      <c r="I1222">
        <v>1</v>
      </c>
      <c r="J1222">
        <v>2013</v>
      </c>
      <c r="K1222" t="str">
        <f>IF(Books[[#This Row],[AVERAGE RATING]]&gt;=4,"High",IF(Books[[#This Row],[AVERAGE RATING]]&gt;=3,"Medium","Low"))</f>
        <v>Low</v>
      </c>
      <c r="L1222" t="str">
        <f>IF(Books[[#This Row],[AVERAGE RATING]]&gt;10000,"Popular","Average")</f>
        <v>Average</v>
      </c>
      <c r="M1222">
        <f>Books[[#This Row],[AVERAGE RATING]]*Books[[#This Row],[RATINGS COUNT]]</f>
        <v>1</v>
      </c>
    </row>
    <row r="1223" spans="1:13" x14ac:dyDescent="0.25">
      <c r="A1223" t="s">
        <v>2668</v>
      </c>
      <c r="B1223" t="s">
        <v>2669</v>
      </c>
      <c r="C1223">
        <v>149</v>
      </c>
      <c r="D1223" t="s">
        <v>356</v>
      </c>
      <c r="E1223" t="s">
        <v>3932</v>
      </c>
      <c r="F1223" t="s">
        <v>80</v>
      </c>
      <c r="G1223" t="s">
        <v>4</v>
      </c>
      <c r="H1223">
        <v>0</v>
      </c>
      <c r="I1223">
        <v>0</v>
      </c>
      <c r="J1223">
        <v>2019</v>
      </c>
      <c r="K1223" t="str">
        <f>IF(Books[[#This Row],[AVERAGE RATING]]&gt;=4,"High",IF(Books[[#This Row],[AVERAGE RATING]]&gt;=3,"Medium","Low"))</f>
        <v>Low</v>
      </c>
      <c r="L1223" t="str">
        <f>IF(Books[[#This Row],[AVERAGE RATING]]&gt;10000,"Popular","Average")</f>
        <v>Average</v>
      </c>
      <c r="M1223">
        <f>Books[[#This Row],[AVERAGE RATING]]*Books[[#This Row],[RATINGS COUNT]]</f>
        <v>0</v>
      </c>
    </row>
    <row r="1224" spans="1:13" x14ac:dyDescent="0.25">
      <c r="A1224" t="s">
        <v>2670</v>
      </c>
      <c r="B1224" t="s">
        <v>2671</v>
      </c>
      <c r="C1224">
        <v>263</v>
      </c>
      <c r="D1224" t="s">
        <v>28</v>
      </c>
      <c r="E1224" t="s">
        <v>3324</v>
      </c>
      <c r="F1224" t="s">
        <v>2672</v>
      </c>
      <c r="G1224" t="s">
        <v>4</v>
      </c>
      <c r="H1224">
        <v>0</v>
      </c>
      <c r="I1224">
        <v>0</v>
      </c>
      <c r="J1224">
        <v>2024</v>
      </c>
      <c r="K1224" t="str">
        <f>IF(Books[[#This Row],[AVERAGE RATING]]&gt;=4,"High",IF(Books[[#This Row],[AVERAGE RATING]]&gt;=3,"Medium","Low"))</f>
        <v>Low</v>
      </c>
      <c r="L1224" t="str">
        <f>IF(Books[[#This Row],[AVERAGE RATING]]&gt;10000,"Popular","Average")</f>
        <v>Average</v>
      </c>
      <c r="M1224">
        <f>Books[[#This Row],[AVERAGE RATING]]*Books[[#This Row],[RATINGS COUNT]]</f>
        <v>0</v>
      </c>
    </row>
    <row r="1225" spans="1:13" x14ac:dyDescent="0.25">
      <c r="A1225" t="s">
        <v>2673</v>
      </c>
      <c r="B1225" t="s">
        <v>2674</v>
      </c>
      <c r="C1225">
        <v>533</v>
      </c>
      <c r="D1225" t="s">
        <v>356</v>
      </c>
      <c r="E1225" t="s">
        <v>3933</v>
      </c>
      <c r="F1225" t="s">
        <v>756</v>
      </c>
      <c r="G1225" t="s">
        <v>4</v>
      </c>
      <c r="H1225">
        <v>0</v>
      </c>
      <c r="I1225">
        <v>0</v>
      </c>
      <c r="J1225">
        <v>2020</v>
      </c>
      <c r="K1225" t="str">
        <f>IF(Books[[#This Row],[AVERAGE RATING]]&gt;=4,"High",IF(Books[[#This Row],[AVERAGE RATING]]&gt;=3,"Medium","Low"))</f>
        <v>Low</v>
      </c>
      <c r="L1225" t="str">
        <f>IF(Books[[#This Row],[AVERAGE RATING]]&gt;10000,"Popular","Average")</f>
        <v>Average</v>
      </c>
      <c r="M1225">
        <f>Books[[#This Row],[AVERAGE RATING]]*Books[[#This Row],[RATINGS COUNT]]</f>
        <v>0</v>
      </c>
    </row>
    <row r="1226" spans="1:13" x14ac:dyDescent="0.25">
      <c r="A1226" t="s">
        <v>2675</v>
      </c>
      <c r="B1226" t="s">
        <v>2676</v>
      </c>
      <c r="C1226">
        <v>202</v>
      </c>
      <c r="D1226" t="s">
        <v>383</v>
      </c>
      <c r="E1226" t="s">
        <v>3934</v>
      </c>
      <c r="F1226" t="s">
        <v>935</v>
      </c>
      <c r="G1226" t="s">
        <v>4</v>
      </c>
      <c r="H1226">
        <v>0</v>
      </c>
      <c r="I1226">
        <v>0</v>
      </c>
      <c r="J1226">
        <v>2024</v>
      </c>
      <c r="K1226" t="str">
        <f>IF(Books[[#This Row],[AVERAGE RATING]]&gt;=4,"High",IF(Books[[#This Row],[AVERAGE RATING]]&gt;=3,"Medium","Low"))</f>
        <v>Low</v>
      </c>
      <c r="L1226" t="str">
        <f>IF(Books[[#This Row],[AVERAGE RATING]]&gt;10000,"Popular","Average")</f>
        <v>Average</v>
      </c>
      <c r="M1226">
        <f>Books[[#This Row],[AVERAGE RATING]]*Books[[#This Row],[RATINGS COUNT]]</f>
        <v>0</v>
      </c>
    </row>
    <row r="1227" spans="1:13" x14ac:dyDescent="0.25">
      <c r="A1227" t="s">
        <v>2677</v>
      </c>
      <c r="B1227" t="s">
        <v>2678</v>
      </c>
      <c r="C1227">
        <v>272</v>
      </c>
      <c r="D1227" t="s">
        <v>54</v>
      </c>
      <c r="E1227" t="s">
        <v>3935</v>
      </c>
      <c r="F1227" t="s">
        <v>1203</v>
      </c>
      <c r="G1227" t="s">
        <v>4</v>
      </c>
      <c r="H1227">
        <v>0</v>
      </c>
      <c r="I1227">
        <v>0</v>
      </c>
      <c r="J1227">
        <v>2014</v>
      </c>
      <c r="K1227" t="str">
        <f>IF(Books[[#This Row],[AVERAGE RATING]]&gt;=4,"High",IF(Books[[#This Row],[AVERAGE RATING]]&gt;=3,"Medium","Low"))</f>
        <v>Low</v>
      </c>
      <c r="L1227" t="str">
        <f>IF(Books[[#This Row],[AVERAGE RATING]]&gt;10000,"Popular","Average")</f>
        <v>Average</v>
      </c>
      <c r="M1227">
        <f>Books[[#This Row],[AVERAGE RATING]]*Books[[#This Row],[RATINGS COUNT]]</f>
        <v>0</v>
      </c>
    </row>
    <row r="1228" spans="1:13" x14ac:dyDescent="0.25">
      <c r="A1228" t="s">
        <v>2679</v>
      </c>
      <c r="B1228" t="s">
        <v>2680</v>
      </c>
      <c r="C1228">
        <v>794</v>
      </c>
      <c r="D1228" t="s">
        <v>383</v>
      </c>
      <c r="E1228" t="s">
        <v>3708</v>
      </c>
      <c r="F1228" t="s">
        <v>2032</v>
      </c>
      <c r="G1228" t="s">
        <v>4</v>
      </c>
      <c r="H1228">
        <v>0</v>
      </c>
      <c r="I1228">
        <v>0</v>
      </c>
      <c r="J1228">
        <v>2011</v>
      </c>
      <c r="K1228" t="str">
        <f>IF(Books[[#This Row],[AVERAGE RATING]]&gt;=4,"High",IF(Books[[#This Row],[AVERAGE RATING]]&gt;=3,"Medium","Low"))</f>
        <v>Low</v>
      </c>
      <c r="L1228" t="str">
        <f>IF(Books[[#This Row],[AVERAGE RATING]]&gt;10000,"Popular","Average")</f>
        <v>Average</v>
      </c>
      <c r="M1228">
        <f>Books[[#This Row],[AVERAGE RATING]]*Books[[#This Row],[RATINGS COUNT]]</f>
        <v>0</v>
      </c>
    </row>
    <row r="1229" spans="1:13" x14ac:dyDescent="0.25">
      <c r="A1229" t="s">
        <v>2681</v>
      </c>
      <c r="B1229" t="s">
        <v>2682</v>
      </c>
      <c r="C1229">
        <v>272</v>
      </c>
      <c r="D1229" t="s">
        <v>2</v>
      </c>
      <c r="E1229" t="s">
        <v>3401</v>
      </c>
      <c r="F1229" t="s">
        <v>122</v>
      </c>
      <c r="G1229" t="s">
        <v>4</v>
      </c>
      <c r="H1229">
        <v>0</v>
      </c>
      <c r="I1229">
        <v>0</v>
      </c>
      <c r="J1229">
        <v>2015</v>
      </c>
      <c r="K1229" t="str">
        <f>IF(Books[[#This Row],[AVERAGE RATING]]&gt;=4,"High",IF(Books[[#This Row],[AVERAGE RATING]]&gt;=3,"Medium","Low"))</f>
        <v>Low</v>
      </c>
      <c r="L1229" t="str">
        <f>IF(Books[[#This Row],[AVERAGE RATING]]&gt;10000,"Popular","Average")</f>
        <v>Average</v>
      </c>
      <c r="M1229">
        <f>Books[[#This Row],[AVERAGE RATING]]*Books[[#This Row],[RATINGS COUNT]]</f>
        <v>0</v>
      </c>
    </row>
    <row r="1230" spans="1:13" x14ac:dyDescent="0.25">
      <c r="A1230" t="s">
        <v>2683</v>
      </c>
      <c r="B1230" t="s">
        <v>2684</v>
      </c>
      <c r="C1230">
        <v>237</v>
      </c>
      <c r="D1230" t="s">
        <v>28</v>
      </c>
      <c r="E1230" t="s">
        <v>3936</v>
      </c>
      <c r="F1230" t="s">
        <v>76</v>
      </c>
      <c r="G1230" t="s">
        <v>4</v>
      </c>
      <c r="H1230">
        <v>0</v>
      </c>
      <c r="I1230">
        <v>0</v>
      </c>
      <c r="J1230">
        <v>2016</v>
      </c>
      <c r="K1230" t="str">
        <f>IF(Books[[#This Row],[AVERAGE RATING]]&gt;=4,"High",IF(Books[[#This Row],[AVERAGE RATING]]&gt;=3,"Medium","Low"))</f>
        <v>Low</v>
      </c>
      <c r="L1230" t="str">
        <f>IF(Books[[#This Row],[AVERAGE RATING]]&gt;10000,"Popular","Average")</f>
        <v>Average</v>
      </c>
      <c r="M1230">
        <f>Books[[#This Row],[AVERAGE RATING]]*Books[[#This Row],[RATINGS COUNT]]</f>
        <v>0</v>
      </c>
    </row>
    <row r="1231" spans="1:13" x14ac:dyDescent="0.25">
      <c r="A1231" t="s">
        <v>2685</v>
      </c>
      <c r="B1231" t="s">
        <v>2686</v>
      </c>
      <c r="C1231">
        <v>263</v>
      </c>
      <c r="D1231" t="s">
        <v>45</v>
      </c>
      <c r="E1231" t="s">
        <v>3617</v>
      </c>
      <c r="F1231" t="s">
        <v>1664</v>
      </c>
      <c r="G1231" t="s">
        <v>4</v>
      </c>
      <c r="H1231">
        <v>0</v>
      </c>
      <c r="I1231">
        <v>0</v>
      </c>
      <c r="J1231">
        <v>2011</v>
      </c>
      <c r="K1231" t="str">
        <f>IF(Books[[#This Row],[AVERAGE RATING]]&gt;=4,"High",IF(Books[[#This Row],[AVERAGE RATING]]&gt;=3,"Medium","Low"))</f>
        <v>Low</v>
      </c>
      <c r="L1231" t="str">
        <f>IF(Books[[#This Row],[AVERAGE RATING]]&gt;10000,"Popular","Average")</f>
        <v>Average</v>
      </c>
      <c r="M1231">
        <f>Books[[#This Row],[AVERAGE RATING]]*Books[[#This Row],[RATINGS COUNT]]</f>
        <v>0</v>
      </c>
    </row>
    <row r="1232" spans="1:13" x14ac:dyDescent="0.25">
      <c r="A1232" t="s">
        <v>2687</v>
      </c>
      <c r="B1232" t="s">
        <v>2688</v>
      </c>
      <c r="C1232">
        <v>187</v>
      </c>
      <c r="D1232" t="s">
        <v>328</v>
      </c>
      <c r="E1232" t="s">
        <v>3937</v>
      </c>
      <c r="F1232" t="s">
        <v>60</v>
      </c>
      <c r="G1232" t="s">
        <v>4</v>
      </c>
      <c r="H1232">
        <v>0</v>
      </c>
      <c r="I1232">
        <v>0</v>
      </c>
      <c r="J1232">
        <v>2016</v>
      </c>
      <c r="K1232" t="str">
        <f>IF(Books[[#This Row],[AVERAGE RATING]]&gt;=4,"High",IF(Books[[#This Row],[AVERAGE RATING]]&gt;=3,"Medium","Low"))</f>
        <v>Low</v>
      </c>
      <c r="L1232" t="str">
        <f>IF(Books[[#This Row],[AVERAGE RATING]]&gt;10000,"Popular","Average")</f>
        <v>Average</v>
      </c>
      <c r="M1232">
        <f>Books[[#This Row],[AVERAGE RATING]]*Books[[#This Row],[RATINGS COUNT]]</f>
        <v>0</v>
      </c>
    </row>
    <row r="1233" spans="1:13" x14ac:dyDescent="0.25">
      <c r="A1233" t="s">
        <v>2689</v>
      </c>
      <c r="B1233" t="s">
        <v>2690</v>
      </c>
      <c r="C1233">
        <v>387</v>
      </c>
      <c r="D1233" t="s">
        <v>383</v>
      </c>
      <c r="E1233" t="s">
        <v>3938</v>
      </c>
      <c r="F1233" t="s">
        <v>183</v>
      </c>
      <c r="G1233" t="s">
        <v>4</v>
      </c>
      <c r="H1233">
        <v>0</v>
      </c>
      <c r="I1233">
        <v>0</v>
      </c>
      <c r="J1233">
        <v>2014</v>
      </c>
      <c r="K1233" t="str">
        <f>IF(Books[[#This Row],[AVERAGE RATING]]&gt;=4,"High",IF(Books[[#This Row],[AVERAGE RATING]]&gt;=3,"Medium","Low"))</f>
        <v>Low</v>
      </c>
      <c r="L1233" t="str">
        <f>IF(Books[[#This Row],[AVERAGE RATING]]&gt;10000,"Popular","Average")</f>
        <v>Average</v>
      </c>
      <c r="M1233">
        <f>Books[[#This Row],[AVERAGE RATING]]*Books[[#This Row],[RATINGS COUNT]]</f>
        <v>0</v>
      </c>
    </row>
    <row r="1234" spans="1:13" x14ac:dyDescent="0.25">
      <c r="A1234" t="s">
        <v>2691</v>
      </c>
      <c r="B1234" t="s">
        <v>2692</v>
      </c>
      <c r="C1234">
        <v>231</v>
      </c>
      <c r="D1234" t="s">
        <v>28</v>
      </c>
      <c r="E1234" t="s">
        <v>3392</v>
      </c>
      <c r="F1234" t="s">
        <v>60</v>
      </c>
      <c r="G1234" t="s">
        <v>4</v>
      </c>
      <c r="H1234">
        <v>0</v>
      </c>
      <c r="I1234">
        <v>0</v>
      </c>
      <c r="J1234">
        <v>2024</v>
      </c>
      <c r="K1234" t="str">
        <f>IF(Books[[#This Row],[AVERAGE RATING]]&gt;=4,"High",IF(Books[[#This Row],[AVERAGE RATING]]&gt;=3,"Medium","Low"))</f>
        <v>Low</v>
      </c>
      <c r="L1234" t="str">
        <f>IF(Books[[#This Row],[AVERAGE RATING]]&gt;10000,"Popular","Average")</f>
        <v>Average</v>
      </c>
      <c r="M1234">
        <f>Books[[#This Row],[AVERAGE RATING]]*Books[[#This Row],[RATINGS COUNT]]</f>
        <v>0</v>
      </c>
    </row>
    <row r="1235" spans="1:13" x14ac:dyDescent="0.25">
      <c r="A1235" t="s">
        <v>2693</v>
      </c>
      <c r="B1235" t="s">
        <v>2694</v>
      </c>
      <c r="C1235">
        <v>208</v>
      </c>
      <c r="D1235" t="s">
        <v>383</v>
      </c>
      <c r="E1235" t="s">
        <v>3939</v>
      </c>
      <c r="F1235" t="s">
        <v>76</v>
      </c>
      <c r="G1235" t="s">
        <v>4</v>
      </c>
      <c r="H1235">
        <v>0</v>
      </c>
      <c r="I1235">
        <v>0</v>
      </c>
      <c r="J1235">
        <v>2021</v>
      </c>
      <c r="K1235" t="str">
        <f>IF(Books[[#This Row],[AVERAGE RATING]]&gt;=4,"High",IF(Books[[#This Row],[AVERAGE RATING]]&gt;=3,"Medium","Low"))</f>
        <v>Low</v>
      </c>
      <c r="L1235" t="str">
        <f>IF(Books[[#This Row],[AVERAGE RATING]]&gt;10000,"Popular","Average")</f>
        <v>Average</v>
      </c>
      <c r="M1235">
        <f>Books[[#This Row],[AVERAGE RATING]]*Books[[#This Row],[RATINGS COUNT]]</f>
        <v>0</v>
      </c>
    </row>
    <row r="1236" spans="1:13" x14ac:dyDescent="0.25">
      <c r="A1236" t="s">
        <v>2695</v>
      </c>
      <c r="B1236" t="s">
        <v>2696</v>
      </c>
      <c r="C1236">
        <v>320</v>
      </c>
      <c r="D1236" t="s">
        <v>45</v>
      </c>
      <c r="E1236" t="s">
        <v>3940</v>
      </c>
      <c r="F1236" t="s">
        <v>2697</v>
      </c>
      <c r="G1236" t="s">
        <v>4</v>
      </c>
      <c r="H1236">
        <v>0</v>
      </c>
      <c r="I1236">
        <v>0</v>
      </c>
      <c r="J1236">
        <v>2017</v>
      </c>
      <c r="K1236" t="str">
        <f>IF(Books[[#This Row],[AVERAGE RATING]]&gt;=4,"High",IF(Books[[#This Row],[AVERAGE RATING]]&gt;=3,"Medium","Low"))</f>
        <v>Low</v>
      </c>
      <c r="L1236" t="str">
        <f>IF(Books[[#This Row],[AVERAGE RATING]]&gt;10000,"Popular","Average")</f>
        <v>Average</v>
      </c>
      <c r="M1236">
        <f>Books[[#This Row],[AVERAGE RATING]]*Books[[#This Row],[RATINGS COUNT]]</f>
        <v>0</v>
      </c>
    </row>
    <row r="1237" spans="1:13" x14ac:dyDescent="0.25">
      <c r="A1237" t="s">
        <v>2698</v>
      </c>
      <c r="B1237" t="s">
        <v>2699</v>
      </c>
      <c r="C1237">
        <v>289</v>
      </c>
      <c r="D1237" t="s">
        <v>28</v>
      </c>
      <c r="E1237" t="s">
        <v>3941</v>
      </c>
      <c r="F1237" t="s">
        <v>93</v>
      </c>
      <c r="G1237" t="s">
        <v>4</v>
      </c>
      <c r="H1237">
        <v>0</v>
      </c>
      <c r="I1237">
        <v>0</v>
      </c>
      <c r="J1237">
        <v>2017</v>
      </c>
      <c r="K1237" t="str">
        <f>IF(Books[[#This Row],[AVERAGE RATING]]&gt;=4,"High",IF(Books[[#This Row],[AVERAGE RATING]]&gt;=3,"Medium","Low"))</f>
        <v>Low</v>
      </c>
      <c r="L1237" t="str">
        <f>IF(Books[[#This Row],[AVERAGE RATING]]&gt;10000,"Popular","Average")</f>
        <v>Average</v>
      </c>
      <c r="M1237">
        <f>Books[[#This Row],[AVERAGE RATING]]*Books[[#This Row],[RATINGS COUNT]]</f>
        <v>0</v>
      </c>
    </row>
    <row r="1238" spans="1:13" x14ac:dyDescent="0.25">
      <c r="A1238" t="s">
        <v>2700</v>
      </c>
      <c r="B1238" t="s">
        <v>2701</v>
      </c>
      <c r="C1238">
        <v>206</v>
      </c>
      <c r="D1238" t="s">
        <v>38</v>
      </c>
      <c r="E1238" t="s">
        <v>3942</v>
      </c>
      <c r="F1238" t="s">
        <v>18</v>
      </c>
      <c r="G1238" t="s">
        <v>4</v>
      </c>
      <c r="H1238">
        <v>0</v>
      </c>
      <c r="I1238">
        <v>0</v>
      </c>
      <c r="J1238">
        <v>2017</v>
      </c>
      <c r="K1238" t="str">
        <f>IF(Books[[#This Row],[AVERAGE RATING]]&gt;=4,"High",IF(Books[[#This Row],[AVERAGE RATING]]&gt;=3,"Medium","Low"))</f>
        <v>Low</v>
      </c>
      <c r="L1238" t="str">
        <f>IF(Books[[#This Row],[AVERAGE RATING]]&gt;10000,"Popular","Average")</f>
        <v>Average</v>
      </c>
      <c r="M1238">
        <f>Books[[#This Row],[AVERAGE RATING]]*Books[[#This Row],[RATINGS COUNT]]</f>
        <v>0</v>
      </c>
    </row>
    <row r="1239" spans="1:13" x14ac:dyDescent="0.25">
      <c r="A1239" t="s">
        <v>2702</v>
      </c>
      <c r="B1239" t="s">
        <v>2703</v>
      </c>
      <c r="C1239">
        <v>218</v>
      </c>
      <c r="D1239" t="s">
        <v>2</v>
      </c>
      <c r="E1239" t="s">
        <v>3943</v>
      </c>
      <c r="F1239" t="s">
        <v>2591</v>
      </c>
      <c r="G1239" t="s">
        <v>4</v>
      </c>
      <c r="H1239">
        <v>0</v>
      </c>
      <c r="I1239">
        <v>0</v>
      </c>
      <c r="J1239">
        <v>2018</v>
      </c>
      <c r="K1239" t="str">
        <f>IF(Books[[#This Row],[AVERAGE RATING]]&gt;=4,"High",IF(Books[[#This Row],[AVERAGE RATING]]&gt;=3,"Medium","Low"))</f>
        <v>Low</v>
      </c>
      <c r="L1239" t="str">
        <f>IF(Books[[#This Row],[AVERAGE RATING]]&gt;10000,"Popular","Average")</f>
        <v>Average</v>
      </c>
      <c r="M1239">
        <f>Books[[#This Row],[AVERAGE RATING]]*Books[[#This Row],[RATINGS COUNT]]</f>
        <v>0</v>
      </c>
    </row>
    <row r="1240" spans="1:13" x14ac:dyDescent="0.25">
      <c r="A1240" t="s">
        <v>2704</v>
      </c>
      <c r="B1240" t="s">
        <v>2705</v>
      </c>
      <c r="C1240">
        <v>184</v>
      </c>
      <c r="D1240" t="s">
        <v>383</v>
      </c>
      <c r="E1240" t="s">
        <v>3706</v>
      </c>
      <c r="F1240" t="s">
        <v>93</v>
      </c>
      <c r="G1240" t="s">
        <v>4</v>
      </c>
      <c r="H1240">
        <v>0</v>
      </c>
      <c r="I1240">
        <v>0</v>
      </c>
      <c r="J1240">
        <v>2012</v>
      </c>
      <c r="K1240" t="str">
        <f>IF(Books[[#This Row],[AVERAGE RATING]]&gt;=4,"High",IF(Books[[#This Row],[AVERAGE RATING]]&gt;=3,"Medium","Low"))</f>
        <v>Low</v>
      </c>
      <c r="L1240" t="str">
        <f>IF(Books[[#This Row],[AVERAGE RATING]]&gt;10000,"Popular","Average")</f>
        <v>Average</v>
      </c>
      <c r="M1240">
        <f>Books[[#This Row],[AVERAGE RATING]]*Books[[#This Row],[RATINGS COUNT]]</f>
        <v>0</v>
      </c>
    </row>
    <row r="1241" spans="1:13" x14ac:dyDescent="0.25">
      <c r="A1241" t="s">
        <v>2706</v>
      </c>
      <c r="B1241" t="s">
        <v>2707</v>
      </c>
      <c r="C1241">
        <v>1368</v>
      </c>
      <c r="D1241" t="s">
        <v>383</v>
      </c>
      <c r="E1241" t="s">
        <v>3944</v>
      </c>
      <c r="F1241" t="s">
        <v>1948</v>
      </c>
      <c r="G1241" t="s">
        <v>4</v>
      </c>
      <c r="H1241">
        <v>0</v>
      </c>
      <c r="I1241">
        <v>0</v>
      </c>
      <c r="J1241">
        <v>2015</v>
      </c>
      <c r="K1241" t="str">
        <f>IF(Books[[#This Row],[AVERAGE RATING]]&gt;=4,"High",IF(Books[[#This Row],[AVERAGE RATING]]&gt;=3,"Medium","Low"))</f>
        <v>Low</v>
      </c>
      <c r="L1241" t="str">
        <f>IF(Books[[#This Row],[AVERAGE RATING]]&gt;10000,"Popular","Average")</f>
        <v>Average</v>
      </c>
      <c r="M1241">
        <f>Books[[#This Row],[AVERAGE RATING]]*Books[[#This Row],[RATINGS COUNT]]</f>
        <v>0</v>
      </c>
    </row>
    <row r="1242" spans="1:13" x14ac:dyDescent="0.25">
      <c r="A1242" t="s">
        <v>2708</v>
      </c>
      <c r="B1242" t="s">
        <v>2680</v>
      </c>
      <c r="C1242">
        <v>802</v>
      </c>
      <c r="D1242" t="s">
        <v>356</v>
      </c>
      <c r="E1242" t="s">
        <v>3945</v>
      </c>
      <c r="F1242" t="s">
        <v>2032</v>
      </c>
      <c r="G1242" t="s">
        <v>4</v>
      </c>
      <c r="H1242">
        <v>0</v>
      </c>
      <c r="I1242">
        <v>0</v>
      </c>
      <c r="J1242">
        <v>2012</v>
      </c>
      <c r="K1242" t="str">
        <f>IF(Books[[#This Row],[AVERAGE RATING]]&gt;=4,"High",IF(Books[[#This Row],[AVERAGE RATING]]&gt;=3,"Medium","Low"))</f>
        <v>Low</v>
      </c>
      <c r="L1242" t="str">
        <f>IF(Books[[#This Row],[AVERAGE RATING]]&gt;10000,"Popular","Average")</f>
        <v>Average</v>
      </c>
      <c r="M1242">
        <f>Books[[#This Row],[AVERAGE RATING]]*Books[[#This Row],[RATINGS COUNT]]</f>
        <v>0</v>
      </c>
    </row>
    <row r="1243" spans="1:13" x14ac:dyDescent="0.25">
      <c r="A1243" t="s">
        <v>2709</v>
      </c>
      <c r="B1243" t="s">
        <v>2710</v>
      </c>
      <c r="C1243">
        <v>496</v>
      </c>
      <c r="D1243" t="s">
        <v>383</v>
      </c>
      <c r="E1243" t="s">
        <v>3946</v>
      </c>
      <c r="F1243" t="s">
        <v>132</v>
      </c>
      <c r="G1243" t="s">
        <v>4</v>
      </c>
      <c r="H1243">
        <v>0</v>
      </c>
      <c r="I1243">
        <v>0</v>
      </c>
      <c r="J1243">
        <v>2018</v>
      </c>
      <c r="K1243" t="str">
        <f>IF(Books[[#This Row],[AVERAGE RATING]]&gt;=4,"High",IF(Books[[#This Row],[AVERAGE RATING]]&gt;=3,"Medium","Low"))</f>
        <v>Low</v>
      </c>
      <c r="L1243" t="str">
        <f>IF(Books[[#This Row],[AVERAGE RATING]]&gt;10000,"Popular","Average")</f>
        <v>Average</v>
      </c>
      <c r="M1243">
        <f>Books[[#This Row],[AVERAGE RATING]]*Books[[#This Row],[RATINGS COUNT]]</f>
        <v>0</v>
      </c>
    </row>
    <row r="1244" spans="1:13" x14ac:dyDescent="0.25">
      <c r="A1244" t="s">
        <v>2711</v>
      </c>
      <c r="B1244" t="s">
        <v>2712</v>
      </c>
      <c r="C1244">
        <v>172</v>
      </c>
      <c r="D1244" t="s">
        <v>45</v>
      </c>
      <c r="E1244" t="s">
        <v>3155</v>
      </c>
      <c r="F1244" t="s">
        <v>1358</v>
      </c>
      <c r="G1244" t="s">
        <v>4</v>
      </c>
      <c r="H1244">
        <v>0</v>
      </c>
      <c r="I1244">
        <v>0</v>
      </c>
      <c r="J1244">
        <v>2006</v>
      </c>
      <c r="K1244" t="str">
        <f>IF(Books[[#This Row],[AVERAGE RATING]]&gt;=4,"High",IF(Books[[#This Row],[AVERAGE RATING]]&gt;=3,"Medium","Low"))</f>
        <v>Low</v>
      </c>
      <c r="L1244" t="str">
        <f>IF(Books[[#This Row],[AVERAGE RATING]]&gt;10000,"Popular","Average")</f>
        <v>Average</v>
      </c>
      <c r="M1244">
        <f>Books[[#This Row],[AVERAGE RATING]]*Books[[#This Row],[RATINGS COUNT]]</f>
        <v>0</v>
      </c>
    </row>
    <row r="1245" spans="1:13" x14ac:dyDescent="0.25">
      <c r="A1245" t="s">
        <v>2713</v>
      </c>
      <c r="B1245" t="s">
        <v>1676</v>
      </c>
      <c r="C1245">
        <v>38</v>
      </c>
      <c r="D1245" t="s">
        <v>2</v>
      </c>
      <c r="E1245" t="s">
        <v>3318</v>
      </c>
      <c r="F1245" t="s">
        <v>388</v>
      </c>
      <c r="G1245" t="s">
        <v>4</v>
      </c>
      <c r="H1245">
        <v>0</v>
      </c>
      <c r="I1245">
        <v>0</v>
      </c>
      <c r="J1245">
        <v>2016</v>
      </c>
      <c r="K1245" t="str">
        <f>IF(Books[[#This Row],[AVERAGE RATING]]&gt;=4,"High",IF(Books[[#This Row],[AVERAGE RATING]]&gt;=3,"Medium","Low"))</f>
        <v>Low</v>
      </c>
      <c r="L1245" t="str">
        <f>IF(Books[[#This Row],[AVERAGE RATING]]&gt;10000,"Popular","Average")</f>
        <v>Average</v>
      </c>
      <c r="M1245">
        <f>Books[[#This Row],[AVERAGE RATING]]*Books[[#This Row],[RATINGS COUNT]]</f>
        <v>0</v>
      </c>
    </row>
    <row r="1246" spans="1:13" x14ac:dyDescent="0.25">
      <c r="A1246" t="s">
        <v>2714</v>
      </c>
      <c r="B1246" t="s">
        <v>2715</v>
      </c>
      <c r="C1246">
        <v>161</v>
      </c>
      <c r="D1246" t="s">
        <v>356</v>
      </c>
      <c r="E1246" t="s">
        <v>3947</v>
      </c>
      <c r="F1246" t="s">
        <v>822</v>
      </c>
      <c r="G1246" t="s">
        <v>4</v>
      </c>
      <c r="H1246">
        <v>0</v>
      </c>
      <c r="I1246">
        <v>0</v>
      </c>
      <c r="J1246">
        <v>2011</v>
      </c>
      <c r="K1246" t="str">
        <f>IF(Books[[#This Row],[AVERAGE RATING]]&gt;=4,"High",IF(Books[[#This Row],[AVERAGE RATING]]&gt;=3,"Medium","Low"))</f>
        <v>Low</v>
      </c>
      <c r="L1246" t="str">
        <f>IF(Books[[#This Row],[AVERAGE RATING]]&gt;10000,"Popular","Average")</f>
        <v>Average</v>
      </c>
      <c r="M1246">
        <f>Books[[#This Row],[AVERAGE RATING]]*Books[[#This Row],[RATINGS COUNT]]</f>
        <v>0</v>
      </c>
    </row>
    <row r="1247" spans="1:13" x14ac:dyDescent="0.25">
      <c r="A1247" t="s">
        <v>2716</v>
      </c>
      <c r="B1247" t="s">
        <v>2717</v>
      </c>
      <c r="C1247">
        <v>228</v>
      </c>
      <c r="D1247" t="s">
        <v>2</v>
      </c>
      <c r="E1247" t="s">
        <v>3948</v>
      </c>
      <c r="F1247" t="s">
        <v>1321</v>
      </c>
      <c r="G1247" t="s">
        <v>4</v>
      </c>
      <c r="H1247">
        <v>0</v>
      </c>
      <c r="I1247">
        <v>0</v>
      </c>
      <c r="J1247">
        <v>2009</v>
      </c>
      <c r="K1247" t="str">
        <f>IF(Books[[#This Row],[AVERAGE RATING]]&gt;=4,"High",IF(Books[[#This Row],[AVERAGE RATING]]&gt;=3,"Medium","Low"))</f>
        <v>Low</v>
      </c>
      <c r="L1247" t="str">
        <f>IF(Books[[#This Row],[AVERAGE RATING]]&gt;10000,"Popular","Average")</f>
        <v>Average</v>
      </c>
      <c r="M1247">
        <f>Books[[#This Row],[AVERAGE RATING]]*Books[[#This Row],[RATINGS COUNT]]</f>
        <v>0</v>
      </c>
    </row>
    <row r="1248" spans="1:13" x14ac:dyDescent="0.25">
      <c r="A1248" t="s">
        <v>2718</v>
      </c>
      <c r="B1248" t="s">
        <v>2719</v>
      </c>
      <c r="C1248">
        <v>148</v>
      </c>
      <c r="D1248" t="s">
        <v>2</v>
      </c>
      <c r="E1248" t="s">
        <v>3267</v>
      </c>
      <c r="F1248" t="s">
        <v>2720</v>
      </c>
      <c r="G1248" t="s">
        <v>2188</v>
      </c>
      <c r="H1248">
        <v>3</v>
      </c>
      <c r="I1248">
        <v>2</v>
      </c>
      <c r="J1248">
        <v>2006</v>
      </c>
      <c r="K1248" t="str">
        <f>IF(Books[[#This Row],[AVERAGE RATING]]&gt;=4,"High",IF(Books[[#This Row],[AVERAGE RATING]]&gt;=3,"Medium","Low"))</f>
        <v>Medium</v>
      </c>
      <c r="L1248" t="str">
        <f>IF(Books[[#This Row],[AVERAGE RATING]]&gt;10000,"Popular","Average")</f>
        <v>Average</v>
      </c>
      <c r="M1248">
        <f>Books[[#This Row],[AVERAGE RATING]]*Books[[#This Row],[RATINGS COUNT]]</f>
        <v>6</v>
      </c>
    </row>
    <row r="1249" spans="1:13" x14ac:dyDescent="0.25">
      <c r="A1249" t="s">
        <v>2721</v>
      </c>
      <c r="B1249" t="s">
        <v>2722</v>
      </c>
      <c r="C1249">
        <v>311</v>
      </c>
      <c r="D1249" t="s">
        <v>38</v>
      </c>
      <c r="E1249" t="s">
        <v>3287</v>
      </c>
      <c r="F1249" t="s">
        <v>1383</v>
      </c>
      <c r="G1249" t="s">
        <v>4</v>
      </c>
      <c r="H1249">
        <v>0</v>
      </c>
      <c r="I1249">
        <v>0</v>
      </c>
      <c r="J1249">
        <v>2010</v>
      </c>
      <c r="K1249" t="str">
        <f>IF(Books[[#This Row],[AVERAGE RATING]]&gt;=4,"High",IF(Books[[#This Row],[AVERAGE RATING]]&gt;=3,"Medium","Low"))</f>
        <v>Low</v>
      </c>
      <c r="L1249" t="str">
        <f>IF(Books[[#This Row],[AVERAGE RATING]]&gt;10000,"Popular","Average")</f>
        <v>Average</v>
      </c>
      <c r="M1249">
        <f>Books[[#This Row],[AVERAGE RATING]]*Books[[#This Row],[RATINGS COUNT]]</f>
        <v>0</v>
      </c>
    </row>
    <row r="1250" spans="1:13" x14ac:dyDescent="0.25">
      <c r="A1250" t="s">
        <v>2723</v>
      </c>
      <c r="B1250" t="s">
        <v>2724</v>
      </c>
      <c r="C1250">
        <v>140</v>
      </c>
      <c r="D1250" t="s">
        <v>2</v>
      </c>
      <c r="E1250" t="s">
        <v>3949</v>
      </c>
      <c r="F1250" t="s">
        <v>2725</v>
      </c>
      <c r="G1250" t="s">
        <v>2188</v>
      </c>
      <c r="H1250">
        <v>0</v>
      </c>
      <c r="I1250">
        <v>0</v>
      </c>
      <c r="J1250">
        <v>2005</v>
      </c>
      <c r="K1250" t="str">
        <f>IF(Books[[#This Row],[AVERAGE RATING]]&gt;=4,"High",IF(Books[[#This Row],[AVERAGE RATING]]&gt;=3,"Medium","Low"))</f>
        <v>Low</v>
      </c>
      <c r="L1250" t="str">
        <f>IF(Books[[#This Row],[AVERAGE RATING]]&gt;10000,"Popular","Average")</f>
        <v>Average</v>
      </c>
      <c r="M1250">
        <f>Books[[#This Row],[AVERAGE RATING]]*Books[[#This Row],[RATINGS COUNT]]</f>
        <v>0</v>
      </c>
    </row>
    <row r="1251" spans="1:13" x14ac:dyDescent="0.25">
      <c r="A1251" t="s">
        <v>2726</v>
      </c>
      <c r="B1251" t="s">
        <v>2727</v>
      </c>
      <c r="C1251">
        <v>368</v>
      </c>
      <c r="D1251" t="s">
        <v>7</v>
      </c>
      <c r="E1251" t="s">
        <v>3950</v>
      </c>
      <c r="F1251" t="s">
        <v>1203</v>
      </c>
      <c r="G1251" t="s">
        <v>4</v>
      </c>
      <c r="H1251">
        <v>0</v>
      </c>
      <c r="I1251">
        <v>0</v>
      </c>
      <c r="J1251">
        <v>2009</v>
      </c>
      <c r="K1251" t="str">
        <f>IF(Books[[#This Row],[AVERAGE RATING]]&gt;=4,"High",IF(Books[[#This Row],[AVERAGE RATING]]&gt;=3,"Medium","Low"))</f>
        <v>Low</v>
      </c>
      <c r="L1251" t="str">
        <f>IF(Books[[#This Row],[AVERAGE RATING]]&gt;10000,"Popular","Average")</f>
        <v>Average</v>
      </c>
      <c r="M1251">
        <f>Books[[#This Row],[AVERAGE RATING]]*Books[[#This Row],[RATINGS COUNT]]</f>
        <v>0</v>
      </c>
    </row>
    <row r="1252" spans="1:13" x14ac:dyDescent="0.25">
      <c r="A1252" t="s">
        <v>2728</v>
      </c>
      <c r="B1252" t="s">
        <v>2729</v>
      </c>
      <c r="C1252">
        <v>210</v>
      </c>
      <c r="D1252" t="s">
        <v>32</v>
      </c>
      <c r="E1252" t="s">
        <v>3951</v>
      </c>
      <c r="F1252" t="s">
        <v>148</v>
      </c>
      <c r="G1252" t="s">
        <v>4</v>
      </c>
      <c r="H1252">
        <v>0</v>
      </c>
      <c r="I1252">
        <v>0</v>
      </c>
      <c r="J1252">
        <v>2013</v>
      </c>
      <c r="K1252" t="str">
        <f>IF(Books[[#This Row],[AVERAGE RATING]]&gt;=4,"High",IF(Books[[#This Row],[AVERAGE RATING]]&gt;=3,"Medium","Low"))</f>
        <v>Low</v>
      </c>
      <c r="L1252" t="str">
        <f>IF(Books[[#This Row],[AVERAGE RATING]]&gt;10000,"Popular","Average")</f>
        <v>Average</v>
      </c>
      <c r="M1252">
        <f>Books[[#This Row],[AVERAGE RATING]]*Books[[#This Row],[RATINGS COUNT]]</f>
        <v>0</v>
      </c>
    </row>
    <row r="1253" spans="1:13" x14ac:dyDescent="0.25">
      <c r="A1253" t="s">
        <v>2730</v>
      </c>
      <c r="B1253" t="s">
        <v>2731</v>
      </c>
      <c r="C1253">
        <v>67</v>
      </c>
      <c r="D1253" t="s">
        <v>640</v>
      </c>
      <c r="E1253" t="s">
        <v>3586</v>
      </c>
      <c r="F1253" t="s">
        <v>39</v>
      </c>
      <c r="G1253" t="s">
        <v>4</v>
      </c>
      <c r="H1253">
        <v>0</v>
      </c>
      <c r="I1253">
        <v>0</v>
      </c>
      <c r="J1253">
        <v>2012</v>
      </c>
      <c r="K1253" t="str">
        <f>IF(Books[[#This Row],[AVERAGE RATING]]&gt;=4,"High",IF(Books[[#This Row],[AVERAGE RATING]]&gt;=3,"Medium","Low"))</f>
        <v>Low</v>
      </c>
      <c r="L1253" t="str">
        <f>IF(Books[[#This Row],[AVERAGE RATING]]&gt;10000,"Popular","Average")</f>
        <v>Average</v>
      </c>
      <c r="M1253">
        <f>Books[[#This Row],[AVERAGE RATING]]*Books[[#This Row],[RATINGS COUNT]]</f>
        <v>0</v>
      </c>
    </row>
    <row r="1254" spans="1:13" x14ac:dyDescent="0.25">
      <c r="A1254" t="s">
        <v>2732</v>
      </c>
      <c r="B1254" t="s">
        <v>2733</v>
      </c>
      <c r="C1254">
        <v>340</v>
      </c>
      <c r="D1254" t="s">
        <v>79</v>
      </c>
      <c r="E1254" t="s">
        <v>3055</v>
      </c>
      <c r="F1254" t="s">
        <v>1822</v>
      </c>
      <c r="G1254" t="s">
        <v>4</v>
      </c>
      <c r="H1254">
        <v>2.5</v>
      </c>
      <c r="I1254">
        <v>2</v>
      </c>
      <c r="J1254">
        <v>2004</v>
      </c>
      <c r="K1254" t="str">
        <f>IF(Books[[#This Row],[AVERAGE RATING]]&gt;=4,"High",IF(Books[[#This Row],[AVERAGE RATING]]&gt;=3,"Medium","Low"))</f>
        <v>Low</v>
      </c>
      <c r="L1254" t="str">
        <f>IF(Books[[#This Row],[AVERAGE RATING]]&gt;10000,"Popular","Average")</f>
        <v>Average</v>
      </c>
      <c r="M1254">
        <f>Books[[#This Row],[AVERAGE RATING]]*Books[[#This Row],[RATINGS COUNT]]</f>
        <v>5</v>
      </c>
    </row>
    <row r="1255" spans="1:13" x14ac:dyDescent="0.25">
      <c r="A1255" t="s">
        <v>2734</v>
      </c>
      <c r="B1255" t="s">
        <v>2735</v>
      </c>
      <c r="C1255">
        <v>393</v>
      </c>
      <c r="D1255" t="s">
        <v>7</v>
      </c>
      <c r="E1255" t="s">
        <v>3055</v>
      </c>
      <c r="F1255" t="s">
        <v>107</v>
      </c>
      <c r="G1255" t="s">
        <v>4</v>
      </c>
      <c r="H1255">
        <v>0</v>
      </c>
      <c r="I1255">
        <v>0</v>
      </c>
      <c r="J1255">
        <v>2004</v>
      </c>
      <c r="K1255" t="str">
        <f>IF(Books[[#This Row],[AVERAGE RATING]]&gt;=4,"High",IF(Books[[#This Row],[AVERAGE RATING]]&gt;=3,"Medium","Low"))</f>
        <v>Low</v>
      </c>
      <c r="L1255" t="str">
        <f>IF(Books[[#This Row],[AVERAGE RATING]]&gt;10000,"Popular","Average")</f>
        <v>Average</v>
      </c>
      <c r="M1255">
        <f>Books[[#This Row],[AVERAGE RATING]]*Books[[#This Row],[RATINGS COUNT]]</f>
        <v>0</v>
      </c>
    </row>
    <row r="1256" spans="1:13" x14ac:dyDescent="0.25">
      <c r="A1256" t="s">
        <v>2736</v>
      </c>
      <c r="B1256" t="s">
        <v>2737</v>
      </c>
      <c r="C1256">
        <v>133</v>
      </c>
      <c r="D1256" t="s">
        <v>32</v>
      </c>
      <c r="E1256" t="s">
        <v>3952</v>
      </c>
      <c r="F1256" t="s">
        <v>2738</v>
      </c>
      <c r="G1256" t="s">
        <v>4</v>
      </c>
      <c r="H1256">
        <v>0</v>
      </c>
      <c r="I1256">
        <v>0</v>
      </c>
      <c r="J1256">
        <v>2015</v>
      </c>
      <c r="K1256" t="str">
        <f>IF(Books[[#This Row],[AVERAGE RATING]]&gt;=4,"High",IF(Books[[#This Row],[AVERAGE RATING]]&gt;=3,"Medium","Low"))</f>
        <v>Low</v>
      </c>
      <c r="L1256" t="str">
        <f>IF(Books[[#This Row],[AVERAGE RATING]]&gt;10000,"Popular","Average")</f>
        <v>Average</v>
      </c>
      <c r="M1256">
        <f>Books[[#This Row],[AVERAGE RATING]]*Books[[#This Row],[RATINGS COUNT]]</f>
        <v>0</v>
      </c>
    </row>
    <row r="1257" spans="1:13" x14ac:dyDescent="0.25">
      <c r="A1257" t="s">
        <v>2739</v>
      </c>
      <c r="B1257" t="s">
        <v>2740</v>
      </c>
      <c r="C1257">
        <v>936</v>
      </c>
      <c r="D1257" t="s">
        <v>2</v>
      </c>
      <c r="E1257" t="s">
        <v>3953</v>
      </c>
      <c r="F1257" t="s">
        <v>2741</v>
      </c>
      <c r="G1257" t="s">
        <v>4</v>
      </c>
      <c r="H1257">
        <v>0</v>
      </c>
      <c r="I1257">
        <v>0</v>
      </c>
      <c r="J1257">
        <v>2019</v>
      </c>
      <c r="K1257" t="str">
        <f>IF(Books[[#This Row],[AVERAGE RATING]]&gt;=4,"High",IF(Books[[#This Row],[AVERAGE RATING]]&gt;=3,"Medium","Low"))</f>
        <v>Low</v>
      </c>
      <c r="L1257" t="str">
        <f>IF(Books[[#This Row],[AVERAGE RATING]]&gt;10000,"Popular","Average")</f>
        <v>Average</v>
      </c>
      <c r="M1257">
        <f>Books[[#This Row],[AVERAGE RATING]]*Books[[#This Row],[RATINGS COUNT]]</f>
        <v>0</v>
      </c>
    </row>
    <row r="1258" spans="1:13" x14ac:dyDescent="0.25">
      <c r="A1258" t="s">
        <v>2742</v>
      </c>
      <c r="B1258" t="s">
        <v>2743</v>
      </c>
      <c r="C1258">
        <v>257</v>
      </c>
      <c r="D1258" t="s">
        <v>383</v>
      </c>
      <c r="E1258" t="s">
        <v>3620</v>
      </c>
      <c r="F1258" t="s">
        <v>76</v>
      </c>
      <c r="G1258" t="s">
        <v>4</v>
      </c>
      <c r="H1258">
        <v>0</v>
      </c>
      <c r="I1258">
        <v>0</v>
      </c>
      <c r="J1258">
        <v>2015</v>
      </c>
      <c r="K1258" t="str">
        <f>IF(Books[[#This Row],[AVERAGE RATING]]&gt;=4,"High",IF(Books[[#This Row],[AVERAGE RATING]]&gt;=3,"Medium","Low"))</f>
        <v>Low</v>
      </c>
      <c r="L1258" t="str">
        <f>IF(Books[[#This Row],[AVERAGE RATING]]&gt;10000,"Popular","Average")</f>
        <v>Average</v>
      </c>
      <c r="M1258">
        <f>Books[[#This Row],[AVERAGE RATING]]*Books[[#This Row],[RATINGS COUNT]]</f>
        <v>0</v>
      </c>
    </row>
    <row r="1259" spans="1:13" x14ac:dyDescent="0.25">
      <c r="A1259" t="s">
        <v>2744</v>
      </c>
      <c r="B1259" t="s">
        <v>2745</v>
      </c>
      <c r="C1259">
        <v>578</v>
      </c>
      <c r="D1259" t="s">
        <v>79</v>
      </c>
      <c r="E1259" t="s">
        <v>3681</v>
      </c>
      <c r="F1259" t="s">
        <v>148</v>
      </c>
      <c r="G1259" t="s">
        <v>4</v>
      </c>
      <c r="H1259">
        <v>0</v>
      </c>
      <c r="I1259">
        <v>0</v>
      </c>
      <c r="J1259">
        <v>2010</v>
      </c>
      <c r="K1259" t="str">
        <f>IF(Books[[#This Row],[AVERAGE RATING]]&gt;=4,"High",IF(Books[[#This Row],[AVERAGE RATING]]&gt;=3,"Medium","Low"))</f>
        <v>Low</v>
      </c>
      <c r="L1259" t="str">
        <f>IF(Books[[#This Row],[AVERAGE RATING]]&gt;10000,"Popular","Average")</f>
        <v>Average</v>
      </c>
      <c r="M1259">
        <f>Books[[#This Row],[AVERAGE RATING]]*Books[[#This Row],[RATINGS COUNT]]</f>
        <v>0</v>
      </c>
    </row>
    <row r="1260" spans="1:13" x14ac:dyDescent="0.25">
      <c r="A1260" t="s">
        <v>2746</v>
      </c>
      <c r="B1260" t="s">
        <v>2747</v>
      </c>
      <c r="C1260">
        <v>106</v>
      </c>
      <c r="D1260" t="s">
        <v>28</v>
      </c>
      <c r="E1260" t="s">
        <v>3439</v>
      </c>
      <c r="F1260" t="s">
        <v>1213</v>
      </c>
      <c r="G1260" t="s">
        <v>4</v>
      </c>
      <c r="H1260">
        <v>0</v>
      </c>
      <c r="I1260">
        <v>0</v>
      </c>
      <c r="J1260">
        <v>2014</v>
      </c>
      <c r="K1260" t="str">
        <f>IF(Books[[#This Row],[AVERAGE RATING]]&gt;=4,"High",IF(Books[[#This Row],[AVERAGE RATING]]&gt;=3,"Medium","Low"))</f>
        <v>Low</v>
      </c>
      <c r="L1260" t="str">
        <f>IF(Books[[#This Row],[AVERAGE RATING]]&gt;10000,"Popular","Average")</f>
        <v>Average</v>
      </c>
      <c r="M1260">
        <f>Books[[#This Row],[AVERAGE RATING]]*Books[[#This Row],[RATINGS COUNT]]</f>
        <v>0</v>
      </c>
    </row>
    <row r="1261" spans="1:13" x14ac:dyDescent="0.25">
      <c r="A1261" t="s">
        <v>2748</v>
      </c>
      <c r="B1261" t="s">
        <v>2749</v>
      </c>
      <c r="C1261">
        <v>490</v>
      </c>
      <c r="D1261" t="s">
        <v>11</v>
      </c>
      <c r="E1261" t="s">
        <v>3738</v>
      </c>
      <c r="F1261" t="s">
        <v>2750</v>
      </c>
      <c r="G1261" t="s">
        <v>2751</v>
      </c>
      <c r="H1261">
        <v>0</v>
      </c>
      <c r="I1261">
        <v>0</v>
      </c>
      <c r="J1261">
        <v>2012</v>
      </c>
      <c r="K1261" t="str">
        <f>IF(Books[[#This Row],[AVERAGE RATING]]&gt;=4,"High",IF(Books[[#This Row],[AVERAGE RATING]]&gt;=3,"Medium","Low"))</f>
        <v>Low</v>
      </c>
      <c r="L1261" t="str">
        <f>IF(Books[[#This Row],[AVERAGE RATING]]&gt;10000,"Popular","Average")</f>
        <v>Average</v>
      </c>
      <c r="M1261">
        <f>Books[[#This Row],[AVERAGE RATING]]*Books[[#This Row],[RATINGS COUNT]]</f>
        <v>0</v>
      </c>
    </row>
    <row r="1262" spans="1:13" x14ac:dyDescent="0.25">
      <c r="A1262" t="s">
        <v>2752</v>
      </c>
      <c r="B1262" t="s">
        <v>2749</v>
      </c>
      <c r="C1262">
        <v>574</v>
      </c>
      <c r="D1262" t="s">
        <v>11</v>
      </c>
      <c r="E1262" t="s">
        <v>3954</v>
      </c>
      <c r="F1262" t="s">
        <v>2750</v>
      </c>
      <c r="G1262" t="s">
        <v>2751</v>
      </c>
      <c r="H1262">
        <v>0</v>
      </c>
      <c r="I1262">
        <v>0</v>
      </c>
      <c r="J1262">
        <v>2012</v>
      </c>
      <c r="K1262" t="str">
        <f>IF(Books[[#This Row],[AVERAGE RATING]]&gt;=4,"High",IF(Books[[#This Row],[AVERAGE RATING]]&gt;=3,"Medium","Low"))</f>
        <v>Low</v>
      </c>
      <c r="L1262" t="str">
        <f>IF(Books[[#This Row],[AVERAGE RATING]]&gt;10000,"Popular","Average")</f>
        <v>Average</v>
      </c>
      <c r="M1262">
        <f>Books[[#This Row],[AVERAGE RATING]]*Books[[#This Row],[RATINGS COUNT]]</f>
        <v>0</v>
      </c>
    </row>
    <row r="1263" spans="1:13" x14ac:dyDescent="0.25">
      <c r="A1263" t="s">
        <v>2753</v>
      </c>
      <c r="B1263" t="s">
        <v>2754</v>
      </c>
      <c r="C1263">
        <v>99</v>
      </c>
      <c r="D1263" t="s">
        <v>45</v>
      </c>
      <c r="E1263" t="s">
        <v>3955</v>
      </c>
      <c r="F1263" t="s">
        <v>2070</v>
      </c>
      <c r="G1263" t="s">
        <v>4</v>
      </c>
      <c r="H1263">
        <v>0</v>
      </c>
      <c r="I1263">
        <v>0</v>
      </c>
      <c r="J1263">
        <v>2012</v>
      </c>
      <c r="K1263" t="str">
        <f>IF(Books[[#This Row],[AVERAGE RATING]]&gt;=4,"High",IF(Books[[#This Row],[AVERAGE RATING]]&gt;=3,"Medium","Low"))</f>
        <v>Low</v>
      </c>
      <c r="L1263" t="str">
        <f>IF(Books[[#This Row],[AVERAGE RATING]]&gt;10000,"Popular","Average")</f>
        <v>Average</v>
      </c>
      <c r="M1263">
        <f>Books[[#This Row],[AVERAGE RATING]]*Books[[#This Row],[RATINGS COUNT]]</f>
        <v>0</v>
      </c>
    </row>
    <row r="1264" spans="1:13" x14ac:dyDescent="0.25">
      <c r="A1264" t="s">
        <v>2755</v>
      </c>
      <c r="B1264" t="s">
        <v>2756</v>
      </c>
      <c r="C1264">
        <v>367</v>
      </c>
      <c r="D1264" t="s">
        <v>476</v>
      </c>
      <c r="E1264" t="s">
        <v>3800</v>
      </c>
      <c r="F1264" t="s">
        <v>2613</v>
      </c>
      <c r="G1264" t="s">
        <v>4</v>
      </c>
      <c r="H1264">
        <v>0</v>
      </c>
      <c r="I1264">
        <v>0</v>
      </c>
      <c r="J1264">
        <v>2019</v>
      </c>
      <c r="K1264" t="str">
        <f>IF(Books[[#This Row],[AVERAGE RATING]]&gt;=4,"High",IF(Books[[#This Row],[AVERAGE RATING]]&gt;=3,"Medium","Low"))</f>
        <v>Low</v>
      </c>
      <c r="L1264" t="str">
        <f>IF(Books[[#This Row],[AVERAGE RATING]]&gt;10000,"Popular","Average")</f>
        <v>Average</v>
      </c>
      <c r="M1264">
        <f>Books[[#This Row],[AVERAGE RATING]]*Books[[#This Row],[RATINGS COUNT]]</f>
        <v>0</v>
      </c>
    </row>
    <row r="1265" spans="1:13" x14ac:dyDescent="0.25">
      <c r="A1265" t="s">
        <v>2757</v>
      </c>
      <c r="B1265" t="s">
        <v>2758</v>
      </c>
      <c r="C1265">
        <v>192</v>
      </c>
      <c r="D1265" t="s">
        <v>63</v>
      </c>
      <c r="E1265" t="s">
        <v>3956</v>
      </c>
      <c r="F1265" t="s">
        <v>18</v>
      </c>
      <c r="G1265" t="s">
        <v>4</v>
      </c>
      <c r="H1265">
        <v>0</v>
      </c>
      <c r="I1265">
        <v>0</v>
      </c>
      <c r="J1265">
        <v>2020</v>
      </c>
      <c r="K1265" t="str">
        <f>IF(Books[[#This Row],[AVERAGE RATING]]&gt;=4,"High",IF(Books[[#This Row],[AVERAGE RATING]]&gt;=3,"Medium","Low"))</f>
        <v>Low</v>
      </c>
      <c r="L1265" t="str">
        <f>IF(Books[[#This Row],[AVERAGE RATING]]&gt;10000,"Popular","Average")</f>
        <v>Average</v>
      </c>
      <c r="M1265">
        <f>Books[[#This Row],[AVERAGE RATING]]*Books[[#This Row],[RATINGS COUNT]]</f>
        <v>0</v>
      </c>
    </row>
    <row r="1266" spans="1:13" x14ac:dyDescent="0.25">
      <c r="A1266" t="s">
        <v>972</v>
      </c>
      <c r="B1266" t="s">
        <v>973</v>
      </c>
      <c r="C1266">
        <v>254</v>
      </c>
      <c r="D1266" t="s">
        <v>2</v>
      </c>
      <c r="E1266" t="s">
        <v>3401</v>
      </c>
      <c r="F1266" t="s">
        <v>974</v>
      </c>
      <c r="G1266" t="s">
        <v>4</v>
      </c>
      <c r="H1266">
        <v>0</v>
      </c>
      <c r="I1266">
        <v>0</v>
      </c>
      <c r="J1266">
        <v>2015</v>
      </c>
      <c r="K1266" t="str">
        <f>IF(Books[[#This Row],[AVERAGE RATING]]&gt;=4,"High",IF(Books[[#This Row],[AVERAGE RATING]]&gt;=3,"Medium","Low"))</f>
        <v>Low</v>
      </c>
      <c r="L1266" t="str">
        <f>IF(Books[[#This Row],[AVERAGE RATING]]&gt;10000,"Popular","Average")</f>
        <v>Average</v>
      </c>
      <c r="M1266">
        <f>Books[[#This Row],[AVERAGE RATING]]*Books[[#This Row],[RATINGS COUNT]]</f>
        <v>0</v>
      </c>
    </row>
    <row r="1267" spans="1:13" x14ac:dyDescent="0.25">
      <c r="A1267" t="s">
        <v>2759</v>
      </c>
      <c r="B1267" t="s">
        <v>767</v>
      </c>
      <c r="C1267">
        <v>3095</v>
      </c>
      <c r="D1267" t="s">
        <v>406</v>
      </c>
      <c r="E1267" t="s">
        <v>3957</v>
      </c>
      <c r="F1267" t="s">
        <v>600</v>
      </c>
      <c r="G1267" t="s">
        <v>4</v>
      </c>
      <c r="H1267">
        <v>5</v>
      </c>
      <c r="I1267">
        <v>1</v>
      </c>
      <c r="J1267">
        <v>2016</v>
      </c>
      <c r="K1267" t="str">
        <f>IF(Books[[#This Row],[AVERAGE RATING]]&gt;=4,"High",IF(Books[[#This Row],[AVERAGE RATING]]&gt;=3,"Medium","Low"))</f>
        <v>High</v>
      </c>
      <c r="L1267" t="str">
        <f>IF(Books[[#This Row],[AVERAGE RATING]]&gt;10000,"Popular","Average")</f>
        <v>Average</v>
      </c>
      <c r="M1267">
        <f>Books[[#This Row],[AVERAGE RATING]]*Books[[#This Row],[RATINGS COUNT]]</f>
        <v>5</v>
      </c>
    </row>
    <row r="1268" spans="1:13" x14ac:dyDescent="0.25">
      <c r="A1268" t="s">
        <v>2760</v>
      </c>
      <c r="B1268" t="s">
        <v>2761</v>
      </c>
      <c r="C1268">
        <v>254</v>
      </c>
      <c r="D1268" t="s">
        <v>28</v>
      </c>
      <c r="E1268" t="s">
        <v>3958</v>
      </c>
      <c r="F1268" t="s">
        <v>2762</v>
      </c>
      <c r="G1268" t="s">
        <v>4</v>
      </c>
      <c r="H1268">
        <v>0</v>
      </c>
      <c r="I1268">
        <v>0</v>
      </c>
      <c r="J1268">
        <v>2019</v>
      </c>
      <c r="K1268" t="str">
        <f>IF(Books[[#This Row],[AVERAGE RATING]]&gt;=4,"High",IF(Books[[#This Row],[AVERAGE RATING]]&gt;=3,"Medium","Low"))</f>
        <v>Low</v>
      </c>
      <c r="L1268" t="str">
        <f>IF(Books[[#This Row],[AVERAGE RATING]]&gt;10000,"Popular","Average")</f>
        <v>Average</v>
      </c>
      <c r="M1268">
        <f>Books[[#This Row],[AVERAGE RATING]]*Books[[#This Row],[RATINGS COUNT]]</f>
        <v>0</v>
      </c>
    </row>
    <row r="1269" spans="1:13" x14ac:dyDescent="0.25">
      <c r="A1269" t="s">
        <v>2763</v>
      </c>
      <c r="B1269" t="s">
        <v>2764</v>
      </c>
      <c r="C1269">
        <v>245</v>
      </c>
      <c r="D1269" t="s">
        <v>383</v>
      </c>
      <c r="E1269" t="s">
        <v>3959</v>
      </c>
      <c r="F1269" t="s">
        <v>93</v>
      </c>
      <c r="G1269" t="s">
        <v>4</v>
      </c>
      <c r="H1269">
        <v>1</v>
      </c>
      <c r="I1269">
        <v>1</v>
      </c>
      <c r="J1269">
        <v>2017</v>
      </c>
      <c r="K1269" t="str">
        <f>IF(Books[[#This Row],[AVERAGE RATING]]&gt;=4,"High",IF(Books[[#This Row],[AVERAGE RATING]]&gt;=3,"Medium","Low"))</f>
        <v>Low</v>
      </c>
      <c r="L1269" t="str">
        <f>IF(Books[[#This Row],[AVERAGE RATING]]&gt;10000,"Popular","Average")</f>
        <v>Average</v>
      </c>
      <c r="M1269">
        <f>Books[[#This Row],[AVERAGE RATING]]*Books[[#This Row],[RATINGS COUNT]]</f>
        <v>1</v>
      </c>
    </row>
    <row r="1270" spans="1:13" x14ac:dyDescent="0.25">
      <c r="A1270" t="s">
        <v>2765</v>
      </c>
      <c r="B1270" t="s">
        <v>2766</v>
      </c>
      <c r="C1270">
        <v>156</v>
      </c>
      <c r="D1270" t="s">
        <v>85</v>
      </c>
      <c r="E1270" t="s">
        <v>3960</v>
      </c>
      <c r="F1270" t="s">
        <v>235</v>
      </c>
      <c r="G1270" t="s">
        <v>4</v>
      </c>
      <c r="H1270">
        <v>0</v>
      </c>
      <c r="I1270">
        <v>0</v>
      </c>
      <c r="J1270">
        <v>2016</v>
      </c>
      <c r="K1270" t="str">
        <f>IF(Books[[#This Row],[AVERAGE RATING]]&gt;=4,"High",IF(Books[[#This Row],[AVERAGE RATING]]&gt;=3,"Medium","Low"))</f>
        <v>Low</v>
      </c>
      <c r="L1270" t="str">
        <f>IF(Books[[#This Row],[AVERAGE RATING]]&gt;10000,"Popular","Average")</f>
        <v>Average</v>
      </c>
      <c r="M1270">
        <f>Books[[#This Row],[AVERAGE RATING]]*Books[[#This Row],[RATINGS COUNT]]</f>
        <v>0</v>
      </c>
    </row>
    <row r="1271" spans="1:13" x14ac:dyDescent="0.25">
      <c r="A1271" t="s">
        <v>2767</v>
      </c>
      <c r="B1271" t="s">
        <v>2768</v>
      </c>
      <c r="C1271">
        <v>240</v>
      </c>
      <c r="D1271" t="s">
        <v>406</v>
      </c>
      <c r="E1271" t="s">
        <v>3961</v>
      </c>
      <c r="F1271" t="s">
        <v>273</v>
      </c>
      <c r="G1271" t="s">
        <v>4</v>
      </c>
      <c r="H1271">
        <v>0</v>
      </c>
      <c r="I1271">
        <v>0</v>
      </c>
      <c r="J1271">
        <v>2015</v>
      </c>
      <c r="K1271" t="str">
        <f>IF(Books[[#This Row],[AVERAGE RATING]]&gt;=4,"High",IF(Books[[#This Row],[AVERAGE RATING]]&gt;=3,"Medium","Low"))</f>
        <v>Low</v>
      </c>
      <c r="L1271" t="str">
        <f>IF(Books[[#This Row],[AVERAGE RATING]]&gt;10000,"Popular","Average")</f>
        <v>Average</v>
      </c>
      <c r="M1271">
        <f>Books[[#This Row],[AVERAGE RATING]]*Books[[#This Row],[RATINGS COUNT]]</f>
        <v>0</v>
      </c>
    </row>
    <row r="1272" spans="1:13" x14ac:dyDescent="0.25">
      <c r="A1272" t="s">
        <v>2769</v>
      </c>
      <c r="B1272" t="s">
        <v>2770</v>
      </c>
      <c r="C1272">
        <v>186</v>
      </c>
      <c r="D1272" t="s">
        <v>28</v>
      </c>
      <c r="E1272" t="s">
        <v>3962</v>
      </c>
      <c r="F1272" t="s">
        <v>29</v>
      </c>
      <c r="G1272" t="s">
        <v>4</v>
      </c>
      <c r="H1272">
        <v>0</v>
      </c>
      <c r="I1272">
        <v>0</v>
      </c>
      <c r="J1272">
        <v>2018</v>
      </c>
      <c r="K1272" t="str">
        <f>IF(Books[[#This Row],[AVERAGE RATING]]&gt;=4,"High",IF(Books[[#This Row],[AVERAGE RATING]]&gt;=3,"Medium","Low"))</f>
        <v>Low</v>
      </c>
      <c r="L1272" t="str">
        <f>IF(Books[[#This Row],[AVERAGE RATING]]&gt;10000,"Popular","Average")</f>
        <v>Average</v>
      </c>
      <c r="M1272">
        <f>Books[[#This Row],[AVERAGE RATING]]*Books[[#This Row],[RATINGS COUNT]]</f>
        <v>0</v>
      </c>
    </row>
    <row r="1273" spans="1:13" x14ac:dyDescent="0.25">
      <c r="A1273" t="s">
        <v>2771</v>
      </c>
      <c r="B1273" t="s">
        <v>2772</v>
      </c>
      <c r="C1273">
        <v>297</v>
      </c>
      <c r="D1273" t="s">
        <v>2</v>
      </c>
      <c r="E1273" t="s">
        <v>3963</v>
      </c>
      <c r="F1273" t="s">
        <v>433</v>
      </c>
      <c r="G1273" t="s">
        <v>4</v>
      </c>
      <c r="H1273">
        <v>0</v>
      </c>
      <c r="I1273">
        <v>0</v>
      </c>
      <c r="J1273">
        <v>2014</v>
      </c>
      <c r="K1273" t="str">
        <f>IF(Books[[#This Row],[AVERAGE RATING]]&gt;=4,"High",IF(Books[[#This Row],[AVERAGE RATING]]&gt;=3,"Medium","Low"))</f>
        <v>Low</v>
      </c>
      <c r="L1273" t="str">
        <f>IF(Books[[#This Row],[AVERAGE RATING]]&gt;10000,"Popular","Average")</f>
        <v>Average</v>
      </c>
      <c r="M1273">
        <f>Books[[#This Row],[AVERAGE RATING]]*Books[[#This Row],[RATINGS COUNT]]</f>
        <v>0</v>
      </c>
    </row>
    <row r="1274" spans="1:13" x14ac:dyDescent="0.25">
      <c r="A1274" t="s">
        <v>2773</v>
      </c>
      <c r="B1274" t="s">
        <v>2774</v>
      </c>
      <c r="C1274">
        <v>226</v>
      </c>
      <c r="D1274" t="s">
        <v>406</v>
      </c>
      <c r="E1274" t="s">
        <v>3964</v>
      </c>
      <c r="F1274" t="s">
        <v>2775</v>
      </c>
      <c r="G1274" t="s">
        <v>4</v>
      </c>
      <c r="H1274">
        <v>0</v>
      </c>
      <c r="I1274">
        <v>0</v>
      </c>
      <c r="J1274">
        <v>2014</v>
      </c>
      <c r="K1274" t="str">
        <f>IF(Books[[#This Row],[AVERAGE RATING]]&gt;=4,"High",IF(Books[[#This Row],[AVERAGE RATING]]&gt;=3,"Medium","Low"))</f>
        <v>Low</v>
      </c>
      <c r="L1274" t="str">
        <f>IF(Books[[#This Row],[AVERAGE RATING]]&gt;10000,"Popular","Average")</f>
        <v>Average</v>
      </c>
      <c r="M1274">
        <f>Books[[#This Row],[AVERAGE RATING]]*Books[[#This Row],[RATINGS COUNT]]</f>
        <v>0</v>
      </c>
    </row>
    <row r="1275" spans="1:13" x14ac:dyDescent="0.25">
      <c r="A1275" t="s">
        <v>2776</v>
      </c>
      <c r="B1275" t="s">
        <v>2777</v>
      </c>
      <c r="C1275">
        <v>321</v>
      </c>
      <c r="D1275" t="s">
        <v>298</v>
      </c>
      <c r="E1275" t="s">
        <v>3965</v>
      </c>
      <c r="F1275" t="s">
        <v>2778</v>
      </c>
      <c r="G1275" t="s">
        <v>4</v>
      </c>
      <c r="H1275">
        <v>0</v>
      </c>
      <c r="I1275">
        <v>0</v>
      </c>
      <c r="J1275">
        <v>2014</v>
      </c>
      <c r="K1275" t="str">
        <f>IF(Books[[#This Row],[AVERAGE RATING]]&gt;=4,"High",IF(Books[[#This Row],[AVERAGE RATING]]&gt;=3,"Medium","Low"))</f>
        <v>Low</v>
      </c>
      <c r="L1275" t="str">
        <f>IF(Books[[#This Row],[AVERAGE RATING]]&gt;10000,"Popular","Average")</f>
        <v>Average</v>
      </c>
      <c r="M1275">
        <f>Books[[#This Row],[AVERAGE RATING]]*Books[[#This Row],[RATINGS COUNT]]</f>
        <v>0</v>
      </c>
    </row>
    <row r="1276" spans="1:13" x14ac:dyDescent="0.25">
      <c r="A1276" t="s">
        <v>2779</v>
      </c>
      <c r="B1276" t="s">
        <v>2754</v>
      </c>
      <c r="C1276">
        <v>79</v>
      </c>
      <c r="D1276" t="s">
        <v>45</v>
      </c>
      <c r="E1276" t="s">
        <v>3966</v>
      </c>
      <c r="F1276" t="s">
        <v>2070</v>
      </c>
      <c r="G1276" t="s">
        <v>4</v>
      </c>
      <c r="H1276">
        <v>0</v>
      </c>
      <c r="I1276">
        <v>0</v>
      </c>
      <c r="J1276">
        <v>2015</v>
      </c>
      <c r="K1276" t="str">
        <f>IF(Books[[#This Row],[AVERAGE RATING]]&gt;=4,"High",IF(Books[[#This Row],[AVERAGE RATING]]&gt;=3,"Medium","Low"))</f>
        <v>Low</v>
      </c>
      <c r="L1276" t="str">
        <f>IF(Books[[#This Row],[AVERAGE RATING]]&gt;10000,"Popular","Average")</f>
        <v>Average</v>
      </c>
      <c r="M1276">
        <f>Books[[#This Row],[AVERAGE RATING]]*Books[[#This Row],[RATINGS COUNT]]</f>
        <v>0</v>
      </c>
    </row>
    <row r="1277" spans="1:13" x14ac:dyDescent="0.25">
      <c r="A1277" t="s">
        <v>2780</v>
      </c>
      <c r="B1277" t="s">
        <v>2781</v>
      </c>
      <c r="C1277">
        <v>452</v>
      </c>
      <c r="D1277" t="s">
        <v>28</v>
      </c>
      <c r="E1277" t="s">
        <v>3967</v>
      </c>
      <c r="F1277" t="s">
        <v>93</v>
      </c>
      <c r="G1277" t="s">
        <v>4</v>
      </c>
      <c r="H1277">
        <v>0</v>
      </c>
      <c r="I1277">
        <v>0</v>
      </c>
      <c r="J1277">
        <v>2016</v>
      </c>
      <c r="K1277" t="str">
        <f>IF(Books[[#This Row],[AVERAGE RATING]]&gt;=4,"High",IF(Books[[#This Row],[AVERAGE RATING]]&gt;=3,"Medium","Low"))</f>
        <v>Low</v>
      </c>
      <c r="L1277" t="str">
        <f>IF(Books[[#This Row],[AVERAGE RATING]]&gt;10000,"Popular","Average")</f>
        <v>Average</v>
      </c>
      <c r="M1277">
        <f>Books[[#This Row],[AVERAGE RATING]]*Books[[#This Row],[RATINGS COUNT]]</f>
        <v>0</v>
      </c>
    </row>
    <row r="1278" spans="1:13" x14ac:dyDescent="0.25">
      <c r="A1278" t="s">
        <v>2782</v>
      </c>
      <c r="B1278" t="s">
        <v>2783</v>
      </c>
      <c r="C1278">
        <v>253</v>
      </c>
      <c r="D1278" t="s">
        <v>383</v>
      </c>
      <c r="E1278" t="s">
        <v>3968</v>
      </c>
      <c r="F1278" t="s">
        <v>76</v>
      </c>
      <c r="G1278" t="s">
        <v>4</v>
      </c>
      <c r="H1278">
        <v>0</v>
      </c>
      <c r="I1278">
        <v>0</v>
      </c>
      <c r="J1278">
        <v>2019</v>
      </c>
      <c r="K1278" t="str">
        <f>IF(Books[[#This Row],[AVERAGE RATING]]&gt;=4,"High",IF(Books[[#This Row],[AVERAGE RATING]]&gt;=3,"Medium","Low"))</f>
        <v>Low</v>
      </c>
      <c r="L1278" t="str">
        <f>IF(Books[[#This Row],[AVERAGE RATING]]&gt;10000,"Popular","Average")</f>
        <v>Average</v>
      </c>
      <c r="M1278">
        <f>Books[[#This Row],[AVERAGE RATING]]*Books[[#This Row],[RATINGS COUNT]]</f>
        <v>0</v>
      </c>
    </row>
    <row r="1279" spans="1:13" x14ac:dyDescent="0.25">
      <c r="A1279" t="s">
        <v>2784</v>
      </c>
      <c r="B1279" t="s">
        <v>2785</v>
      </c>
      <c r="C1279">
        <v>385</v>
      </c>
      <c r="D1279" t="s">
        <v>2</v>
      </c>
      <c r="E1279" t="s">
        <v>3679</v>
      </c>
      <c r="F1279" t="s">
        <v>1330</v>
      </c>
      <c r="G1279" t="s">
        <v>4</v>
      </c>
      <c r="H1279">
        <v>0</v>
      </c>
      <c r="I1279">
        <v>0</v>
      </c>
      <c r="J1279">
        <v>2013</v>
      </c>
      <c r="K1279" t="str">
        <f>IF(Books[[#This Row],[AVERAGE RATING]]&gt;=4,"High",IF(Books[[#This Row],[AVERAGE RATING]]&gt;=3,"Medium","Low"))</f>
        <v>Low</v>
      </c>
      <c r="L1279" t="str">
        <f>IF(Books[[#This Row],[AVERAGE RATING]]&gt;10000,"Popular","Average")</f>
        <v>Average</v>
      </c>
      <c r="M1279">
        <f>Books[[#This Row],[AVERAGE RATING]]*Books[[#This Row],[RATINGS COUNT]]</f>
        <v>0</v>
      </c>
    </row>
    <row r="1280" spans="1:13" x14ac:dyDescent="0.25">
      <c r="A1280" t="s">
        <v>2786</v>
      </c>
      <c r="B1280" t="s">
        <v>2754</v>
      </c>
      <c r="C1280">
        <v>76</v>
      </c>
      <c r="D1280" t="s">
        <v>45</v>
      </c>
      <c r="E1280" t="s">
        <v>3966</v>
      </c>
      <c r="F1280" t="s">
        <v>2070</v>
      </c>
      <c r="G1280" t="s">
        <v>4</v>
      </c>
      <c r="H1280">
        <v>0</v>
      </c>
      <c r="I1280">
        <v>0</v>
      </c>
      <c r="J1280">
        <v>2015</v>
      </c>
      <c r="K1280" t="str">
        <f>IF(Books[[#This Row],[AVERAGE RATING]]&gt;=4,"High",IF(Books[[#This Row],[AVERAGE RATING]]&gt;=3,"Medium","Low"))</f>
        <v>Low</v>
      </c>
      <c r="L1280" t="str">
        <f>IF(Books[[#This Row],[AVERAGE RATING]]&gt;10000,"Popular","Average")</f>
        <v>Average</v>
      </c>
      <c r="M1280">
        <f>Books[[#This Row],[AVERAGE RATING]]*Books[[#This Row],[RATINGS COUNT]]</f>
        <v>0</v>
      </c>
    </row>
    <row r="1281" spans="1:13" x14ac:dyDescent="0.25">
      <c r="A1281" t="s">
        <v>2787</v>
      </c>
      <c r="B1281" t="s">
        <v>2788</v>
      </c>
      <c r="C1281">
        <v>318</v>
      </c>
      <c r="D1281" t="s">
        <v>28</v>
      </c>
      <c r="E1281" t="s">
        <v>3969</v>
      </c>
      <c r="F1281" t="s">
        <v>168</v>
      </c>
      <c r="G1281" t="s">
        <v>4</v>
      </c>
      <c r="H1281">
        <v>0</v>
      </c>
      <c r="I1281">
        <v>0</v>
      </c>
      <c r="J1281">
        <v>2019</v>
      </c>
      <c r="K1281" t="str">
        <f>IF(Books[[#This Row],[AVERAGE RATING]]&gt;=4,"High",IF(Books[[#This Row],[AVERAGE RATING]]&gt;=3,"Medium","Low"))</f>
        <v>Low</v>
      </c>
      <c r="L1281" t="str">
        <f>IF(Books[[#This Row],[AVERAGE RATING]]&gt;10000,"Popular","Average")</f>
        <v>Average</v>
      </c>
      <c r="M1281">
        <f>Books[[#This Row],[AVERAGE RATING]]*Books[[#This Row],[RATINGS COUNT]]</f>
        <v>0</v>
      </c>
    </row>
    <row r="1282" spans="1:13" x14ac:dyDescent="0.25">
      <c r="A1282" t="s">
        <v>2789</v>
      </c>
      <c r="B1282" t="s">
        <v>2790</v>
      </c>
      <c r="C1282">
        <v>419</v>
      </c>
      <c r="D1282" t="s">
        <v>328</v>
      </c>
      <c r="E1282" t="s">
        <v>3970</v>
      </c>
      <c r="F1282" t="s">
        <v>2791</v>
      </c>
      <c r="G1282" t="s">
        <v>4</v>
      </c>
      <c r="H1282">
        <v>0</v>
      </c>
      <c r="I1282">
        <v>0</v>
      </c>
      <c r="J1282">
        <v>2024</v>
      </c>
      <c r="K1282" t="str">
        <f>IF(Books[[#This Row],[AVERAGE RATING]]&gt;=4,"High",IF(Books[[#This Row],[AVERAGE RATING]]&gt;=3,"Medium","Low"))</f>
        <v>Low</v>
      </c>
      <c r="L1282" t="str">
        <f>IF(Books[[#This Row],[AVERAGE RATING]]&gt;10000,"Popular","Average")</f>
        <v>Average</v>
      </c>
      <c r="M1282">
        <f>Books[[#This Row],[AVERAGE RATING]]*Books[[#This Row],[RATINGS COUNT]]</f>
        <v>0</v>
      </c>
    </row>
    <row r="1283" spans="1:13" x14ac:dyDescent="0.25">
      <c r="A1283" t="s">
        <v>2792</v>
      </c>
      <c r="B1283" t="s">
        <v>2793</v>
      </c>
      <c r="C1283">
        <v>290</v>
      </c>
      <c r="D1283" t="s">
        <v>597</v>
      </c>
      <c r="E1283" t="s">
        <v>3971</v>
      </c>
      <c r="F1283" t="s">
        <v>600</v>
      </c>
      <c r="G1283" t="s">
        <v>4</v>
      </c>
      <c r="H1283">
        <v>0</v>
      </c>
      <c r="I1283">
        <v>0</v>
      </c>
      <c r="J1283">
        <v>2020</v>
      </c>
      <c r="K1283" t="str">
        <f>IF(Books[[#This Row],[AVERAGE RATING]]&gt;=4,"High",IF(Books[[#This Row],[AVERAGE RATING]]&gt;=3,"Medium","Low"))</f>
        <v>Low</v>
      </c>
      <c r="L1283" t="str">
        <f>IF(Books[[#This Row],[AVERAGE RATING]]&gt;10000,"Popular","Average")</f>
        <v>Average</v>
      </c>
      <c r="M1283">
        <f>Books[[#This Row],[AVERAGE RATING]]*Books[[#This Row],[RATINGS COUNT]]</f>
        <v>0</v>
      </c>
    </row>
    <row r="1284" spans="1:13" x14ac:dyDescent="0.25">
      <c r="A1284" t="s">
        <v>2794</v>
      </c>
      <c r="B1284" t="s">
        <v>2795</v>
      </c>
      <c r="C1284">
        <v>430</v>
      </c>
      <c r="D1284" t="s">
        <v>420</v>
      </c>
      <c r="E1284" t="s">
        <v>3972</v>
      </c>
      <c r="F1284" t="s">
        <v>600</v>
      </c>
      <c r="G1284" t="s">
        <v>4</v>
      </c>
      <c r="H1284">
        <v>0</v>
      </c>
      <c r="I1284">
        <v>0</v>
      </c>
      <c r="J1284">
        <v>2014</v>
      </c>
      <c r="K1284" t="str">
        <f>IF(Books[[#This Row],[AVERAGE RATING]]&gt;=4,"High",IF(Books[[#This Row],[AVERAGE RATING]]&gt;=3,"Medium","Low"))</f>
        <v>Low</v>
      </c>
      <c r="L1284" t="str">
        <f>IF(Books[[#This Row],[AVERAGE RATING]]&gt;10000,"Popular","Average")</f>
        <v>Average</v>
      </c>
      <c r="M1284">
        <f>Books[[#This Row],[AVERAGE RATING]]*Books[[#This Row],[RATINGS COUNT]]</f>
        <v>0</v>
      </c>
    </row>
    <row r="1285" spans="1:13" x14ac:dyDescent="0.25">
      <c r="A1285" t="s">
        <v>2796</v>
      </c>
      <c r="B1285" t="s">
        <v>2797</v>
      </c>
      <c r="C1285">
        <v>256</v>
      </c>
      <c r="D1285" t="s">
        <v>383</v>
      </c>
      <c r="E1285" t="s">
        <v>3973</v>
      </c>
      <c r="F1285" t="s">
        <v>433</v>
      </c>
      <c r="G1285" t="s">
        <v>4</v>
      </c>
      <c r="H1285">
        <v>0</v>
      </c>
      <c r="I1285">
        <v>0</v>
      </c>
      <c r="J1285">
        <v>2017</v>
      </c>
      <c r="K1285" t="str">
        <f>IF(Books[[#This Row],[AVERAGE RATING]]&gt;=4,"High",IF(Books[[#This Row],[AVERAGE RATING]]&gt;=3,"Medium","Low"))</f>
        <v>Low</v>
      </c>
      <c r="L1285" t="str">
        <f>IF(Books[[#This Row],[AVERAGE RATING]]&gt;10000,"Popular","Average")</f>
        <v>Average</v>
      </c>
      <c r="M1285">
        <f>Books[[#This Row],[AVERAGE RATING]]*Books[[#This Row],[RATINGS COUNT]]</f>
        <v>0</v>
      </c>
    </row>
    <row r="1286" spans="1:13" x14ac:dyDescent="0.25">
      <c r="A1286" t="s">
        <v>2798</v>
      </c>
      <c r="B1286" t="s">
        <v>2799</v>
      </c>
      <c r="C1286">
        <v>146</v>
      </c>
      <c r="D1286" t="s">
        <v>207</v>
      </c>
      <c r="E1286" t="s">
        <v>3974</v>
      </c>
      <c r="F1286" t="s">
        <v>2800</v>
      </c>
      <c r="G1286" t="s">
        <v>4</v>
      </c>
      <c r="H1286">
        <v>0</v>
      </c>
      <c r="I1286">
        <v>0</v>
      </c>
      <c r="J1286">
        <v>2014</v>
      </c>
      <c r="K1286" t="str">
        <f>IF(Books[[#This Row],[AVERAGE RATING]]&gt;=4,"High",IF(Books[[#This Row],[AVERAGE RATING]]&gt;=3,"Medium","Low"))</f>
        <v>Low</v>
      </c>
      <c r="L1286" t="str">
        <f>IF(Books[[#This Row],[AVERAGE RATING]]&gt;10000,"Popular","Average")</f>
        <v>Average</v>
      </c>
      <c r="M1286">
        <f>Books[[#This Row],[AVERAGE RATING]]*Books[[#This Row],[RATINGS COUNT]]</f>
        <v>0</v>
      </c>
    </row>
    <row r="1287" spans="1:13" x14ac:dyDescent="0.25">
      <c r="A1287" t="s">
        <v>2801</v>
      </c>
      <c r="B1287" t="s">
        <v>2802</v>
      </c>
      <c r="C1287">
        <v>149</v>
      </c>
      <c r="D1287" t="s">
        <v>45</v>
      </c>
      <c r="E1287" t="s">
        <v>3574</v>
      </c>
      <c r="F1287" t="s">
        <v>756</v>
      </c>
      <c r="G1287" t="s">
        <v>4</v>
      </c>
      <c r="H1287">
        <v>0</v>
      </c>
      <c r="I1287">
        <v>0</v>
      </c>
      <c r="J1287">
        <v>2012</v>
      </c>
      <c r="K1287" t="str">
        <f>IF(Books[[#This Row],[AVERAGE RATING]]&gt;=4,"High",IF(Books[[#This Row],[AVERAGE RATING]]&gt;=3,"Medium","Low"))</f>
        <v>Low</v>
      </c>
      <c r="L1287" t="str">
        <f>IF(Books[[#This Row],[AVERAGE RATING]]&gt;10000,"Popular","Average")</f>
        <v>Average</v>
      </c>
      <c r="M1287">
        <f>Books[[#This Row],[AVERAGE RATING]]*Books[[#This Row],[RATINGS COUNT]]</f>
        <v>0</v>
      </c>
    </row>
    <row r="1288" spans="1:13" x14ac:dyDescent="0.25">
      <c r="A1288" t="s">
        <v>2801</v>
      </c>
      <c r="B1288" t="s">
        <v>2803</v>
      </c>
      <c r="C1288">
        <v>148</v>
      </c>
      <c r="D1288" t="s">
        <v>45</v>
      </c>
      <c r="E1288" t="s">
        <v>3322</v>
      </c>
      <c r="F1288" t="s">
        <v>756</v>
      </c>
      <c r="G1288" t="s">
        <v>4</v>
      </c>
      <c r="H1288">
        <v>0</v>
      </c>
      <c r="I1288">
        <v>0</v>
      </c>
      <c r="J1288">
        <v>2012</v>
      </c>
      <c r="K1288" t="str">
        <f>IF(Books[[#This Row],[AVERAGE RATING]]&gt;=4,"High",IF(Books[[#This Row],[AVERAGE RATING]]&gt;=3,"Medium","Low"))</f>
        <v>Low</v>
      </c>
      <c r="L1288" t="str">
        <f>IF(Books[[#This Row],[AVERAGE RATING]]&gt;10000,"Popular","Average")</f>
        <v>Average</v>
      </c>
      <c r="M1288">
        <f>Books[[#This Row],[AVERAGE RATING]]*Books[[#This Row],[RATINGS COUNT]]</f>
        <v>0</v>
      </c>
    </row>
    <row r="1289" spans="1:13" x14ac:dyDescent="0.25">
      <c r="A1289" t="s">
        <v>2804</v>
      </c>
      <c r="B1289" t="s">
        <v>2805</v>
      </c>
      <c r="C1289">
        <v>210</v>
      </c>
      <c r="D1289" t="s">
        <v>207</v>
      </c>
      <c r="E1289" t="s">
        <v>3854</v>
      </c>
      <c r="F1289" t="s">
        <v>2806</v>
      </c>
      <c r="G1289" t="s">
        <v>4</v>
      </c>
      <c r="H1289">
        <v>4</v>
      </c>
      <c r="I1289">
        <v>4</v>
      </c>
      <c r="J1289">
        <v>2010</v>
      </c>
      <c r="K1289" t="str">
        <f>IF(Books[[#This Row],[AVERAGE RATING]]&gt;=4,"High",IF(Books[[#This Row],[AVERAGE RATING]]&gt;=3,"Medium","Low"))</f>
        <v>High</v>
      </c>
      <c r="L1289" t="str">
        <f>IF(Books[[#This Row],[AVERAGE RATING]]&gt;10000,"Popular","Average")</f>
        <v>Average</v>
      </c>
      <c r="M1289">
        <f>Books[[#This Row],[AVERAGE RATING]]*Books[[#This Row],[RATINGS COUNT]]</f>
        <v>16</v>
      </c>
    </row>
    <row r="1290" spans="1:13" x14ac:dyDescent="0.25">
      <c r="A1290" t="s">
        <v>2801</v>
      </c>
      <c r="B1290" t="s">
        <v>2807</v>
      </c>
      <c r="C1290">
        <v>116</v>
      </c>
      <c r="D1290" t="s">
        <v>135</v>
      </c>
      <c r="E1290" t="s">
        <v>3868</v>
      </c>
      <c r="F1290" t="s">
        <v>2478</v>
      </c>
      <c r="G1290" t="s">
        <v>4</v>
      </c>
      <c r="H1290">
        <v>4.5</v>
      </c>
      <c r="I1290">
        <v>2</v>
      </c>
      <c r="J1290">
        <v>2010</v>
      </c>
      <c r="K1290" t="str">
        <f>IF(Books[[#This Row],[AVERAGE RATING]]&gt;=4,"High",IF(Books[[#This Row],[AVERAGE RATING]]&gt;=3,"Medium","Low"))</f>
        <v>High</v>
      </c>
      <c r="L1290" t="str">
        <f>IF(Books[[#This Row],[AVERAGE RATING]]&gt;10000,"Popular","Average")</f>
        <v>Average</v>
      </c>
      <c r="M1290">
        <f>Books[[#This Row],[AVERAGE RATING]]*Books[[#This Row],[RATINGS COUNT]]</f>
        <v>9</v>
      </c>
    </row>
    <row r="1291" spans="1:13" x14ac:dyDescent="0.25">
      <c r="A1291" t="s">
        <v>2808</v>
      </c>
      <c r="B1291" t="s">
        <v>2809</v>
      </c>
      <c r="C1291">
        <v>279</v>
      </c>
      <c r="D1291" t="s">
        <v>15</v>
      </c>
      <c r="E1291" t="s">
        <v>3248</v>
      </c>
      <c r="F1291" t="s">
        <v>334</v>
      </c>
      <c r="G1291" t="s">
        <v>4</v>
      </c>
      <c r="H1291">
        <v>0</v>
      </c>
      <c r="I1291">
        <v>0</v>
      </c>
      <c r="J1291">
        <v>2024</v>
      </c>
      <c r="K1291" t="str">
        <f>IF(Books[[#This Row],[AVERAGE RATING]]&gt;=4,"High",IF(Books[[#This Row],[AVERAGE RATING]]&gt;=3,"Medium","Low"))</f>
        <v>Low</v>
      </c>
      <c r="L1291" t="str">
        <f>IF(Books[[#This Row],[AVERAGE RATING]]&gt;10000,"Popular","Average")</f>
        <v>Average</v>
      </c>
      <c r="M1291">
        <f>Books[[#This Row],[AVERAGE RATING]]*Books[[#This Row],[RATINGS COUNT]]</f>
        <v>0</v>
      </c>
    </row>
    <row r="1292" spans="1:13" x14ac:dyDescent="0.25">
      <c r="A1292" t="s">
        <v>2810</v>
      </c>
      <c r="B1292" t="s">
        <v>2811</v>
      </c>
      <c r="C1292">
        <v>202</v>
      </c>
      <c r="D1292" t="s">
        <v>207</v>
      </c>
      <c r="E1292" t="s">
        <v>3717</v>
      </c>
      <c r="F1292" t="s">
        <v>2812</v>
      </c>
      <c r="G1292" t="s">
        <v>4</v>
      </c>
      <c r="H1292">
        <v>0</v>
      </c>
      <c r="I1292">
        <v>0</v>
      </c>
      <c r="J1292">
        <v>2010</v>
      </c>
      <c r="K1292" t="str">
        <f>IF(Books[[#This Row],[AVERAGE RATING]]&gt;=4,"High",IF(Books[[#This Row],[AVERAGE RATING]]&gt;=3,"Medium","Low"))</f>
        <v>Low</v>
      </c>
      <c r="L1292" t="str">
        <f>IF(Books[[#This Row],[AVERAGE RATING]]&gt;10000,"Popular","Average")</f>
        <v>Average</v>
      </c>
      <c r="M1292">
        <f>Books[[#This Row],[AVERAGE RATING]]*Books[[#This Row],[RATINGS COUNT]]</f>
        <v>0</v>
      </c>
    </row>
    <row r="1293" spans="1:13" x14ac:dyDescent="0.25">
      <c r="A1293" t="s">
        <v>2813</v>
      </c>
      <c r="B1293" t="s">
        <v>2814</v>
      </c>
      <c r="C1293">
        <v>82</v>
      </c>
      <c r="D1293" t="s">
        <v>79</v>
      </c>
      <c r="E1293" t="s">
        <v>3975</v>
      </c>
      <c r="F1293" t="s">
        <v>2815</v>
      </c>
      <c r="G1293" t="s">
        <v>4</v>
      </c>
      <c r="H1293">
        <v>0</v>
      </c>
      <c r="I1293">
        <v>0</v>
      </c>
      <c r="J1293">
        <v>2013</v>
      </c>
      <c r="K1293" t="str">
        <f>IF(Books[[#This Row],[AVERAGE RATING]]&gt;=4,"High",IF(Books[[#This Row],[AVERAGE RATING]]&gt;=3,"Medium","Low"))</f>
        <v>Low</v>
      </c>
      <c r="L1293" t="str">
        <f>IF(Books[[#This Row],[AVERAGE RATING]]&gt;10000,"Popular","Average")</f>
        <v>Average</v>
      </c>
      <c r="M1293">
        <f>Books[[#This Row],[AVERAGE RATING]]*Books[[#This Row],[RATINGS COUNT]]</f>
        <v>0</v>
      </c>
    </row>
    <row r="1294" spans="1:13" x14ac:dyDescent="0.25">
      <c r="A1294" t="s">
        <v>2816</v>
      </c>
      <c r="B1294" t="s">
        <v>2807</v>
      </c>
      <c r="C1294">
        <v>52</v>
      </c>
      <c r="D1294" t="s">
        <v>207</v>
      </c>
      <c r="E1294" t="s">
        <v>3322</v>
      </c>
      <c r="F1294" t="s">
        <v>2817</v>
      </c>
      <c r="G1294" t="s">
        <v>4</v>
      </c>
      <c r="H1294">
        <v>4.5</v>
      </c>
      <c r="I1294">
        <v>3</v>
      </c>
      <c r="J1294">
        <v>2012</v>
      </c>
      <c r="K1294" t="str">
        <f>IF(Books[[#This Row],[AVERAGE RATING]]&gt;=4,"High",IF(Books[[#This Row],[AVERAGE RATING]]&gt;=3,"Medium","Low"))</f>
        <v>High</v>
      </c>
      <c r="L1294" t="str">
        <f>IF(Books[[#This Row],[AVERAGE RATING]]&gt;10000,"Popular","Average")</f>
        <v>Average</v>
      </c>
      <c r="M1294">
        <f>Books[[#This Row],[AVERAGE RATING]]*Books[[#This Row],[RATINGS COUNT]]</f>
        <v>13.5</v>
      </c>
    </row>
    <row r="1295" spans="1:13" x14ac:dyDescent="0.25">
      <c r="A1295" t="s">
        <v>2818</v>
      </c>
      <c r="B1295" t="s">
        <v>2819</v>
      </c>
      <c r="C1295">
        <v>249</v>
      </c>
      <c r="D1295" t="s">
        <v>207</v>
      </c>
      <c r="E1295" t="s">
        <v>3730</v>
      </c>
      <c r="F1295" t="s">
        <v>2088</v>
      </c>
      <c r="G1295" t="s">
        <v>4</v>
      </c>
      <c r="H1295">
        <v>0</v>
      </c>
      <c r="I1295">
        <v>0</v>
      </c>
      <c r="J1295">
        <v>2015</v>
      </c>
      <c r="K1295" t="str">
        <f>IF(Books[[#This Row],[AVERAGE RATING]]&gt;=4,"High",IF(Books[[#This Row],[AVERAGE RATING]]&gt;=3,"Medium","Low"))</f>
        <v>Low</v>
      </c>
      <c r="L1295" t="str">
        <f>IF(Books[[#This Row],[AVERAGE RATING]]&gt;10000,"Popular","Average")</f>
        <v>Average</v>
      </c>
      <c r="M1295">
        <f>Books[[#This Row],[AVERAGE RATING]]*Books[[#This Row],[RATINGS COUNT]]</f>
        <v>0</v>
      </c>
    </row>
    <row r="1296" spans="1:13" x14ac:dyDescent="0.25">
      <c r="A1296" t="s">
        <v>2820</v>
      </c>
      <c r="B1296" t="s">
        <v>2821</v>
      </c>
      <c r="C1296">
        <v>265</v>
      </c>
      <c r="D1296" t="s">
        <v>135</v>
      </c>
      <c r="E1296" t="s">
        <v>3945</v>
      </c>
      <c r="F1296" t="s">
        <v>1330</v>
      </c>
      <c r="G1296" t="s">
        <v>4</v>
      </c>
      <c r="H1296">
        <v>0</v>
      </c>
      <c r="I1296">
        <v>0</v>
      </c>
      <c r="J1296">
        <v>2012</v>
      </c>
      <c r="K1296" t="str">
        <f>IF(Books[[#This Row],[AVERAGE RATING]]&gt;=4,"High",IF(Books[[#This Row],[AVERAGE RATING]]&gt;=3,"Medium","Low"))</f>
        <v>Low</v>
      </c>
      <c r="L1296" t="str">
        <f>IF(Books[[#This Row],[AVERAGE RATING]]&gt;10000,"Popular","Average")</f>
        <v>Average</v>
      </c>
      <c r="M1296">
        <f>Books[[#This Row],[AVERAGE RATING]]*Books[[#This Row],[RATINGS COUNT]]</f>
        <v>0</v>
      </c>
    </row>
    <row r="1297" spans="1:13" x14ac:dyDescent="0.25">
      <c r="A1297" t="s">
        <v>2822</v>
      </c>
      <c r="B1297" t="s">
        <v>2823</v>
      </c>
      <c r="C1297">
        <v>36</v>
      </c>
      <c r="D1297" t="s">
        <v>207</v>
      </c>
      <c r="E1297" t="s">
        <v>3179</v>
      </c>
      <c r="F1297" t="s">
        <v>2817</v>
      </c>
      <c r="G1297" t="s">
        <v>4</v>
      </c>
      <c r="H1297">
        <v>0</v>
      </c>
      <c r="I1297">
        <v>0</v>
      </c>
      <c r="J1297">
        <v>2013</v>
      </c>
      <c r="K1297" t="str">
        <f>IF(Books[[#This Row],[AVERAGE RATING]]&gt;=4,"High",IF(Books[[#This Row],[AVERAGE RATING]]&gt;=3,"Medium","Low"))</f>
        <v>Low</v>
      </c>
      <c r="L1297" t="str">
        <f>IF(Books[[#This Row],[AVERAGE RATING]]&gt;10000,"Popular","Average")</f>
        <v>Average</v>
      </c>
      <c r="M1297">
        <f>Books[[#This Row],[AVERAGE RATING]]*Books[[#This Row],[RATINGS COUNT]]</f>
        <v>0</v>
      </c>
    </row>
    <row r="1298" spans="1:13" x14ac:dyDescent="0.25">
      <c r="A1298" t="s">
        <v>2824</v>
      </c>
      <c r="B1298" t="s">
        <v>2825</v>
      </c>
      <c r="C1298">
        <v>251</v>
      </c>
      <c r="D1298" t="s">
        <v>2</v>
      </c>
      <c r="E1298" t="s">
        <v>3976</v>
      </c>
      <c r="F1298" t="s">
        <v>76</v>
      </c>
      <c r="G1298" t="s">
        <v>4</v>
      </c>
      <c r="H1298">
        <v>0</v>
      </c>
      <c r="I1298">
        <v>0</v>
      </c>
      <c r="J1298">
        <v>2022</v>
      </c>
      <c r="K1298" t="str">
        <f>IF(Books[[#This Row],[AVERAGE RATING]]&gt;=4,"High",IF(Books[[#This Row],[AVERAGE RATING]]&gt;=3,"Medium","Low"))</f>
        <v>Low</v>
      </c>
      <c r="L1298" t="str">
        <f>IF(Books[[#This Row],[AVERAGE RATING]]&gt;10000,"Popular","Average")</f>
        <v>Average</v>
      </c>
      <c r="M1298">
        <f>Books[[#This Row],[AVERAGE RATING]]*Books[[#This Row],[RATINGS COUNT]]</f>
        <v>0</v>
      </c>
    </row>
    <row r="1299" spans="1:13" x14ac:dyDescent="0.25">
      <c r="A1299" t="s">
        <v>2826</v>
      </c>
      <c r="B1299" t="s">
        <v>2827</v>
      </c>
      <c r="C1299">
        <v>227</v>
      </c>
      <c r="D1299" t="s">
        <v>63</v>
      </c>
      <c r="E1299" t="s">
        <v>3977</v>
      </c>
      <c r="F1299" t="s">
        <v>93</v>
      </c>
      <c r="G1299" t="s">
        <v>4</v>
      </c>
      <c r="H1299">
        <v>0</v>
      </c>
      <c r="I1299">
        <v>0</v>
      </c>
      <c r="J1299">
        <v>2014</v>
      </c>
      <c r="K1299" t="str">
        <f>IF(Books[[#This Row],[AVERAGE RATING]]&gt;=4,"High",IF(Books[[#This Row],[AVERAGE RATING]]&gt;=3,"Medium","Low"))</f>
        <v>Low</v>
      </c>
      <c r="L1299" t="str">
        <f>IF(Books[[#This Row],[AVERAGE RATING]]&gt;10000,"Popular","Average")</f>
        <v>Average</v>
      </c>
      <c r="M1299">
        <f>Books[[#This Row],[AVERAGE RATING]]*Books[[#This Row],[RATINGS COUNT]]</f>
        <v>0</v>
      </c>
    </row>
    <row r="1300" spans="1:13" x14ac:dyDescent="0.25">
      <c r="A1300" t="s">
        <v>2828</v>
      </c>
      <c r="B1300" t="s">
        <v>2829</v>
      </c>
      <c r="C1300">
        <v>250</v>
      </c>
      <c r="D1300" t="s">
        <v>2</v>
      </c>
      <c r="E1300" t="s">
        <v>3978</v>
      </c>
      <c r="F1300" t="s">
        <v>76</v>
      </c>
      <c r="G1300" t="s">
        <v>4</v>
      </c>
      <c r="H1300">
        <v>0</v>
      </c>
      <c r="I1300">
        <v>0</v>
      </c>
      <c r="J1300">
        <v>2015</v>
      </c>
      <c r="K1300" t="str">
        <f>IF(Books[[#This Row],[AVERAGE RATING]]&gt;=4,"High",IF(Books[[#This Row],[AVERAGE RATING]]&gt;=3,"Medium","Low"))</f>
        <v>Low</v>
      </c>
      <c r="L1300" t="str">
        <f>IF(Books[[#This Row],[AVERAGE RATING]]&gt;10000,"Popular","Average")</f>
        <v>Average</v>
      </c>
      <c r="M1300">
        <f>Books[[#This Row],[AVERAGE RATING]]*Books[[#This Row],[RATINGS COUNT]]</f>
        <v>0</v>
      </c>
    </row>
    <row r="1301" spans="1:13" x14ac:dyDescent="0.25">
      <c r="A1301" t="s">
        <v>2830</v>
      </c>
      <c r="B1301" t="s">
        <v>2831</v>
      </c>
      <c r="C1301">
        <v>36</v>
      </c>
      <c r="D1301" t="s">
        <v>207</v>
      </c>
      <c r="E1301" t="s">
        <v>3122</v>
      </c>
      <c r="F1301" t="s">
        <v>2832</v>
      </c>
      <c r="G1301" t="s">
        <v>4</v>
      </c>
      <c r="H1301">
        <v>0</v>
      </c>
      <c r="I1301">
        <v>0</v>
      </c>
      <c r="J1301">
        <v>2018</v>
      </c>
      <c r="K1301" t="str">
        <f>IF(Books[[#This Row],[AVERAGE RATING]]&gt;=4,"High",IF(Books[[#This Row],[AVERAGE RATING]]&gt;=3,"Medium","Low"))</f>
        <v>Low</v>
      </c>
      <c r="L1301" t="str">
        <f>IF(Books[[#This Row],[AVERAGE RATING]]&gt;10000,"Popular","Average")</f>
        <v>Average</v>
      </c>
      <c r="M1301">
        <f>Books[[#This Row],[AVERAGE RATING]]*Books[[#This Row],[RATINGS COUNT]]</f>
        <v>0</v>
      </c>
    </row>
    <row r="1302" spans="1:13" x14ac:dyDescent="0.25">
      <c r="A1302" t="s">
        <v>2833</v>
      </c>
      <c r="B1302" t="s">
        <v>2834</v>
      </c>
      <c r="C1302">
        <v>600</v>
      </c>
      <c r="D1302" t="s">
        <v>673</v>
      </c>
      <c r="E1302" t="s">
        <v>3979</v>
      </c>
      <c r="F1302" t="s">
        <v>460</v>
      </c>
      <c r="G1302" t="s">
        <v>4</v>
      </c>
      <c r="H1302">
        <v>0</v>
      </c>
      <c r="I1302">
        <v>0</v>
      </c>
      <c r="J1302">
        <v>1998</v>
      </c>
      <c r="K1302" t="str">
        <f>IF(Books[[#This Row],[AVERAGE RATING]]&gt;=4,"High",IF(Books[[#This Row],[AVERAGE RATING]]&gt;=3,"Medium","Low"))</f>
        <v>Low</v>
      </c>
      <c r="L1302" t="str">
        <f>IF(Books[[#This Row],[AVERAGE RATING]]&gt;10000,"Popular","Average")</f>
        <v>Average</v>
      </c>
      <c r="M1302">
        <f>Books[[#This Row],[AVERAGE RATING]]*Books[[#This Row],[RATINGS COUNT]]</f>
        <v>0</v>
      </c>
    </row>
    <row r="1303" spans="1:13" x14ac:dyDescent="0.25">
      <c r="A1303" t="s">
        <v>2835</v>
      </c>
      <c r="B1303" t="s">
        <v>2836</v>
      </c>
      <c r="C1303">
        <v>427</v>
      </c>
      <c r="D1303" t="s">
        <v>15</v>
      </c>
      <c r="E1303" t="s">
        <v>3980</v>
      </c>
      <c r="F1303" t="s">
        <v>2837</v>
      </c>
      <c r="G1303" t="s">
        <v>4</v>
      </c>
      <c r="H1303">
        <v>0</v>
      </c>
      <c r="I1303">
        <v>0</v>
      </c>
      <c r="J1303">
        <v>2003</v>
      </c>
      <c r="K1303" t="str">
        <f>IF(Books[[#This Row],[AVERAGE RATING]]&gt;=4,"High",IF(Books[[#This Row],[AVERAGE RATING]]&gt;=3,"Medium","Low"))</f>
        <v>Low</v>
      </c>
      <c r="L1303" t="str">
        <f>IF(Books[[#This Row],[AVERAGE RATING]]&gt;10000,"Popular","Average")</f>
        <v>Average</v>
      </c>
      <c r="M1303">
        <f>Books[[#This Row],[AVERAGE RATING]]*Books[[#This Row],[RATINGS COUNT]]</f>
        <v>0</v>
      </c>
    </row>
    <row r="1304" spans="1:13" x14ac:dyDescent="0.25">
      <c r="A1304" t="s">
        <v>2838</v>
      </c>
      <c r="B1304" t="s">
        <v>2839</v>
      </c>
      <c r="C1304">
        <v>269</v>
      </c>
      <c r="D1304" t="s">
        <v>144</v>
      </c>
      <c r="E1304" t="s">
        <v>3318</v>
      </c>
      <c r="F1304" t="s">
        <v>39</v>
      </c>
      <c r="G1304" t="s">
        <v>4</v>
      </c>
      <c r="H1304">
        <v>0</v>
      </c>
      <c r="I1304">
        <v>0</v>
      </c>
      <c r="J1304">
        <v>2016</v>
      </c>
      <c r="K1304" t="str">
        <f>IF(Books[[#This Row],[AVERAGE RATING]]&gt;=4,"High",IF(Books[[#This Row],[AVERAGE RATING]]&gt;=3,"Medium","Low"))</f>
        <v>Low</v>
      </c>
      <c r="L1304" t="str">
        <f>IF(Books[[#This Row],[AVERAGE RATING]]&gt;10000,"Popular","Average")</f>
        <v>Average</v>
      </c>
      <c r="M1304">
        <f>Books[[#This Row],[AVERAGE RATING]]*Books[[#This Row],[RATINGS COUNT]]</f>
        <v>0</v>
      </c>
    </row>
    <row r="1305" spans="1:13" x14ac:dyDescent="0.25">
      <c r="A1305" t="s">
        <v>2840</v>
      </c>
      <c r="B1305" t="s">
        <v>2841</v>
      </c>
      <c r="C1305">
        <v>873</v>
      </c>
      <c r="D1305" t="s">
        <v>328</v>
      </c>
      <c r="E1305" t="s">
        <v>3078</v>
      </c>
      <c r="F1305" t="s">
        <v>985</v>
      </c>
      <c r="G1305" t="s">
        <v>4</v>
      </c>
      <c r="H1305">
        <v>1</v>
      </c>
      <c r="I1305">
        <v>5</v>
      </c>
      <c r="J1305">
        <v>1999</v>
      </c>
      <c r="K1305" t="str">
        <f>IF(Books[[#This Row],[AVERAGE RATING]]&gt;=4,"High",IF(Books[[#This Row],[AVERAGE RATING]]&gt;=3,"Medium","Low"))</f>
        <v>Low</v>
      </c>
      <c r="L1305" t="str">
        <f>IF(Books[[#This Row],[AVERAGE RATING]]&gt;10000,"Popular","Average")</f>
        <v>Average</v>
      </c>
      <c r="M1305">
        <f>Books[[#This Row],[AVERAGE RATING]]*Books[[#This Row],[RATINGS COUNT]]</f>
        <v>5</v>
      </c>
    </row>
    <row r="1306" spans="1:13" x14ac:dyDescent="0.25">
      <c r="A1306" t="s">
        <v>2842</v>
      </c>
      <c r="B1306" t="s">
        <v>2843</v>
      </c>
      <c r="C1306">
        <v>529</v>
      </c>
      <c r="D1306" t="s">
        <v>144</v>
      </c>
      <c r="E1306" t="s">
        <v>3981</v>
      </c>
      <c r="F1306" t="s">
        <v>122</v>
      </c>
      <c r="G1306" t="s">
        <v>4</v>
      </c>
      <c r="H1306">
        <v>0</v>
      </c>
      <c r="I1306">
        <v>0</v>
      </c>
      <c r="J1306">
        <v>2023</v>
      </c>
      <c r="K1306" t="str">
        <f>IF(Books[[#This Row],[AVERAGE RATING]]&gt;=4,"High",IF(Books[[#This Row],[AVERAGE RATING]]&gt;=3,"Medium","Low"))</f>
        <v>Low</v>
      </c>
      <c r="L1306" t="str">
        <f>IF(Books[[#This Row],[AVERAGE RATING]]&gt;10000,"Popular","Average")</f>
        <v>Average</v>
      </c>
      <c r="M1306">
        <f>Books[[#This Row],[AVERAGE RATING]]*Books[[#This Row],[RATINGS COUNT]]</f>
        <v>0</v>
      </c>
    </row>
    <row r="1307" spans="1:13" x14ac:dyDescent="0.25">
      <c r="A1307" t="s">
        <v>2844</v>
      </c>
      <c r="B1307" t="s">
        <v>2845</v>
      </c>
      <c r="C1307">
        <v>424</v>
      </c>
      <c r="D1307" t="s">
        <v>298</v>
      </c>
      <c r="E1307" t="s">
        <v>3982</v>
      </c>
      <c r="F1307" t="s">
        <v>523</v>
      </c>
      <c r="G1307" t="s">
        <v>4</v>
      </c>
      <c r="H1307">
        <v>0</v>
      </c>
      <c r="I1307">
        <v>0</v>
      </c>
      <c r="J1307">
        <v>2024</v>
      </c>
      <c r="K1307" t="str">
        <f>IF(Books[[#This Row],[AVERAGE RATING]]&gt;=4,"High",IF(Books[[#This Row],[AVERAGE RATING]]&gt;=3,"Medium","Low"))</f>
        <v>Low</v>
      </c>
      <c r="L1307" t="str">
        <f>IF(Books[[#This Row],[AVERAGE RATING]]&gt;10000,"Popular","Average")</f>
        <v>Average</v>
      </c>
      <c r="M1307">
        <f>Books[[#This Row],[AVERAGE RATING]]*Books[[#This Row],[RATINGS COUNT]]</f>
        <v>0</v>
      </c>
    </row>
    <row r="1308" spans="1:13" x14ac:dyDescent="0.25">
      <c r="A1308" t="s">
        <v>2846</v>
      </c>
      <c r="B1308" t="s">
        <v>2847</v>
      </c>
      <c r="C1308">
        <v>332</v>
      </c>
      <c r="D1308" t="s">
        <v>38</v>
      </c>
      <c r="E1308" t="s">
        <v>3284</v>
      </c>
      <c r="F1308" t="s">
        <v>2848</v>
      </c>
      <c r="G1308" t="s">
        <v>4</v>
      </c>
      <c r="H1308">
        <v>0</v>
      </c>
      <c r="I1308">
        <v>0</v>
      </c>
      <c r="J1308">
        <v>1997</v>
      </c>
      <c r="K1308" t="str">
        <f>IF(Books[[#This Row],[AVERAGE RATING]]&gt;=4,"High",IF(Books[[#This Row],[AVERAGE RATING]]&gt;=3,"Medium","Low"))</f>
        <v>Low</v>
      </c>
      <c r="L1308" t="str">
        <f>IF(Books[[#This Row],[AVERAGE RATING]]&gt;10000,"Popular","Average")</f>
        <v>Average</v>
      </c>
      <c r="M1308">
        <f>Books[[#This Row],[AVERAGE RATING]]*Books[[#This Row],[RATINGS COUNT]]</f>
        <v>0</v>
      </c>
    </row>
    <row r="1309" spans="1:13" x14ac:dyDescent="0.25">
      <c r="A1309" t="s">
        <v>2849</v>
      </c>
      <c r="B1309" t="s">
        <v>2850</v>
      </c>
      <c r="C1309">
        <v>343</v>
      </c>
      <c r="D1309" t="s">
        <v>673</v>
      </c>
      <c r="E1309" t="s">
        <v>3099</v>
      </c>
      <c r="F1309" t="s">
        <v>1956</v>
      </c>
      <c r="G1309" t="s">
        <v>4</v>
      </c>
      <c r="H1309">
        <v>0</v>
      </c>
      <c r="I1309">
        <v>0</v>
      </c>
      <c r="J1309">
        <v>2005</v>
      </c>
      <c r="K1309" t="str">
        <f>IF(Books[[#This Row],[AVERAGE RATING]]&gt;=4,"High",IF(Books[[#This Row],[AVERAGE RATING]]&gt;=3,"Medium","Low"))</f>
        <v>Low</v>
      </c>
      <c r="L1309" t="str">
        <f>IF(Books[[#This Row],[AVERAGE RATING]]&gt;10000,"Popular","Average")</f>
        <v>Average</v>
      </c>
      <c r="M1309">
        <f>Books[[#This Row],[AVERAGE RATING]]*Books[[#This Row],[RATINGS COUNT]]</f>
        <v>0</v>
      </c>
    </row>
    <row r="1310" spans="1:13" x14ac:dyDescent="0.25">
      <c r="A1310" t="s">
        <v>2851</v>
      </c>
      <c r="B1310" t="s">
        <v>2852</v>
      </c>
      <c r="C1310">
        <v>744</v>
      </c>
      <c r="D1310" t="s">
        <v>118</v>
      </c>
      <c r="E1310" t="s">
        <v>3980</v>
      </c>
      <c r="F1310" t="s">
        <v>1766</v>
      </c>
      <c r="G1310" t="s">
        <v>4</v>
      </c>
      <c r="H1310">
        <v>3.5</v>
      </c>
      <c r="I1310">
        <v>8</v>
      </c>
      <c r="J1310">
        <v>2003</v>
      </c>
      <c r="K1310" t="str">
        <f>IF(Books[[#This Row],[AVERAGE RATING]]&gt;=4,"High",IF(Books[[#This Row],[AVERAGE RATING]]&gt;=3,"Medium","Low"))</f>
        <v>Medium</v>
      </c>
      <c r="L1310" t="str">
        <f>IF(Books[[#This Row],[AVERAGE RATING]]&gt;10000,"Popular","Average")</f>
        <v>Average</v>
      </c>
      <c r="M1310">
        <f>Books[[#This Row],[AVERAGE RATING]]*Books[[#This Row],[RATINGS COUNT]]</f>
        <v>28</v>
      </c>
    </row>
    <row r="1311" spans="1:13" x14ac:dyDescent="0.25">
      <c r="A1311" t="s">
        <v>2853</v>
      </c>
      <c r="B1311" t="s">
        <v>2854</v>
      </c>
      <c r="C1311">
        <v>609</v>
      </c>
      <c r="D1311" t="s">
        <v>118</v>
      </c>
      <c r="E1311" t="s">
        <v>3983</v>
      </c>
      <c r="F1311" t="s">
        <v>93</v>
      </c>
      <c r="G1311" t="s">
        <v>4</v>
      </c>
      <c r="H1311">
        <v>0</v>
      </c>
      <c r="I1311">
        <v>0</v>
      </c>
      <c r="J1311">
        <v>2015</v>
      </c>
      <c r="K1311" t="str">
        <f>IF(Books[[#This Row],[AVERAGE RATING]]&gt;=4,"High",IF(Books[[#This Row],[AVERAGE RATING]]&gt;=3,"Medium","Low"))</f>
        <v>Low</v>
      </c>
      <c r="L1311" t="str">
        <f>IF(Books[[#This Row],[AVERAGE RATING]]&gt;10000,"Popular","Average")</f>
        <v>Average</v>
      </c>
      <c r="M1311">
        <f>Books[[#This Row],[AVERAGE RATING]]*Books[[#This Row],[RATINGS COUNT]]</f>
        <v>0</v>
      </c>
    </row>
    <row r="1312" spans="1:13" x14ac:dyDescent="0.25">
      <c r="A1312" t="s">
        <v>2855</v>
      </c>
      <c r="B1312" t="s">
        <v>2856</v>
      </c>
      <c r="C1312">
        <v>465</v>
      </c>
      <c r="D1312" t="s">
        <v>144</v>
      </c>
      <c r="E1312" t="s">
        <v>3879</v>
      </c>
      <c r="F1312" t="s">
        <v>603</v>
      </c>
      <c r="G1312" t="s">
        <v>4</v>
      </c>
      <c r="H1312">
        <v>0</v>
      </c>
      <c r="I1312">
        <v>0</v>
      </c>
      <c r="J1312">
        <v>2022</v>
      </c>
      <c r="K1312" t="str">
        <f>IF(Books[[#This Row],[AVERAGE RATING]]&gt;=4,"High",IF(Books[[#This Row],[AVERAGE RATING]]&gt;=3,"Medium","Low"))</f>
        <v>Low</v>
      </c>
      <c r="L1312" t="str">
        <f>IF(Books[[#This Row],[AVERAGE RATING]]&gt;10000,"Popular","Average")</f>
        <v>Average</v>
      </c>
      <c r="M1312">
        <f>Books[[#This Row],[AVERAGE RATING]]*Books[[#This Row],[RATINGS COUNT]]</f>
        <v>0</v>
      </c>
    </row>
    <row r="1313" spans="1:13" x14ac:dyDescent="0.25">
      <c r="A1313" t="s">
        <v>2857</v>
      </c>
      <c r="B1313" t="s">
        <v>2858</v>
      </c>
      <c r="C1313">
        <v>754</v>
      </c>
      <c r="D1313" t="s">
        <v>328</v>
      </c>
      <c r="E1313" t="s">
        <v>3984</v>
      </c>
      <c r="F1313" t="s">
        <v>2859</v>
      </c>
      <c r="G1313" t="s">
        <v>4</v>
      </c>
      <c r="H1313">
        <v>0</v>
      </c>
      <c r="I1313">
        <v>0</v>
      </c>
      <c r="J1313">
        <v>2011</v>
      </c>
      <c r="K1313" t="str">
        <f>IF(Books[[#This Row],[AVERAGE RATING]]&gt;=4,"High",IF(Books[[#This Row],[AVERAGE RATING]]&gt;=3,"Medium","Low"))</f>
        <v>Low</v>
      </c>
      <c r="L1313" t="str">
        <f>IF(Books[[#This Row],[AVERAGE RATING]]&gt;10000,"Popular","Average")</f>
        <v>Average</v>
      </c>
      <c r="M1313">
        <f>Books[[#This Row],[AVERAGE RATING]]*Books[[#This Row],[RATINGS COUNT]]</f>
        <v>0</v>
      </c>
    </row>
    <row r="1314" spans="1:13" x14ac:dyDescent="0.25">
      <c r="A1314" t="s">
        <v>2860</v>
      </c>
      <c r="B1314" t="s">
        <v>2861</v>
      </c>
      <c r="C1314">
        <v>237</v>
      </c>
      <c r="D1314" t="s">
        <v>32</v>
      </c>
      <c r="E1314" t="s">
        <v>3985</v>
      </c>
      <c r="F1314" t="s">
        <v>247</v>
      </c>
      <c r="G1314" t="s">
        <v>4</v>
      </c>
      <c r="H1314">
        <v>0</v>
      </c>
      <c r="I1314">
        <v>0</v>
      </c>
      <c r="J1314">
        <v>2012</v>
      </c>
      <c r="K1314" t="str">
        <f>IF(Books[[#This Row],[AVERAGE RATING]]&gt;=4,"High",IF(Books[[#This Row],[AVERAGE RATING]]&gt;=3,"Medium","Low"))</f>
        <v>Low</v>
      </c>
      <c r="L1314" t="str">
        <f>IF(Books[[#This Row],[AVERAGE RATING]]&gt;10000,"Popular","Average")</f>
        <v>Average</v>
      </c>
      <c r="M1314">
        <f>Books[[#This Row],[AVERAGE RATING]]*Books[[#This Row],[RATINGS COUNT]]</f>
        <v>0</v>
      </c>
    </row>
    <row r="1315" spans="1:13" x14ac:dyDescent="0.25">
      <c r="A1315" t="s">
        <v>2862</v>
      </c>
      <c r="B1315" t="s">
        <v>2863</v>
      </c>
      <c r="C1315">
        <v>438</v>
      </c>
      <c r="D1315" t="s">
        <v>63</v>
      </c>
      <c r="E1315" t="s">
        <v>3626</v>
      </c>
      <c r="F1315" t="s">
        <v>791</v>
      </c>
      <c r="G1315" t="s">
        <v>4</v>
      </c>
      <c r="H1315">
        <v>0</v>
      </c>
      <c r="I1315">
        <v>0</v>
      </c>
      <c r="J1315">
        <v>2012</v>
      </c>
      <c r="K1315" t="str">
        <f>IF(Books[[#This Row],[AVERAGE RATING]]&gt;=4,"High",IF(Books[[#This Row],[AVERAGE RATING]]&gt;=3,"Medium","Low"))</f>
        <v>Low</v>
      </c>
      <c r="L1315" t="str">
        <f>IF(Books[[#This Row],[AVERAGE RATING]]&gt;10000,"Popular","Average")</f>
        <v>Average</v>
      </c>
      <c r="M1315">
        <f>Books[[#This Row],[AVERAGE RATING]]*Books[[#This Row],[RATINGS COUNT]]</f>
        <v>0</v>
      </c>
    </row>
    <row r="1316" spans="1:13" x14ac:dyDescent="0.25">
      <c r="A1316" t="s">
        <v>2864</v>
      </c>
      <c r="B1316" t="s">
        <v>2865</v>
      </c>
      <c r="C1316">
        <v>870</v>
      </c>
      <c r="D1316" t="s">
        <v>673</v>
      </c>
      <c r="E1316" t="s">
        <v>3287</v>
      </c>
      <c r="F1316" t="s">
        <v>1766</v>
      </c>
      <c r="G1316" t="s">
        <v>4</v>
      </c>
      <c r="H1316">
        <v>5</v>
      </c>
      <c r="I1316">
        <v>1</v>
      </c>
      <c r="J1316">
        <v>2010</v>
      </c>
      <c r="K1316" t="str">
        <f>IF(Books[[#This Row],[AVERAGE RATING]]&gt;=4,"High",IF(Books[[#This Row],[AVERAGE RATING]]&gt;=3,"Medium","Low"))</f>
        <v>High</v>
      </c>
      <c r="L1316" t="str">
        <f>IF(Books[[#This Row],[AVERAGE RATING]]&gt;10000,"Popular","Average")</f>
        <v>Average</v>
      </c>
      <c r="M1316">
        <f>Books[[#This Row],[AVERAGE RATING]]*Books[[#This Row],[RATINGS COUNT]]</f>
        <v>5</v>
      </c>
    </row>
    <row r="1317" spans="1:13" x14ac:dyDescent="0.25">
      <c r="A1317" t="s">
        <v>2866</v>
      </c>
      <c r="B1317" t="s">
        <v>2867</v>
      </c>
      <c r="C1317">
        <v>324</v>
      </c>
      <c r="D1317" t="s">
        <v>2</v>
      </c>
      <c r="E1317" t="s">
        <v>3986</v>
      </c>
      <c r="F1317" t="s">
        <v>1330</v>
      </c>
      <c r="G1317" t="s">
        <v>4</v>
      </c>
      <c r="H1317">
        <v>0</v>
      </c>
      <c r="I1317">
        <v>0</v>
      </c>
      <c r="J1317">
        <v>2009</v>
      </c>
      <c r="K1317" t="str">
        <f>IF(Books[[#This Row],[AVERAGE RATING]]&gt;=4,"High",IF(Books[[#This Row],[AVERAGE RATING]]&gt;=3,"Medium","Low"))</f>
        <v>Low</v>
      </c>
      <c r="L1317" t="str">
        <f>IF(Books[[#This Row],[AVERAGE RATING]]&gt;10000,"Popular","Average")</f>
        <v>Average</v>
      </c>
      <c r="M1317">
        <f>Books[[#This Row],[AVERAGE RATING]]*Books[[#This Row],[RATINGS COUNT]]</f>
        <v>0</v>
      </c>
    </row>
    <row r="1318" spans="1:13" x14ac:dyDescent="0.25">
      <c r="A1318" t="s">
        <v>2868</v>
      </c>
      <c r="B1318" t="s">
        <v>2869</v>
      </c>
      <c r="C1318">
        <v>257</v>
      </c>
      <c r="D1318" t="s">
        <v>2</v>
      </c>
      <c r="E1318" t="s">
        <v>3099</v>
      </c>
      <c r="F1318" t="s">
        <v>132</v>
      </c>
      <c r="G1318" t="s">
        <v>4</v>
      </c>
      <c r="H1318">
        <v>0</v>
      </c>
      <c r="I1318">
        <v>0</v>
      </c>
      <c r="J1318">
        <v>2005</v>
      </c>
      <c r="K1318" t="str">
        <f>IF(Books[[#This Row],[AVERAGE RATING]]&gt;=4,"High",IF(Books[[#This Row],[AVERAGE RATING]]&gt;=3,"Medium","Low"))</f>
        <v>Low</v>
      </c>
      <c r="L1318" t="str">
        <f>IF(Books[[#This Row],[AVERAGE RATING]]&gt;10000,"Popular","Average")</f>
        <v>Average</v>
      </c>
      <c r="M1318">
        <f>Books[[#This Row],[AVERAGE RATING]]*Books[[#This Row],[RATINGS COUNT]]</f>
        <v>0</v>
      </c>
    </row>
    <row r="1319" spans="1:13" x14ac:dyDescent="0.25">
      <c r="A1319" t="s">
        <v>2870</v>
      </c>
      <c r="B1319" t="s">
        <v>2871</v>
      </c>
      <c r="C1319">
        <v>226</v>
      </c>
      <c r="D1319" t="s">
        <v>54</v>
      </c>
      <c r="E1319" t="s">
        <v>3987</v>
      </c>
      <c r="F1319" t="s">
        <v>2079</v>
      </c>
      <c r="G1319" t="s">
        <v>4</v>
      </c>
      <c r="H1319">
        <v>5</v>
      </c>
      <c r="I1319">
        <v>1</v>
      </c>
      <c r="J1319">
        <v>2010</v>
      </c>
      <c r="K1319" t="str">
        <f>IF(Books[[#This Row],[AVERAGE RATING]]&gt;=4,"High",IF(Books[[#This Row],[AVERAGE RATING]]&gt;=3,"Medium","Low"))</f>
        <v>High</v>
      </c>
      <c r="L1319" t="str">
        <f>IF(Books[[#This Row],[AVERAGE RATING]]&gt;10000,"Popular","Average")</f>
        <v>Average</v>
      </c>
      <c r="M1319">
        <f>Books[[#This Row],[AVERAGE RATING]]*Books[[#This Row],[RATINGS COUNT]]</f>
        <v>5</v>
      </c>
    </row>
    <row r="1320" spans="1:13" x14ac:dyDescent="0.25">
      <c r="A1320" t="s">
        <v>2872</v>
      </c>
      <c r="B1320" t="s">
        <v>2873</v>
      </c>
      <c r="C1320">
        <v>377</v>
      </c>
      <c r="D1320" t="s">
        <v>79</v>
      </c>
      <c r="E1320" t="s">
        <v>3988</v>
      </c>
      <c r="F1320" t="s">
        <v>132</v>
      </c>
      <c r="G1320" t="s">
        <v>4</v>
      </c>
      <c r="H1320">
        <v>0</v>
      </c>
      <c r="I1320">
        <v>0</v>
      </c>
      <c r="J1320">
        <v>2011</v>
      </c>
      <c r="K1320" t="str">
        <f>IF(Books[[#This Row],[AVERAGE RATING]]&gt;=4,"High",IF(Books[[#This Row],[AVERAGE RATING]]&gt;=3,"Medium","Low"))</f>
        <v>Low</v>
      </c>
      <c r="L1320" t="str">
        <f>IF(Books[[#This Row],[AVERAGE RATING]]&gt;10000,"Popular","Average")</f>
        <v>Average</v>
      </c>
      <c r="M1320">
        <f>Books[[#This Row],[AVERAGE RATING]]*Books[[#This Row],[RATINGS COUNT]]</f>
        <v>0</v>
      </c>
    </row>
    <row r="1321" spans="1:13" x14ac:dyDescent="0.25">
      <c r="A1321" t="s">
        <v>2874</v>
      </c>
      <c r="B1321" t="s">
        <v>1805</v>
      </c>
      <c r="C1321">
        <v>256</v>
      </c>
      <c r="D1321" t="s">
        <v>2</v>
      </c>
      <c r="E1321" t="s">
        <v>3989</v>
      </c>
      <c r="F1321" t="s">
        <v>2023</v>
      </c>
      <c r="G1321" t="s">
        <v>4</v>
      </c>
      <c r="H1321">
        <v>0</v>
      </c>
      <c r="I1321">
        <v>0</v>
      </c>
      <c r="J1321">
        <v>2005</v>
      </c>
      <c r="K1321" t="str">
        <f>IF(Books[[#This Row],[AVERAGE RATING]]&gt;=4,"High",IF(Books[[#This Row],[AVERAGE RATING]]&gt;=3,"Medium","Low"))</f>
        <v>Low</v>
      </c>
      <c r="L1321" t="str">
        <f>IF(Books[[#This Row],[AVERAGE RATING]]&gt;10000,"Popular","Average")</f>
        <v>Average</v>
      </c>
      <c r="M1321">
        <f>Books[[#This Row],[AVERAGE RATING]]*Books[[#This Row],[RATINGS COUNT]]</f>
        <v>0</v>
      </c>
    </row>
    <row r="1322" spans="1:13" x14ac:dyDescent="0.25">
      <c r="A1322" t="s">
        <v>2875</v>
      </c>
      <c r="B1322" t="s">
        <v>2876</v>
      </c>
      <c r="C1322">
        <v>176</v>
      </c>
      <c r="D1322" t="s">
        <v>79</v>
      </c>
      <c r="E1322" t="s">
        <v>3990</v>
      </c>
      <c r="F1322" t="s">
        <v>2877</v>
      </c>
      <c r="G1322" t="s">
        <v>4</v>
      </c>
      <c r="H1322">
        <v>0</v>
      </c>
      <c r="I1322">
        <v>0</v>
      </c>
      <c r="J1322">
        <v>2010</v>
      </c>
      <c r="K1322" t="str">
        <f>IF(Books[[#This Row],[AVERAGE RATING]]&gt;=4,"High",IF(Books[[#This Row],[AVERAGE RATING]]&gt;=3,"Medium","Low"))</f>
        <v>Low</v>
      </c>
      <c r="L1322" t="str">
        <f>IF(Books[[#This Row],[AVERAGE RATING]]&gt;10000,"Popular","Average")</f>
        <v>Average</v>
      </c>
      <c r="M1322">
        <f>Books[[#This Row],[AVERAGE RATING]]*Books[[#This Row],[RATINGS COUNT]]</f>
        <v>0</v>
      </c>
    </row>
    <row r="1323" spans="1:13" x14ac:dyDescent="0.25">
      <c r="A1323" t="s">
        <v>2878</v>
      </c>
      <c r="B1323" t="s">
        <v>2879</v>
      </c>
      <c r="C1323">
        <v>111</v>
      </c>
      <c r="D1323" t="s">
        <v>2</v>
      </c>
      <c r="E1323" t="s">
        <v>3867</v>
      </c>
      <c r="F1323" t="s">
        <v>2023</v>
      </c>
      <c r="G1323" t="s">
        <v>4</v>
      </c>
      <c r="H1323">
        <v>3</v>
      </c>
      <c r="I1323">
        <v>2</v>
      </c>
      <c r="J1323">
        <v>2007</v>
      </c>
      <c r="K1323" t="str">
        <f>IF(Books[[#This Row],[AVERAGE RATING]]&gt;=4,"High",IF(Books[[#This Row],[AVERAGE RATING]]&gt;=3,"Medium","Low"))</f>
        <v>Medium</v>
      </c>
      <c r="L1323" t="str">
        <f>IF(Books[[#This Row],[AVERAGE RATING]]&gt;10000,"Popular","Average")</f>
        <v>Average</v>
      </c>
      <c r="M1323">
        <f>Books[[#This Row],[AVERAGE RATING]]*Books[[#This Row],[RATINGS COUNT]]</f>
        <v>6</v>
      </c>
    </row>
    <row r="1324" spans="1:13" x14ac:dyDescent="0.25">
      <c r="A1324" t="s">
        <v>2880</v>
      </c>
      <c r="B1324" t="s">
        <v>2154</v>
      </c>
      <c r="C1324">
        <v>156</v>
      </c>
      <c r="D1324" t="s">
        <v>11</v>
      </c>
      <c r="E1324" t="s">
        <v>3122</v>
      </c>
      <c r="F1324" t="s">
        <v>2881</v>
      </c>
      <c r="G1324" t="s">
        <v>4</v>
      </c>
      <c r="H1324">
        <v>3</v>
      </c>
      <c r="I1324">
        <v>2</v>
      </c>
      <c r="J1324">
        <v>2018</v>
      </c>
      <c r="K1324" t="str">
        <f>IF(Books[[#This Row],[AVERAGE RATING]]&gt;=4,"High",IF(Books[[#This Row],[AVERAGE RATING]]&gt;=3,"Medium","Low"))</f>
        <v>Medium</v>
      </c>
      <c r="L1324" t="str">
        <f>IF(Books[[#This Row],[AVERAGE RATING]]&gt;10000,"Popular","Average")</f>
        <v>Average</v>
      </c>
      <c r="M1324">
        <f>Books[[#This Row],[AVERAGE RATING]]*Books[[#This Row],[RATINGS COUNT]]</f>
        <v>6</v>
      </c>
    </row>
    <row r="1325" spans="1:13" x14ac:dyDescent="0.25">
      <c r="A1325" t="s">
        <v>2882</v>
      </c>
      <c r="B1325" t="s">
        <v>2883</v>
      </c>
      <c r="C1325">
        <v>177</v>
      </c>
      <c r="D1325" t="s">
        <v>54</v>
      </c>
      <c r="E1325" t="s">
        <v>3144</v>
      </c>
      <c r="F1325" t="s">
        <v>1358</v>
      </c>
      <c r="G1325" t="s">
        <v>4</v>
      </c>
      <c r="H1325">
        <v>0</v>
      </c>
      <c r="I1325">
        <v>0</v>
      </c>
      <c r="J1325">
        <v>2008</v>
      </c>
      <c r="K1325" t="str">
        <f>IF(Books[[#This Row],[AVERAGE RATING]]&gt;=4,"High",IF(Books[[#This Row],[AVERAGE RATING]]&gt;=3,"Medium","Low"))</f>
        <v>Low</v>
      </c>
      <c r="L1325" t="str">
        <f>IF(Books[[#This Row],[AVERAGE RATING]]&gt;10000,"Popular","Average")</f>
        <v>Average</v>
      </c>
      <c r="M1325">
        <f>Books[[#This Row],[AVERAGE RATING]]*Books[[#This Row],[RATINGS COUNT]]</f>
        <v>0</v>
      </c>
    </row>
    <row r="1326" spans="1:13" x14ac:dyDescent="0.25">
      <c r="A1326" t="s">
        <v>2884</v>
      </c>
      <c r="B1326" t="s">
        <v>2885</v>
      </c>
      <c r="C1326">
        <v>167</v>
      </c>
      <c r="D1326" t="s">
        <v>79</v>
      </c>
      <c r="E1326" t="s">
        <v>3991</v>
      </c>
      <c r="F1326" t="s">
        <v>39</v>
      </c>
      <c r="G1326" t="s">
        <v>4</v>
      </c>
      <c r="H1326">
        <v>0</v>
      </c>
      <c r="I1326">
        <v>0</v>
      </c>
      <c r="J1326">
        <v>2013</v>
      </c>
      <c r="K1326" t="str">
        <f>IF(Books[[#This Row],[AVERAGE RATING]]&gt;=4,"High",IF(Books[[#This Row],[AVERAGE RATING]]&gt;=3,"Medium","Low"))</f>
        <v>Low</v>
      </c>
      <c r="L1326" t="str">
        <f>IF(Books[[#This Row],[AVERAGE RATING]]&gt;10000,"Popular","Average")</f>
        <v>Average</v>
      </c>
      <c r="M1326">
        <f>Books[[#This Row],[AVERAGE RATING]]*Books[[#This Row],[RATINGS COUNT]]</f>
        <v>0</v>
      </c>
    </row>
    <row r="1327" spans="1:13" x14ac:dyDescent="0.25">
      <c r="A1327" t="s">
        <v>2154</v>
      </c>
      <c r="B1327" t="s">
        <v>2886</v>
      </c>
      <c r="C1327">
        <v>158</v>
      </c>
      <c r="D1327" t="s">
        <v>45</v>
      </c>
      <c r="E1327" t="s">
        <v>3494</v>
      </c>
      <c r="F1327" t="s">
        <v>1822</v>
      </c>
      <c r="G1327" t="s">
        <v>4</v>
      </c>
      <c r="H1327">
        <v>0</v>
      </c>
      <c r="I1327">
        <v>0</v>
      </c>
      <c r="J1327">
        <v>2009</v>
      </c>
      <c r="K1327" t="str">
        <f>IF(Books[[#This Row],[AVERAGE RATING]]&gt;=4,"High",IF(Books[[#This Row],[AVERAGE RATING]]&gt;=3,"Medium","Low"))</f>
        <v>Low</v>
      </c>
      <c r="L1327" t="str">
        <f>IF(Books[[#This Row],[AVERAGE RATING]]&gt;10000,"Popular","Average")</f>
        <v>Average</v>
      </c>
      <c r="M1327">
        <f>Books[[#This Row],[AVERAGE RATING]]*Books[[#This Row],[RATINGS COUNT]]</f>
        <v>0</v>
      </c>
    </row>
    <row r="1328" spans="1:13" x14ac:dyDescent="0.25">
      <c r="A1328" t="s">
        <v>2154</v>
      </c>
      <c r="B1328" t="s">
        <v>2887</v>
      </c>
      <c r="C1328">
        <v>140</v>
      </c>
      <c r="D1328" t="s">
        <v>45</v>
      </c>
      <c r="E1328" t="s">
        <v>3153</v>
      </c>
      <c r="F1328" t="s">
        <v>1358</v>
      </c>
      <c r="G1328" t="s">
        <v>4</v>
      </c>
      <c r="H1328">
        <v>0</v>
      </c>
      <c r="I1328">
        <v>0</v>
      </c>
      <c r="J1328">
        <v>2001</v>
      </c>
      <c r="K1328" t="str">
        <f>IF(Books[[#This Row],[AVERAGE RATING]]&gt;=4,"High",IF(Books[[#This Row],[AVERAGE RATING]]&gt;=3,"Medium","Low"))</f>
        <v>Low</v>
      </c>
      <c r="L1328" t="str">
        <f>IF(Books[[#This Row],[AVERAGE RATING]]&gt;10000,"Popular","Average")</f>
        <v>Average</v>
      </c>
      <c r="M1328">
        <f>Books[[#This Row],[AVERAGE RATING]]*Books[[#This Row],[RATINGS COUNT]]</f>
        <v>0</v>
      </c>
    </row>
    <row r="1329" spans="1:13" x14ac:dyDescent="0.25">
      <c r="A1329" t="s">
        <v>2888</v>
      </c>
      <c r="B1329" t="s">
        <v>2889</v>
      </c>
      <c r="C1329">
        <v>142</v>
      </c>
      <c r="D1329" t="s">
        <v>54</v>
      </c>
      <c r="E1329" t="s">
        <v>3992</v>
      </c>
      <c r="F1329" t="s">
        <v>2011</v>
      </c>
      <c r="G1329" t="s">
        <v>4</v>
      </c>
      <c r="H1329">
        <v>0</v>
      </c>
      <c r="I1329">
        <v>0</v>
      </c>
      <c r="J1329">
        <v>2025</v>
      </c>
      <c r="K1329" t="str">
        <f>IF(Books[[#This Row],[AVERAGE RATING]]&gt;=4,"High",IF(Books[[#This Row],[AVERAGE RATING]]&gt;=3,"Medium","Low"))</f>
        <v>Low</v>
      </c>
      <c r="L1329" t="str">
        <f>IF(Books[[#This Row],[AVERAGE RATING]]&gt;10000,"Popular","Average")</f>
        <v>Average</v>
      </c>
      <c r="M1329">
        <f>Books[[#This Row],[AVERAGE RATING]]*Books[[#This Row],[RATINGS COUNT]]</f>
        <v>0</v>
      </c>
    </row>
    <row r="1330" spans="1:13" x14ac:dyDescent="0.25">
      <c r="A1330" t="s">
        <v>2890</v>
      </c>
      <c r="B1330" t="s">
        <v>2169</v>
      </c>
      <c r="C1330">
        <v>346</v>
      </c>
      <c r="D1330" t="s">
        <v>54</v>
      </c>
      <c r="E1330" t="s">
        <v>3442</v>
      </c>
      <c r="F1330" t="s">
        <v>244</v>
      </c>
      <c r="G1330" t="s">
        <v>4</v>
      </c>
      <c r="H1330">
        <v>0</v>
      </c>
      <c r="I1330">
        <v>0</v>
      </c>
      <c r="J1330">
        <v>2011</v>
      </c>
      <c r="K1330" t="str">
        <f>IF(Books[[#This Row],[AVERAGE RATING]]&gt;=4,"High",IF(Books[[#This Row],[AVERAGE RATING]]&gt;=3,"Medium","Low"))</f>
        <v>Low</v>
      </c>
      <c r="L1330" t="str">
        <f>IF(Books[[#This Row],[AVERAGE RATING]]&gt;10000,"Popular","Average")</f>
        <v>Average</v>
      </c>
      <c r="M1330">
        <f>Books[[#This Row],[AVERAGE RATING]]*Books[[#This Row],[RATINGS COUNT]]</f>
        <v>0</v>
      </c>
    </row>
    <row r="1331" spans="1:13" x14ac:dyDescent="0.25">
      <c r="A1331" t="s">
        <v>2891</v>
      </c>
      <c r="B1331" t="s">
        <v>2169</v>
      </c>
      <c r="C1331">
        <v>93</v>
      </c>
      <c r="D1331" t="s">
        <v>54</v>
      </c>
      <c r="E1331" t="s">
        <v>3993</v>
      </c>
      <c r="F1331" t="s">
        <v>2892</v>
      </c>
      <c r="G1331" t="s">
        <v>4</v>
      </c>
      <c r="H1331">
        <v>0</v>
      </c>
      <c r="I1331">
        <v>0</v>
      </c>
      <c r="J1331">
        <v>2017</v>
      </c>
      <c r="K1331" t="str">
        <f>IF(Books[[#This Row],[AVERAGE RATING]]&gt;=4,"High",IF(Books[[#This Row],[AVERAGE RATING]]&gt;=3,"Medium","Low"))</f>
        <v>Low</v>
      </c>
      <c r="L1331" t="str">
        <f>IF(Books[[#This Row],[AVERAGE RATING]]&gt;10000,"Popular","Average")</f>
        <v>Average</v>
      </c>
      <c r="M1331">
        <f>Books[[#This Row],[AVERAGE RATING]]*Books[[#This Row],[RATINGS COUNT]]</f>
        <v>0</v>
      </c>
    </row>
    <row r="1332" spans="1:13" x14ac:dyDescent="0.25">
      <c r="A1332" t="s">
        <v>2893</v>
      </c>
      <c r="B1332" t="s">
        <v>2169</v>
      </c>
      <c r="C1332">
        <v>89</v>
      </c>
      <c r="D1332" t="s">
        <v>47</v>
      </c>
      <c r="E1332" t="s">
        <v>3527</v>
      </c>
      <c r="F1332" t="s">
        <v>2894</v>
      </c>
      <c r="G1332" t="s">
        <v>4</v>
      </c>
      <c r="H1332">
        <v>0</v>
      </c>
      <c r="I1332">
        <v>0</v>
      </c>
      <c r="J1332">
        <v>2016</v>
      </c>
      <c r="K1332" t="str">
        <f>IF(Books[[#This Row],[AVERAGE RATING]]&gt;=4,"High",IF(Books[[#This Row],[AVERAGE RATING]]&gt;=3,"Medium","Low"))</f>
        <v>Low</v>
      </c>
      <c r="L1332" t="str">
        <f>IF(Books[[#This Row],[AVERAGE RATING]]&gt;10000,"Popular","Average")</f>
        <v>Average</v>
      </c>
      <c r="M1332">
        <f>Books[[#This Row],[AVERAGE RATING]]*Books[[#This Row],[RATINGS COUNT]]</f>
        <v>0</v>
      </c>
    </row>
    <row r="1333" spans="1:13" x14ac:dyDescent="0.25">
      <c r="A1333" t="s">
        <v>2895</v>
      </c>
      <c r="B1333" t="s">
        <v>2896</v>
      </c>
      <c r="C1333">
        <v>447</v>
      </c>
      <c r="D1333" t="s">
        <v>11</v>
      </c>
      <c r="E1333" t="s">
        <v>3994</v>
      </c>
      <c r="F1333" t="s">
        <v>2897</v>
      </c>
      <c r="G1333" t="s">
        <v>4</v>
      </c>
      <c r="H1333">
        <v>0</v>
      </c>
      <c r="I1333">
        <v>0</v>
      </c>
      <c r="J1333">
        <v>2023</v>
      </c>
      <c r="K1333" t="str">
        <f>IF(Books[[#This Row],[AVERAGE RATING]]&gt;=4,"High",IF(Books[[#This Row],[AVERAGE RATING]]&gt;=3,"Medium","Low"))</f>
        <v>Low</v>
      </c>
      <c r="L1333" t="str">
        <f>IF(Books[[#This Row],[AVERAGE RATING]]&gt;10000,"Popular","Average")</f>
        <v>Average</v>
      </c>
      <c r="M1333">
        <f>Books[[#This Row],[AVERAGE RATING]]*Books[[#This Row],[RATINGS COUNT]]</f>
        <v>0</v>
      </c>
    </row>
    <row r="1334" spans="1:13" x14ac:dyDescent="0.25">
      <c r="A1334" t="s">
        <v>2898</v>
      </c>
      <c r="B1334" t="s">
        <v>2899</v>
      </c>
      <c r="C1334">
        <v>1230</v>
      </c>
      <c r="D1334" t="s">
        <v>11</v>
      </c>
      <c r="E1334" t="s">
        <v>3995</v>
      </c>
      <c r="F1334" t="s">
        <v>1452</v>
      </c>
      <c r="G1334" t="s">
        <v>1304</v>
      </c>
      <c r="H1334">
        <v>0</v>
      </c>
      <c r="I1334">
        <v>0</v>
      </c>
      <c r="J1334">
        <v>2015</v>
      </c>
      <c r="K1334" t="str">
        <f>IF(Books[[#This Row],[AVERAGE RATING]]&gt;=4,"High",IF(Books[[#This Row],[AVERAGE RATING]]&gt;=3,"Medium","Low"))</f>
        <v>Low</v>
      </c>
      <c r="L1334" t="str">
        <f>IF(Books[[#This Row],[AVERAGE RATING]]&gt;10000,"Popular","Average")</f>
        <v>Average</v>
      </c>
      <c r="M1334">
        <f>Books[[#This Row],[AVERAGE RATING]]*Books[[#This Row],[RATINGS COUNT]]</f>
        <v>0</v>
      </c>
    </row>
    <row r="1335" spans="1:13" x14ac:dyDescent="0.25">
      <c r="A1335" t="s">
        <v>2900</v>
      </c>
      <c r="B1335" t="s">
        <v>2901</v>
      </c>
      <c r="C1335">
        <v>819</v>
      </c>
      <c r="D1335" t="s">
        <v>11</v>
      </c>
      <c r="E1335" t="s">
        <v>3996</v>
      </c>
      <c r="F1335" t="s">
        <v>2301</v>
      </c>
      <c r="G1335" t="s">
        <v>2188</v>
      </c>
      <c r="H1335">
        <v>0</v>
      </c>
      <c r="I1335">
        <v>0</v>
      </c>
      <c r="J1335">
        <v>2023</v>
      </c>
      <c r="K1335" t="str">
        <f>IF(Books[[#This Row],[AVERAGE RATING]]&gt;=4,"High",IF(Books[[#This Row],[AVERAGE RATING]]&gt;=3,"Medium","Low"))</f>
        <v>Low</v>
      </c>
      <c r="L1335" t="str">
        <f>IF(Books[[#This Row],[AVERAGE RATING]]&gt;10000,"Popular","Average")</f>
        <v>Average</v>
      </c>
      <c r="M1335">
        <f>Books[[#This Row],[AVERAGE RATING]]*Books[[#This Row],[RATINGS COUNT]]</f>
        <v>0</v>
      </c>
    </row>
    <row r="1336" spans="1:13" x14ac:dyDescent="0.25">
      <c r="A1336" t="s">
        <v>2902</v>
      </c>
      <c r="B1336" t="s">
        <v>2899</v>
      </c>
      <c r="C1336">
        <v>87</v>
      </c>
      <c r="D1336" t="s">
        <v>11</v>
      </c>
      <c r="E1336" t="s">
        <v>3500</v>
      </c>
      <c r="F1336" t="s">
        <v>2903</v>
      </c>
      <c r="G1336" t="s">
        <v>1989</v>
      </c>
      <c r="H1336">
        <v>0</v>
      </c>
      <c r="I1336">
        <v>0</v>
      </c>
      <c r="J1336">
        <v>2016</v>
      </c>
      <c r="K1336" t="str">
        <f>IF(Books[[#This Row],[AVERAGE RATING]]&gt;=4,"High",IF(Books[[#This Row],[AVERAGE RATING]]&gt;=3,"Medium","Low"))</f>
        <v>Low</v>
      </c>
      <c r="L1336" t="str">
        <f>IF(Books[[#This Row],[AVERAGE RATING]]&gt;10000,"Popular","Average")</f>
        <v>Average</v>
      </c>
      <c r="M1336">
        <f>Books[[#This Row],[AVERAGE RATING]]*Books[[#This Row],[RATINGS COUNT]]</f>
        <v>0</v>
      </c>
    </row>
    <row r="1337" spans="1:13" x14ac:dyDescent="0.25">
      <c r="A1337" t="s">
        <v>2904</v>
      </c>
      <c r="B1337" t="s">
        <v>1451</v>
      </c>
      <c r="C1337">
        <v>1124</v>
      </c>
      <c r="D1337" t="s">
        <v>11</v>
      </c>
      <c r="E1337" t="s">
        <v>3981</v>
      </c>
      <c r="F1337" t="s">
        <v>2905</v>
      </c>
      <c r="G1337" t="s">
        <v>2188</v>
      </c>
      <c r="H1337">
        <v>0</v>
      </c>
      <c r="I1337">
        <v>0</v>
      </c>
      <c r="J1337">
        <v>2023</v>
      </c>
      <c r="K1337" t="str">
        <f>IF(Books[[#This Row],[AVERAGE RATING]]&gt;=4,"High",IF(Books[[#This Row],[AVERAGE RATING]]&gt;=3,"Medium","Low"))</f>
        <v>Low</v>
      </c>
      <c r="L1337" t="str">
        <f>IF(Books[[#This Row],[AVERAGE RATING]]&gt;10000,"Popular","Average")</f>
        <v>Average</v>
      </c>
      <c r="M1337">
        <f>Books[[#This Row],[AVERAGE RATING]]*Books[[#This Row],[RATINGS COUNT]]</f>
        <v>0</v>
      </c>
    </row>
    <row r="1338" spans="1:13" x14ac:dyDescent="0.25">
      <c r="A1338" t="s">
        <v>2906</v>
      </c>
      <c r="B1338" t="s">
        <v>2907</v>
      </c>
      <c r="C1338">
        <v>587</v>
      </c>
      <c r="D1338" t="s">
        <v>11</v>
      </c>
      <c r="E1338" t="s">
        <v>3179</v>
      </c>
      <c r="F1338" t="s">
        <v>2297</v>
      </c>
      <c r="G1338" t="s">
        <v>1618</v>
      </c>
      <c r="H1338">
        <v>0</v>
      </c>
      <c r="I1338">
        <v>0</v>
      </c>
      <c r="J1338">
        <v>2013</v>
      </c>
      <c r="K1338" t="str">
        <f>IF(Books[[#This Row],[AVERAGE RATING]]&gt;=4,"High",IF(Books[[#This Row],[AVERAGE RATING]]&gt;=3,"Medium","Low"))</f>
        <v>Low</v>
      </c>
      <c r="L1338" t="str">
        <f>IF(Books[[#This Row],[AVERAGE RATING]]&gt;10000,"Popular","Average")</f>
        <v>Average</v>
      </c>
      <c r="M1338">
        <f>Books[[#This Row],[AVERAGE RATING]]*Books[[#This Row],[RATINGS COUNT]]</f>
        <v>0</v>
      </c>
    </row>
    <row r="1339" spans="1:13" x14ac:dyDescent="0.25">
      <c r="A1339" t="s">
        <v>2908</v>
      </c>
      <c r="B1339" t="s">
        <v>2909</v>
      </c>
      <c r="C1339">
        <v>2279</v>
      </c>
      <c r="D1339" t="s">
        <v>11</v>
      </c>
      <c r="E1339" t="s">
        <v>3997</v>
      </c>
      <c r="F1339" t="s">
        <v>2910</v>
      </c>
      <c r="G1339" t="s">
        <v>2911</v>
      </c>
      <c r="H1339">
        <v>0</v>
      </c>
      <c r="I1339">
        <v>0</v>
      </c>
      <c r="J1339">
        <v>2018</v>
      </c>
      <c r="K1339" t="str">
        <f>IF(Books[[#This Row],[AVERAGE RATING]]&gt;=4,"High",IF(Books[[#This Row],[AVERAGE RATING]]&gt;=3,"Medium","Low"))</f>
        <v>Low</v>
      </c>
      <c r="L1339" t="str">
        <f>IF(Books[[#This Row],[AVERAGE RATING]]&gt;10000,"Popular","Average")</f>
        <v>Average</v>
      </c>
      <c r="M1339">
        <f>Books[[#This Row],[AVERAGE RATING]]*Books[[#This Row],[RATINGS COUNT]]</f>
        <v>0</v>
      </c>
    </row>
    <row r="1340" spans="1:13" x14ac:dyDescent="0.25">
      <c r="A1340" t="s">
        <v>2912</v>
      </c>
      <c r="B1340" t="s">
        <v>2913</v>
      </c>
      <c r="C1340">
        <v>256</v>
      </c>
      <c r="D1340" t="s">
        <v>2914</v>
      </c>
      <c r="E1340" t="s">
        <v>3998</v>
      </c>
      <c r="F1340" t="s">
        <v>2915</v>
      </c>
      <c r="G1340" t="s">
        <v>4</v>
      </c>
      <c r="H1340">
        <v>4.3</v>
      </c>
      <c r="I1340">
        <v>250000</v>
      </c>
      <c r="J1340">
        <v>2020</v>
      </c>
      <c r="K1340" t="str">
        <f>IF(Books[[#This Row],[AVERAGE RATING]]&gt;=4,"High",IF(Books[[#This Row],[AVERAGE RATING]]&gt;=3,"Medium","Low"))</f>
        <v>High</v>
      </c>
      <c r="L1340" t="str">
        <f>IF(Books[[#This Row],[AVERAGE RATING]]&gt;10000,"Popular","Average")</f>
        <v>Average</v>
      </c>
      <c r="M1340">
        <f>Books[[#This Row],[AVERAGE RATING]]*Books[[#This Row],[RATINGS COUNT]]</f>
        <v>1075000</v>
      </c>
    </row>
    <row r="1341" spans="1:13" x14ac:dyDescent="0.25">
      <c r="A1341" t="s">
        <v>2916</v>
      </c>
      <c r="B1341" t="s">
        <v>2917</v>
      </c>
      <c r="C1341">
        <v>336</v>
      </c>
      <c r="D1341" t="s">
        <v>2914</v>
      </c>
      <c r="E1341" t="s">
        <v>3999</v>
      </c>
      <c r="F1341" t="s">
        <v>2918</v>
      </c>
      <c r="G1341" t="s">
        <v>4</v>
      </c>
      <c r="H1341">
        <v>4.0999999999999996</v>
      </c>
      <c r="I1341">
        <v>1000000</v>
      </c>
      <c r="J1341">
        <v>1997</v>
      </c>
      <c r="K1341" t="str">
        <f>IF(Books[[#This Row],[AVERAGE RATING]]&gt;=4,"High",IF(Books[[#This Row],[AVERAGE RATING]]&gt;=3,"Medium","Low"))</f>
        <v>High</v>
      </c>
      <c r="L1341" t="str">
        <f>IF(Books[[#This Row],[AVERAGE RATING]]&gt;10000,"Popular","Average")</f>
        <v>Average</v>
      </c>
      <c r="M1341">
        <f>Books[[#This Row],[AVERAGE RATING]]*Books[[#This Row],[RATINGS COUNT]]</f>
        <v>4099999.9999999995</v>
      </c>
    </row>
    <row r="1342" spans="1:13" x14ac:dyDescent="0.25">
      <c r="A1342" t="s">
        <v>2919</v>
      </c>
      <c r="B1342" t="s">
        <v>2920</v>
      </c>
      <c r="C1342">
        <v>368</v>
      </c>
      <c r="D1342" t="s">
        <v>2914</v>
      </c>
      <c r="E1342" t="s">
        <v>3073</v>
      </c>
      <c r="F1342" t="s">
        <v>2921</v>
      </c>
      <c r="G1342" t="s">
        <v>4</v>
      </c>
      <c r="H1342">
        <v>4</v>
      </c>
      <c r="I1342">
        <v>150000</v>
      </c>
      <c r="J1342">
        <v>1992</v>
      </c>
      <c r="K1342" t="str">
        <f>IF(Books[[#This Row],[AVERAGE RATING]]&gt;=4,"High",IF(Books[[#This Row],[AVERAGE RATING]]&gt;=3,"Medium","Low"))</f>
        <v>High</v>
      </c>
      <c r="L1342" t="str">
        <f>IF(Books[[#This Row],[AVERAGE RATING]]&gt;10000,"Popular","Average")</f>
        <v>Average</v>
      </c>
      <c r="M1342">
        <f>Books[[#This Row],[AVERAGE RATING]]*Books[[#This Row],[RATINGS COUNT]]</f>
        <v>600000</v>
      </c>
    </row>
    <row r="1343" spans="1:13" x14ac:dyDescent="0.25">
      <c r="A1343" t="s">
        <v>2922</v>
      </c>
      <c r="B1343" t="s">
        <v>2923</v>
      </c>
      <c r="C1343">
        <v>352</v>
      </c>
      <c r="D1343" t="s">
        <v>2914</v>
      </c>
      <c r="E1343" t="s">
        <v>4000</v>
      </c>
      <c r="F1343" t="s">
        <v>2924</v>
      </c>
      <c r="G1343" t="s">
        <v>4</v>
      </c>
      <c r="H1343">
        <v>4.2</v>
      </c>
      <c r="I1343">
        <v>200000</v>
      </c>
      <c r="J1343">
        <v>2009</v>
      </c>
      <c r="K1343" t="str">
        <f>IF(Books[[#This Row],[AVERAGE RATING]]&gt;=4,"High",IF(Books[[#This Row],[AVERAGE RATING]]&gt;=3,"Medium","Low"))</f>
        <v>High</v>
      </c>
      <c r="L1343" t="str">
        <f>IF(Books[[#This Row],[AVERAGE RATING]]&gt;10000,"Popular","Average")</f>
        <v>Average</v>
      </c>
      <c r="M1343">
        <f>Books[[#This Row],[AVERAGE RATING]]*Books[[#This Row],[RATINGS COUNT]]</f>
        <v>840000</v>
      </c>
    </row>
    <row r="1344" spans="1:13" x14ac:dyDescent="0.25">
      <c r="A1344" t="s">
        <v>2925</v>
      </c>
      <c r="B1344" t="s">
        <v>2926</v>
      </c>
      <c r="C1344">
        <v>272</v>
      </c>
      <c r="D1344" t="s">
        <v>2914</v>
      </c>
      <c r="E1344" t="s">
        <v>4001</v>
      </c>
      <c r="F1344" t="s">
        <v>2927</v>
      </c>
      <c r="G1344" t="s">
        <v>4</v>
      </c>
      <c r="H1344">
        <v>4.0999999999999996</v>
      </c>
      <c r="I1344">
        <v>300000</v>
      </c>
      <c r="J1344">
        <v>1996</v>
      </c>
      <c r="K1344" t="str">
        <f>IF(Books[[#This Row],[AVERAGE RATING]]&gt;=4,"High",IF(Books[[#This Row],[AVERAGE RATING]]&gt;=3,"Medium","Low"))</f>
        <v>High</v>
      </c>
      <c r="L1344" t="str">
        <f>IF(Books[[#This Row],[AVERAGE RATING]]&gt;10000,"Popular","Average")</f>
        <v>Average</v>
      </c>
      <c r="M1344">
        <f>Books[[#This Row],[AVERAGE RATING]]*Books[[#This Row],[RATINGS COUNT]]</f>
        <v>1230000</v>
      </c>
    </row>
    <row r="1345" spans="1:13" x14ac:dyDescent="0.25">
      <c r="A1345" t="s">
        <v>2928</v>
      </c>
      <c r="B1345" t="s">
        <v>2929</v>
      </c>
      <c r="C1345">
        <v>349</v>
      </c>
      <c r="D1345" t="s">
        <v>2914</v>
      </c>
      <c r="E1345" t="s">
        <v>4002</v>
      </c>
      <c r="F1345" t="s">
        <v>2930</v>
      </c>
      <c r="G1345" t="s">
        <v>4</v>
      </c>
      <c r="H1345">
        <v>4.2</v>
      </c>
      <c r="I1345">
        <v>400000</v>
      </c>
      <c r="J1345">
        <v>2003</v>
      </c>
      <c r="K1345" t="str">
        <f>IF(Books[[#This Row],[AVERAGE RATING]]&gt;=4,"High",IF(Books[[#This Row],[AVERAGE RATING]]&gt;=3,"Medium","Low"))</f>
        <v>High</v>
      </c>
      <c r="L1345" t="str">
        <f>IF(Books[[#This Row],[AVERAGE RATING]]&gt;10000,"Popular","Average")</f>
        <v>Average</v>
      </c>
      <c r="M1345">
        <f>Books[[#This Row],[AVERAGE RATING]]*Books[[#This Row],[RATINGS COUNT]]</f>
        <v>1680000</v>
      </c>
    </row>
    <row r="1346" spans="1:13" x14ac:dyDescent="0.25">
      <c r="A1346" t="s">
        <v>2931</v>
      </c>
      <c r="B1346" t="s">
        <v>2932</v>
      </c>
      <c r="C1346">
        <v>238</v>
      </c>
      <c r="D1346" t="s">
        <v>180</v>
      </c>
      <c r="E1346" t="s">
        <v>4003</v>
      </c>
      <c r="F1346" t="s">
        <v>2933</v>
      </c>
      <c r="G1346" t="s">
        <v>4</v>
      </c>
      <c r="H1346">
        <v>4.3</v>
      </c>
      <c r="I1346">
        <v>600000</v>
      </c>
      <c r="J1346">
        <v>1937</v>
      </c>
      <c r="K1346" t="str">
        <f>IF(Books[[#This Row],[AVERAGE RATING]]&gt;=4,"High",IF(Books[[#This Row],[AVERAGE RATING]]&gt;=3,"Medium","Low"))</f>
        <v>High</v>
      </c>
      <c r="L1346" t="str">
        <f>IF(Books[[#This Row],[AVERAGE RATING]]&gt;10000,"Popular","Average")</f>
        <v>Average</v>
      </c>
      <c r="M1346">
        <f>Books[[#This Row],[AVERAGE RATING]]*Books[[#This Row],[RATINGS COUNT]]</f>
        <v>2580000</v>
      </c>
    </row>
    <row r="1347" spans="1:13" x14ac:dyDescent="0.25">
      <c r="A1347" t="s">
        <v>2934</v>
      </c>
      <c r="B1347" t="s">
        <v>2935</v>
      </c>
      <c r="C1347">
        <v>640</v>
      </c>
      <c r="D1347" t="s">
        <v>2936</v>
      </c>
      <c r="E1347" t="s">
        <v>3280</v>
      </c>
      <c r="F1347" t="s">
        <v>2937</v>
      </c>
      <c r="G1347" t="s">
        <v>4</v>
      </c>
      <c r="H1347">
        <v>4.3</v>
      </c>
      <c r="I1347">
        <v>200000</v>
      </c>
      <c r="J1347">
        <v>1949</v>
      </c>
      <c r="K1347" t="str">
        <f>IF(Books[[#This Row],[AVERAGE RATING]]&gt;=4,"High",IF(Books[[#This Row],[AVERAGE RATING]]&gt;=3,"Medium","Low"))</f>
        <v>High</v>
      </c>
      <c r="L1347" t="str">
        <f>IF(Books[[#This Row],[AVERAGE RATING]]&gt;10000,"Popular","Average")</f>
        <v>Average</v>
      </c>
      <c r="M1347">
        <f>Books[[#This Row],[AVERAGE RATING]]*Books[[#This Row],[RATINGS COUNT]]</f>
        <v>860000</v>
      </c>
    </row>
    <row r="1348" spans="1:13" x14ac:dyDescent="0.25">
      <c r="A1348" t="s">
        <v>2938</v>
      </c>
      <c r="B1348" t="s">
        <v>2939</v>
      </c>
      <c r="C1348">
        <v>320</v>
      </c>
      <c r="D1348" t="s">
        <v>180</v>
      </c>
      <c r="E1348" t="s">
        <v>4004</v>
      </c>
      <c r="F1348" t="s">
        <v>2940</v>
      </c>
      <c r="G1348" t="s">
        <v>4</v>
      </c>
      <c r="H1348">
        <v>4.4000000000000004</v>
      </c>
      <c r="I1348">
        <v>700000</v>
      </c>
      <c r="J1348">
        <v>2018</v>
      </c>
      <c r="K1348" t="str">
        <f>IF(Books[[#This Row],[AVERAGE RATING]]&gt;=4,"High",IF(Books[[#This Row],[AVERAGE RATING]]&gt;=3,"Medium","Low"))</f>
        <v>High</v>
      </c>
      <c r="L1348" t="str">
        <f>IF(Books[[#This Row],[AVERAGE RATING]]&gt;10000,"Popular","Average")</f>
        <v>Average</v>
      </c>
      <c r="M1348">
        <f>Books[[#This Row],[AVERAGE RATING]]*Books[[#This Row],[RATINGS COUNT]]</f>
        <v>3080000.0000000005</v>
      </c>
    </row>
    <row r="1349" spans="1:13" x14ac:dyDescent="0.25">
      <c r="A1349" t="s">
        <v>2941</v>
      </c>
      <c r="B1349" t="s">
        <v>2942</v>
      </c>
      <c r="C1349">
        <v>144</v>
      </c>
      <c r="D1349" t="s">
        <v>2914</v>
      </c>
      <c r="E1349" t="s">
        <v>3400</v>
      </c>
      <c r="F1349" t="s">
        <v>2921</v>
      </c>
      <c r="G1349" t="s">
        <v>4</v>
      </c>
      <c r="H1349">
        <v>4.3</v>
      </c>
      <c r="I1349">
        <v>400000</v>
      </c>
      <c r="J1349">
        <v>1926</v>
      </c>
      <c r="K1349" t="str">
        <f>IF(Books[[#This Row],[AVERAGE RATING]]&gt;=4,"High",IF(Books[[#This Row],[AVERAGE RATING]]&gt;=3,"Medium","Low"))</f>
        <v>High</v>
      </c>
      <c r="L1349" t="str">
        <f>IF(Books[[#This Row],[AVERAGE RATING]]&gt;10000,"Popular","Average")</f>
        <v>Average</v>
      </c>
      <c r="M1349">
        <f>Books[[#This Row],[AVERAGE RATING]]*Books[[#This Row],[RATINGS COUNT]]</f>
        <v>1720000</v>
      </c>
    </row>
    <row r="1350" spans="1:13" x14ac:dyDescent="0.25">
      <c r="A1350" t="s">
        <v>2943</v>
      </c>
      <c r="B1350" t="s">
        <v>2944</v>
      </c>
      <c r="C1350">
        <v>464</v>
      </c>
      <c r="D1350" t="s">
        <v>2936</v>
      </c>
      <c r="E1350" t="s">
        <v>3304</v>
      </c>
      <c r="F1350" t="s">
        <v>2945</v>
      </c>
      <c r="G1350" t="s">
        <v>4</v>
      </c>
      <c r="H1350">
        <v>4.0999999999999996</v>
      </c>
      <c r="I1350">
        <v>100000</v>
      </c>
      <c r="J1350">
        <v>1973</v>
      </c>
      <c r="K1350" t="str">
        <f>IF(Books[[#This Row],[AVERAGE RATING]]&gt;=4,"High",IF(Books[[#This Row],[AVERAGE RATING]]&gt;=3,"Medium","Low"))</f>
        <v>High</v>
      </c>
      <c r="L1350" t="str">
        <f>IF(Books[[#This Row],[AVERAGE RATING]]&gt;10000,"Popular","Average")</f>
        <v>Average</v>
      </c>
      <c r="M1350">
        <f>Books[[#This Row],[AVERAGE RATING]]*Books[[#This Row],[RATINGS COUNT]]</f>
        <v>409999.99999999994</v>
      </c>
    </row>
    <row r="1351" spans="1:13" x14ac:dyDescent="0.25">
      <c r="A1351" t="s">
        <v>2946</v>
      </c>
      <c r="B1351" t="s">
        <v>2947</v>
      </c>
      <c r="C1351">
        <v>288</v>
      </c>
      <c r="D1351" t="s">
        <v>180</v>
      </c>
      <c r="E1351" t="s">
        <v>3667</v>
      </c>
      <c r="F1351" t="s">
        <v>2948</v>
      </c>
      <c r="G1351" t="s">
        <v>4</v>
      </c>
      <c r="H1351">
        <v>4.0999999999999996</v>
      </c>
      <c r="I1351">
        <v>120000</v>
      </c>
      <c r="J1351">
        <v>2017</v>
      </c>
      <c r="K1351" t="str">
        <f>IF(Books[[#This Row],[AVERAGE RATING]]&gt;=4,"High",IF(Books[[#This Row],[AVERAGE RATING]]&gt;=3,"Medium","Low"))</f>
        <v>High</v>
      </c>
      <c r="L1351" t="str">
        <f>IF(Books[[#This Row],[AVERAGE RATING]]&gt;10000,"Popular","Average")</f>
        <v>Average</v>
      </c>
      <c r="M1351">
        <f>Books[[#This Row],[AVERAGE RATING]]*Books[[#This Row],[RATINGS COUNT]]</f>
        <v>491999.99999999994</v>
      </c>
    </row>
    <row r="1352" spans="1:13" x14ac:dyDescent="0.25">
      <c r="A1352" t="s">
        <v>2949</v>
      </c>
      <c r="B1352" t="s">
        <v>2950</v>
      </c>
      <c r="C1352">
        <v>286</v>
      </c>
      <c r="D1352" t="s">
        <v>2914</v>
      </c>
      <c r="E1352" t="s">
        <v>4005</v>
      </c>
      <c r="F1352" t="s">
        <v>2951</v>
      </c>
      <c r="G1352" t="s">
        <v>4</v>
      </c>
      <c r="H1352">
        <v>4.4000000000000004</v>
      </c>
      <c r="I1352">
        <v>80000</v>
      </c>
      <c r="J1352">
        <v>2016</v>
      </c>
      <c r="K1352" t="str">
        <f>IF(Books[[#This Row],[AVERAGE RATING]]&gt;=4,"High",IF(Books[[#This Row],[AVERAGE RATING]]&gt;=3,"Medium","Low"))</f>
        <v>High</v>
      </c>
      <c r="L1352" t="str">
        <f>IF(Books[[#This Row],[AVERAGE RATING]]&gt;10000,"Popular","Average")</f>
        <v>Average</v>
      </c>
      <c r="M1352">
        <f>Books[[#This Row],[AVERAGE RATING]]*Books[[#This Row],[RATINGS COUNT]]</f>
        <v>352000</v>
      </c>
    </row>
    <row r="1353" spans="1:13" x14ac:dyDescent="0.25">
      <c r="A1353" t="s">
        <v>2952</v>
      </c>
      <c r="B1353" t="s">
        <v>2953</v>
      </c>
      <c r="C1353">
        <v>368</v>
      </c>
      <c r="D1353" t="s">
        <v>2914</v>
      </c>
      <c r="E1353" t="s">
        <v>4006</v>
      </c>
      <c r="F1353" t="s">
        <v>2954</v>
      </c>
      <c r="G1353" t="s">
        <v>4</v>
      </c>
      <c r="H1353">
        <v>4.4000000000000004</v>
      </c>
      <c r="I1353">
        <v>50000</v>
      </c>
      <c r="J1353">
        <v>2021</v>
      </c>
      <c r="K1353" t="str">
        <f>IF(Books[[#This Row],[AVERAGE RATING]]&gt;=4,"High",IF(Books[[#This Row],[AVERAGE RATING]]&gt;=3,"Medium","Low"))</f>
        <v>High</v>
      </c>
      <c r="L1353" t="str">
        <f>IF(Books[[#This Row],[AVERAGE RATING]]&gt;10000,"Popular","Average")</f>
        <v>Average</v>
      </c>
      <c r="M1353">
        <f>Books[[#This Row],[AVERAGE RATING]]*Books[[#This Row],[RATINGS COUNT]]</f>
        <v>220000.00000000003</v>
      </c>
    </row>
    <row r="1354" spans="1:13" x14ac:dyDescent="0.25">
      <c r="A1354" t="s">
        <v>2955</v>
      </c>
      <c r="B1354" t="s">
        <v>2956</v>
      </c>
      <c r="C1354">
        <v>432</v>
      </c>
      <c r="D1354" t="s">
        <v>180</v>
      </c>
      <c r="E1354" t="s">
        <v>4007</v>
      </c>
      <c r="F1354" t="s">
        <v>2957</v>
      </c>
      <c r="G1354" t="s">
        <v>4</v>
      </c>
      <c r="H1354">
        <v>4.2</v>
      </c>
      <c r="I1354">
        <v>700000</v>
      </c>
      <c r="J1354">
        <v>1989</v>
      </c>
      <c r="K1354" t="str">
        <f>IF(Books[[#This Row],[AVERAGE RATING]]&gt;=4,"High",IF(Books[[#This Row],[AVERAGE RATING]]&gt;=3,"Medium","Low"))</f>
        <v>High</v>
      </c>
      <c r="L1354" t="str">
        <f>IF(Books[[#This Row],[AVERAGE RATING]]&gt;10000,"Popular","Average")</f>
        <v>Average</v>
      </c>
      <c r="M1354">
        <f>Books[[#This Row],[AVERAGE RATING]]*Books[[#This Row],[RATINGS COUNT]]</f>
        <v>2940000</v>
      </c>
    </row>
    <row r="1355" spans="1:13" x14ac:dyDescent="0.25">
      <c r="A1355" t="s">
        <v>2958</v>
      </c>
      <c r="B1355" t="s">
        <v>2959</v>
      </c>
      <c r="C1355">
        <v>336</v>
      </c>
      <c r="D1355" t="s">
        <v>2914</v>
      </c>
      <c r="E1355" t="s">
        <v>4008</v>
      </c>
      <c r="F1355" t="s">
        <v>2960</v>
      </c>
      <c r="G1355" t="s">
        <v>4</v>
      </c>
      <c r="H1355">
        <v>4.3</v>
      </c>
      <c r="I1355">
        <v>90000</v>
      </c>
      <c r="J1355">
        <v>2011</v>
      </c>
      <c r="K1355" t="str">
        <f>IF(Books[[#This Row],[AVERAGE RATING]]&gt;=4,"High",IF(Books[[#This Row],[AVERAGE RATING]]&gt;=3,"Medium","Low"))</f>
        <v>High</v>
      </c>
      <c r="L1355" t="str">
        <f>IF(Books[[#This Row],[AVERAGE RATING]]&gt;10000,"Popular","Average")</f>
        <v>Average</v>
      </c>
      <c r="M1355">
        <f>Books[[#This Row],[AVERAGE RATING]]*Books[[#This Row],[RATINGS COUNT]]</f>
        <v>387000</v>
      </c>
    </row>
    <row r="1356" spans="1:13" x14ac:dyDescent="0.25">
      <c r="A1356" t="s">
        <v>2961</v>
      </c>
      <c r="B1356" t="s">
        <v>2962</v>
      </c>
      <c r="C1356">
        <v>288</v>
      </c>
      <c r="D1356" t="s">
        <v>2914</v>
      </c>
      <c r="E1356" t="s">
        <v>4009</v>
      </c>
      <c r="F1356" t="s">
        <v>2963</v>
      </c>
      <c r="G1356" t="s">
        <v>4</v>
      </c>
      <c r="H1356">
        <v>4</v>
      </c>
      <c r="I1356">
        <v>60000</v>
      </c>
      <c r="J1356">
        <v>2017</v>
      </c>
      <c r="K1356" t="str">
        <f>IF(Books[[#This Row],[AVERAGE RATING]]&gt;=4,"High",IF(Books[[#This Row],[AVERAGE RATING]]&gt;=3,"Medium","Low"))</f>
        <v>High</v>
      </c>
      <c r="L1356" t="str">
        <f>IF(Books[[#This Row],[AVERAGE RATING]]&gt;10000,"Popular","Average")</f>
        <v>Average</v>
      </c>
      <c r="M1356">
        <f>Books[[#This Row],[AVERAGE RATING]]*Books[[#This Row],[RATINGS COUNT]]</f>
        <v>240000</v>
      </c>
    </row>
    <row r="1357" spans="1:13" x14ac:dyDescent="0.25">
      <c r="A1357" t="s">
        <v>2964</v>
      </c>
      <c r="B1357" t="s">
        <v>2965</v>
      </c>
      <c r="C1357">
        <v>296</v>
      </c>
      <c r="D1357" t="s">
        <v>2914</v>
      </c>
      <c r="E1357" t="s">
        <v>4010</v>
      </c>
      <c r="F1357" t="s">
        <v>2966</v>
      </c>
      <c r="G1357" t="s">
        <v>4</v>
      </c>
      <c r="H1357">
        <v>4.4000000000000004</v>
      </c>
      <c r="I1357">
        <v>100000</v>
      </c>
      <c r="J1357">
        <v>2016</v>
      </c>
      <c r="K1357" t="str">
        <f>IF(Books[[#This Row],[AVERAGE RATING]]&gt;=4,"High",IF(Books[[#This Row],[AVERAGE RATING]]&gt;=3,"Medium","Low"))</f>
        <v>High</v>
      </c>
      <c r="L1357" t="str">
        <f>IF(Books[[#This Row],[AVERAGE RATING]]&gt;10000,"Popular","Average")</f>
        <v>Average</v>
      </c>
      <c r="M1357">
        <f>Books[[#This Row],[AVERAGE RATING]]*Books[[#This Row],[RATINGS COUNT]]</f>
        <v>440000.00000000006</v>
      </c>
    </row>
    <row r="1358" spans="1:13" x14ac:dyDescent="0.25">
      <c r="A1358" t="s">
        <v>2967</v>
      </c>
      <c r="B1358" t="s">
        <v>2968</v>
      </c>
      <c r="C1358">
        <v>336</v>
      </c>
      <c r="D1358" t="s">
        <v>2914</v>
      </c>
      <c r="E1358" t="s">
        <v>4011</v>
      </c>
      <c r="F1358" t="s">
        <v>2969</v>
      </c>
      <c r="G1358" t="s">
        <v>4</v>
      </c>
      <c r="H1358">
        <v>4.0999999999999996</v>
      </c>
      <c r="I1358">
        <v>30000</v>
      </c>
      <c r="J1358">
        <v>1999</v>
      </c>
      <c r="K1358" t="str">
        <f>IF(Books[[#This Row],[AVERAGE RATING]]&gt;=4,"High",IF(Books[[#This Row],[AVERAGE RATING]]&gt;=3,"Medium","Low"))</f>
        <v>High</v>
      </c>
      <c r="L1358" t="str">
        <f>IF(Books[[#This Row],[AVERAGE RATING]]&gt;10000,"Popular","Average")</f>
        <v>Average</v>
      </c>
      <c r="M1358">
        <f>Books[[#This Row],[AVERAGE RATING]]*Books[[#This Row],[RATINGS COUNT]]</f>
        <v>122999.99999999999</v>
      </c>
    </row>
    <row r="1359" spans="1:13" x14ac:dyDescent="0.25">
      <c r="A1359" t="s">
        <v>2970</v>
      </c>
      <c r="B1359" t="s">
        <v>2971</v>
      </c>
      <c r="C1359">
        <v>368</v>
      </c>
      <c r="D1359" t="s">
        <v>2936</v>
      </c>
      <c r="E1359" t="s">
        <v>4012</v>
      </c>
      <c r="F1359" t="s">
        <v>2310</v>
      </c>
      <c r="G1359" t="s">
        <v>4</v>
      </c>
      <c r="H1359">
        <v>4.0999999999999996</v>
      </c>
      <c r="I1359">
        <v>80000</v>
      </c>
      <c r="J1359">
        <v>2001</v>
      </c>
      <c r="K1359" t="str">
        <f>IF(Books[[#This Row],[AVERAGE RATING]]&gt;=4,"High",IF(Books[[#This Row],[AVERAGE RATING]]&gt;=3,"Medium","Low"))</f>
        <v>High</v>
      </c>
      <c r="L1359" t="str">
        <f>IF(Books[[#This Row],[AVERAGE RATING]]&gt;10000,"Popular","Average")</f>
        <v>Average</v>
      </c>
      <c r="M1359">
        <f>Books[[#This Row],[AVERAGE RATING]]*Books[[#This Row],[RATINGS COUNT]]</f>
        <v>328000</v>
      </c>
    </row>
    <row r="1360" spans="1:13" x14ac:dyDescent="0.25">
      <c r="A1360" t="s">
        <v>2972</v>
      </c>
      <c r="B1360" t="s">
        <v>2973</v>
      </c>
      <c r="C1360">
        <v>384</v>
      </c>
      <c r="D1360" t="s">
        <v>2914</v>
      </c>
      <c r="E1360" t="s">
        <v>4013</v>
      </c>
      <c r="F1360" t="s">
        <v>2921</v>
      </c>
      <c r="G1360" t="s">
        <v>4</v>
      </c>
      <c r="H1360">
        <v>4.2</v>
      </c>
      <c r="I1360">
        <v>25000</v>
      </c>
      <c r="J1360">
        <v>2022</v>
      </c>
      <c r="K1360" t="str">
        <f>IF(Books[[#This Row],[AVERAGE RATING]]&gt;=4,"High",IF(Books[[#This Row],[AVERAGE RATING]]&gt;=3,"Medium","Low"))</f>
        <v>High</v>
      </c>
      <c r="L1360" t="str">
        <f>IF(Books[[#This Row],[AVERAGE RATING]]&gt;10000,"Popular","Average")</f>
        <v>Average</v>
      </c>
      <c r="M1360">
        <f>Books[[#This Row],[AVERAGE RATING]]*Books[[#This Row],[RATINGS COUNT]]</f>
        <v>105000</v>
      </c>
    </row>
    <row r="1361" spans="1:13" x14ac:dyDescent="0.25">
      <c r="A1361" t="s">
        <v>2974</v>
      </c>
      <c r="B1361" t="s">
        <v>2975</v>
      </c>
      <c r="C1361">
        <v>208</v>
      </c>
      <c r="D1361" t="s">
        <v>2914</v>
      </c>
      <c r="E1361" t="s">
        <v>4014</v>
      </c>
      <c r="F1361" t="s">
        <v>2976</v>
      </c>
      <c r="G1361" t="s">
        <v>4</v>
      </c>
      <c r="H1361">
        <v>4</v>
      </c>
      <c r="I1361">
        <v>20000</v>
      </c>
      <c r="J1361">
        <v>2018</v>
      </c>
      <c r="K1361" t="str">
        <f>IF(Books[[#This Row],[AVERAGE RATING]]&gt;=4,"High",IF(Books[[#This Row],[AVERAGE RATING]]&gt;=3,"Medium","Low"))</f>
        <v>High</v>
      </c>
      <c r="L1361" t="str">
        <f>IF(Books[[#This Row],[AVERAGE RATING]]&gt;10000,"Popular","Average")</f>
        <v>Average</v>
      </c>
      <c r="M1361">
        <f>Books[[#This Row],[AVERAGE RATING]]*Books[[#This Row],[RATINGS COUNT]]</f>
        <v>80000</v>
      </c>
    </row>
    <row r="1362" spans="1:13" x14ac:dyDescent="0.25">
      <c r="A1362" t="s">
        <v>2977</v>
      </c>
      <c r="B1362" t="s">
        <v>2978</v>
      </c>
      <c r="C1362">
        <v>336</v>
      </c>
      <c r="D1362" t="s">
        <v>2914</v>
      </c>
      <c r="E1362" t="s">
        <v>4015</v>
      </c>
      <c r="F1362" t="s">
        <v>2979</v>
      </c>
      <c r="G1362" t="s">
        <v>4</v>
      </c>
      <c r="H1362">
        <v>4.3</v>
      </c>
      <c r="I1362">
        <v>30000</v>
      </c>
      <c r="J1362">
        <v>2023</v>
      </c>
      <c r="K1362" t="str">
        <f>IF(Books[[#This Row],[AVERAGE RATING]]&gt;=4,"High",IF(Books[[#This Row],[AVERAGE RATING]]&gt;=3,"Medium","Low"))</f>
        <v>High</v>
      </c>
      <c r="L1362" t="str">
        <f>IF(Books[[#This Row],[AVERAGE RATING]]&gt;10000,"Popular","Average")</f>
        <v>Average</v>
      </c>
      <c r="M1362">
        <f>Books[[#This Row],[AVERAGE RATING]]*Books[[#This Row],[RATINGS COUNT]]</f>
        <v>129000</v>
      </c>
    </row>
    <row r="1363" spans="1:13" x14ac:dyDescent="0.25">
      <c r="A1363" t="s">
        <v>2980</v>
      </c>
      <c r="B1363" t="s">
        <v>2981</v>
      </c>
      <c r="C1363">
        <v>288</v>
      </c>
      <c r="D1363" t="s">
        <v>2914</v>
      </c>
      <c r="E1363" t="s">
        <v>4016</v>
      </c>
      <c r="F1363" t="s">
        <v>2982</v>
      </c>
      <c r="G1363" t="s">
        <v>4</v>
      </c>
      <c r="H1363">
        <v>4.2</v>
      </c>
      <c r="I1363">
        <v>15000</v>
      </c>
      <c r="J1363">
        <v>2024</v>
      </c>
      <c r="K1363" t="str">
        <f>IF(Books[[#This Row],[AVERAGE RATING]]&gt;=4,"High",IF(Books[[#This Row],[AVERAGE RATING]]&gt;=3,"Medium","Low"))</f>
        <v>High</v>
      </c>
      <c r="L1363" t="str">
        <f>IF(Books[[#This Row],[AVERAGE RATING]]&gt;10000,"Popular","Average")</f>
        <v>Average</v>
      </c>
      <c r="M1363">
        <f>Books[[#This Row],[AVERAGE RATING]]*Books[[#This Row],[RATINGS COUNT]]</f>
        <v>63000</v>
      </c>
    </row>
    <row r="1364" spans="1:13" x14ac:dyDescent="0.25">
      <c r="A1364" t="s">
        <v>2983</v>
      </c>
      <c r="B1364" t="s">
        <v>2984</v>
      </c>
      <c r="C1364">
        <v>336</v>
      </c>
      <c r="D1364" t="s">
        <v>2936</v>
      </c>
      <c r="E1364" t="s">
        <v>4017</v>
      </c>
      <c r="F1364" t="s">
        <v>2966</v>
      </c>
      <c r="G1364" t="s">
        <v>4</v>
      </c>
      <c r="H1364">
        <v>4.3</v>
      </c>
      <c r="I1364">
        <v>50000</v>
      </c>
      <c r="J1364">
        <v>2006</v>
      </c>
      <c r="K1364" t="str">
        <f>IF(Books[[#This Row],[AVERAGE RATING]]&gt;=4,"High",IF(Books[[#This Row],[AVERAGE RATING]]&gt;=3,"Medium","Low"))</f>
        <v>High</v>
      </c>
      <c r="L1364" t="str">
        <f>IF(Books[[#This Row],[AVERAGE RATING]]&gt;10000,"Popular","Average")</f>
        <v>Average</v>
      </c>
      <c r="M1364">
        <f>Books[[#This Row],[AVERAGE RATING]]*Books[[#This Row],[RATINGS COUNT]]</f>
        <v>215000</v>
      </c>
    </row>
    <row r="1365" spans="1:13" x14ac:dyDescent="0.25">
      <c r="A1365" t="s">
        <v>2985</v>
      </c>
      <c r="B1365" t="s">
        <v>2986</v>
      </c>
      <c r="C1365">
        <v>224</v>
      </c>
      <c r="D1365" t="s">
        <v>2914</v>
      </c>
      <c r="E1365" t="s">
        <v>4018</v>
      </c>
      <c r="F1365" t="s">
        <v>2979</v>
      </c>
      <c r="G1365" t="s">
        <v>4</v>
      </c>
      <c r="H1365">
        <v>4</v>
      </c>
      <c r="I1365">
        <v>30000</v>
      </c>
      <c r="J1365">
        <v>2015</v>
      </c>
      <c r="K1365" t="str">
        <f>IF(Books[[#This Row],[AVERAGE RATING]]&gt;=4,"High",IF(Books[[#This Row],[AVERAGE RATING]]&gt;=3,"Medium","Low"))</f>
        <v>High</v>
      </c>
      <c r="L1365" t="str">
        <f>IF(Books[[#This Row],[AVERAGE RATING]]&gt;10000,"Popular","Average")</f>
        <v>Average</v>
      </c>
      <c r="M1365">
        <f>Books[[#This Row],[AVERAGE RATING]]*Books[[#This Row],[RATINGS COUNT]]</f>
        <v>120000</v>
      </c>
    </row>
    <row r="1366" spans="1:13" x14ac:dyDescent="0.25">
      <c r="A1366" t="s">
        <v>2987</v>
      </c>
      <c r="B1366" t="s">
        <v>2988</v>
      </c>
      <c r="C1366">
        <v>432</v>
      </c>
      <c r="D1366" t="s">
        <v>2936</v>
      </c>
      <c r="E1366" t="s">
        <v>4019</v>
      </c>
      <c r="F1366" t="s">
        <v>2989</v>
      </c>
      <c r="G1366" t="s">
        <v>4</v>
      </c>
      <c r="H1366">
        <v>4.2</v>
      </c>
      <c r="I1366">
        <v>40000</v>
      </c>
      <c r="J1366">
        <v>2005</v>
      </c>
      <c r="K1366" t="str">
        <f>IF(Books[[#This Row],[AVERAGE RATING]]&gt;=4,"High",IF(Books[[#This Row],[AVERAGE RATING]]&gt;=3,"Medium","Low"))</f>
        <v>High</v>
      </c>
      <c r="L1366" t="str">
        <f>IF(Books[[#This Row],[AVERAGE RATING]]&gt;10000,"Popular","Average")</f>
        <v>Average</v>
      </c>
      <c r="M1366">
        <f>Books[[#This Row],[AVERAGE RATING]]*Books[[#This Row],[RATINGS COUNT]]</f>
        <v>168000</v>
      </c>
    </row>
    <row r="1367" spans="1:13" x14ac:dyDescent="0.25">
      <c r="A1367" t="s">
        <v>2990</v>
      </c>
      <c r="B1367" t="s">
        <v>2991</v>
      </c>
      <c r="C1367">
        <v>208</v>
      </c>
      <c r="D1367" t="s">
        <v>2914</v>
      </c>
      <c r="E1367" t="s">
        <v>4020</v>
      </c>
      <c r="F1367" t="s">
        <v>2992</v>
      </c>
      <c r="G1367" t="s">
        <v>4</v>
      </c>
      <c r="H1367">
        <v>4.2</v>
      </c>
      <c r="I1367">
        <v>20000</v>
      </c>
      <c r="J1367">
        <v>2018</v>
      </c>
      <c r="K1367" t="str">
        <f>IF(Books[[#This Row],[AVERAGE RATING]]&gt;=4,"High",IF(Books[[#This Row],[AVERAGE RATING]]&gt;=3,"Medium","Low"))</f>
        <v>High</v>
      </c>
      <c r="L1367" t="str">
        <f>IF(Books[[#This Row],[AVERAGE RATING]]&gt;10000,"Popular","Average")</f>
        <v>Average</v>
      </c>
      <c r="M1367">
        <f>Books[[#This Row],[AVERAGE RATING]]*Books[[#This Row],[RATINGS COUNT]]</f>
        <v>84000</v>
      </c>
    </row>
    <row r="1368" spans="1:13" x14ac:dyDescent="0.25">
      <c r="A1368" t="s">
        <v>2993</v>
      </c>
      <c r="B1368" t="s">
        <v>2994</v>
      </c>
      <c r="C1368">
        <v>688</v>
      </c>
      <c r="D1368" t="s">
        <v>2914</v>
      </c>
      <c r="E1368" t="s">
        <v>4021</v>
      </c>
      <c r="F1368" t="s">
        <v>2995</v>
      </c>
      <c r="G1368" t="s">
        <v>4</v>
      </c>
      <c r="H1368">
        <v>4.0999999999999996</v>
      </c>
      <c r="I1368">
        <v>100000</v>
      </c>
      <c r="J1368">
        <v>2014</v>
      </c>
      <c r="K1368" t="str">
        <f>IF(Books[[#This Row],[AVERAGE RATING]]&gt;=4,"High",IF(Books[[#This Row],[AVERAGE RATING]]&gt;=3,"Medium","Low"))</f>
        <v>High</v>
      </c>
      <c r="L1368" t="str">
        <f>IF(Books[[#This Row],[AVERAGE RATING]]&gt;10000,"Popular","Average")</f>
        <v>Average</v>
      </c>
      <c r="M1368">
        <f>Books[[#This Row],[AVERAGE RATING]]*Books[[#This Row],[RATINGS COUNT]]</f>
        <v>409999.99999999994</v>
      </c>
    </row>
    <row r="1369" spans="1:13" x14ac:dyDescent="0.25">
      <c r="A1369" t="s">
        <v>2996</v>
      </c>
      <c r="B1369" t="s">
        <v>2997</v>
      </c>
      <c r="C1369">
        <v>272</v>
      </c>
      <c r="D1369" t="s">
        <v>2914</v>
      </c>
      <c r="E1369" t="s">
        <v>3055</v>
      </c>
      <c r="F1369" t="s">
        <v>2998</v>
      </c>
      <c r="G1369" t="s">
        <v>4</v>
      </c>
      <c r="H1369">
        <v>4</v>
      </c>
      <c r="I1369">
        <v>80000</v>
      </c>
      <c r="J1369">
        <v>2004</v>
      </c>
      <c r="K1369" t="str">
        <f>IF(Books[[#This Row],[AVERAGE RATING]]&gt;=4,"High",IF(Books[[#This Row],[AVERAGE RATING]]&gt;=3,"Medium","Low"))</f>
        <v>High</v>
      </c>
      <c r="L1369" t="str">
        <f>IF(Books[[#This Row],[AVERAGE RATING]]&gt;10000,"Popular","Average")</f>
        <v>Average</v>
      </c>
      <c r="M1369">
        <f>Books[[#This Row],[AVERAGE RATING]]*Books[[#This Row],[RATINGS COUNT]]</f>
        <v>320000</v>
      </c>
    </row>
    <row r="1370" spans="1:13" x14ac:dyDescent="0.25">
      <c r="A1370" t="s">
        <v>2999</v>
      </c>
      <c r="B1370" t="s">
        <v>3000</v>
      </c>
      <c r="C1370">
        <v>304</v>
      </c>
      <c r="D1370" t="s">
        <v>2936</v>
      </c>
      <c r="E1370" t="s">
        <v>4022</v>
      </c>
      <c r="F1370" t="s">
        <v>2966</v>
      </c>
      <c r="G1370" t="s">
        <v>4</v>
      </c>
      <c r="H1370">
        <v>4.3</v>
      </c>
      <c r="I1370">
        <v>60000</v>
      </c>
      <c r="J1370">
        <v>2007</v>
      </c>
      <c r="K1370" t="str">
        <f>IF(Books[[#This Row],[AVERAGE RATING]]&gt;=4,"High",IF(Books[[#This Row],[AVERAGE RATING]]&gt;=3,"Medium","Low"))</f>
        <v>High</v>
      </c>
      <c r="L1370" t="str">
        <f>IF(Books[[#This Row],[AVERAGE RATING]]&gt;10000,"Popular","Average")</f>
        <v>Average</v>
      </c>
      <c r="M1370">
        <f>Books[[#This Row],[AVERAGE RATING]]*Books[[#This Row],[RATINGS COUNT]]</f>
        <v>258000</v>
      </c>
    </row>
    <row r="1371" spans="1:13" x14ac:dyDescent="0.25">
      <c r="A1371" t="s">
        <v>3001</v>
      </c>
      <c r="B1371" t="s">
        <v>3002</v>
      </c>
      <c r="C1371">
        <v>320</v>
      </c>
      <c r="D1371" t="s">
        <v>180</v>
      </c>
      <c r="E1371" t="s">
        <v>4023</v>
      </c>
      <c r="F1371" t="s">
        <v>2310</v>
      </c>
      <c r="G1371" t="s">
        <v>4</v>
      </c>
      <c r="H1371">
        <v>4.2</v>
      </c>
      <c r="I1371">
        <v>300000</v>
      </c>
      <c r="J1371">
        <v>2006</v>
      </c>
      <c r="K1371" t="str">
        <f>IF(Books[[#This Row],[AVERAGE RATING]]&gt;=4,"High",IF(Books[[#This Row],[AVERAGE RATING]]&gt;=3,"Medium","Low"))</f>
        <v>High</v>
      </c>
      <c r="L1371" t="str">
        <f>IF(Books[[#This Row],[AVERAGE RATING]]&gt;10000,"Popular","Average")</f>
        <v>Average</v>
      </c>
      <c r="M1371">
        <f>Books[[#This Row],[AVERAGE RATING]]*Books[[#This Row],[RATINGS COUNT]]</f>
        <v>1260000</v>
      </c>
    </row>
    <row r="1372" spans="1:13" x14ac:dyDescent="0.25">
      <c r="A1372" t="s">
        <v>3003</v>
      </c>
      <c r="B1372" t="s">
        <v>3004</v>
      </c>
      <c r="C1372">
        <v>208</v>
      </c>
      <c r="D1372" t="s">
        <v>2914</v>
      </c>
      <c r="E1372" t="s">
        <v>3943</v>
      </c>
      <c r="F1372" t="s">
        <v>3005</v>
      </c>
      <c r="G1372" t="s">
        <v>4</v>
      </c>
      <c r="H1372">
        <v>4</v>
      </c>
      <c r="I1372">
        <v>40000</v>
      </c>
      <c r="J1372">
        <v>2018</v>
      </c>
      <c r="K1372" t="str">
        <f>IF(Books[[#This Row],[AVERAGE RATING]]&gt;=4,"High",IF(Books[[#This Row],[AVERAGE RATING]]&gt;=3,"Medium","Low"))</f>
        <v>High</v>
      </c>
      <c r="L1372" t="str">
        <f>IF(Books[[#This Row],[AVERAGE RATING]]&gt;10000,"Popular","Average")</f>
        <v>Average</v>
      </c>
      <c r="M1372">
        <f>Books[[#This Row],[AVERAGE RATING]]*Books[[#This Row],[RATINGS COUNT]]</f>
        <v>160000</v>
      </c>
    </row>
    <row r="1373" spans="1:13" x14ac:dyDescent="0.25">
      <c r="A1373" t="s">
        <v>3006</v>
      </c>
      <c r="B1373" t="s">
        <v>3007</v>
      </c>
      <c r="C1373">
        <v>224</v>
      </c>
      <c r="D1373" t="s">
        <v>2914</v>
      </c>
      <c r="E1373" t="s">
        <v>3295</v>
      </c>
      <c r="F1373" t="s">
        <v>3008</v>
      </c>
      <c r="G1373" t="s">
        <v>4</v>
      </c>
      <c r="H1373">
        <v>4.0999999999999996</v>
      </c>
      <c r="I1373">
        <v>70000</v>
      </c>
      <c r="J1373">
        <v>1989</v>
      </c>
      <c r="K1373" t="str">
        <f>IF(Books[[#This Row],[AVERAGE RATING]]&gt;=4,"High",IF(Books[[#This Row],[AVERAGE RATING]]&gt;=3,"Medium","Low"))</f>
        <v>High</v>
      </c>
      <c r="L1373" t="str">
        <f>IF(Books[[#This Row],[AVERAGE RATING]]&gt;10000,"Popular","Average")</f>
        <v>Average</v>
      </c>
      <c r="M1373">
        <f>Books[[#This Row],[AVERAGE RATING]]*Books[[#This Row],[RATINGS COUNT]]</f>
        <v>287000</v>
      </c>
    </row>
    <row r="1374" spans="1:13" x14ac:dyDescent="0.25">
      <c r="A1374" t="s">
        <v>3009</v>
      </c>
      <c r="B1374" t="s">
        <v>3010</v>
      </c>
      <c r="C1374">
        <v>112</v>
      </c>
      <c r="D1374" t="s">
        <v>180</v>
      </c>
      <c r="E1374" t="s">
        <v>3091</v>
      </c>
      <c r="F1374" t="s">
        <v>3011</v>
      </c>
      <c r="G1374" t="s">
        <v>4</v>
      </c>
      <c r="H1374">
        <v>4.2</v>
      </c>
      <c r="I1374">
        <v>100000</v>
      </c>
      <c r="J1374">
        <v>1910</v>
      </c>
      <c r="K1374" t="str">
        <f>IF(Books[[#This Row],[AVERAGE RATING]]&gt;=4,"High",IF(Books[[#This Row],[AVERAGE RATING]]&gt;=3,"Medium","Low"))</f>
        <v>High</v>
      </c>
      <c r="L1374" t="str">
        <f>IF(Books[[#This Row],[AVERAGE RATING]]&gt;10000,"Popular","Average")</f>
        <v>Average</v>
      </c>
      <c r="M1374">
        <f>Books[[#This Row],[AVERAGE RATING]]*Books[[#This Row],[RATINGS COUNT]]</f>
        <v>420000</v>
      </c>
    </row>
    <row r="1375" spans="1:13" x14ac:dyDescent="0.25">
      <c r="A1375" t="s">
        <v>3012</v>
      </c>
      <c r="B1375" t="s">
        <v>3013</v>
      </c>
      <c r="C1375">
        <v>400</v>
      </c>
      <c r="D1375" t="s">
        <v>2914</v>
      </c>
      <c r="E1375" t="s">
        <v>3949</v>
      </c>
      <c r="F1375" t="s">
        <v>3014</v>
      </c>
      <c r="G1375" t="s">
        <v>4</v>
      </c>
      <c r="H1375">
        <v>4</v>
      </c>
      <c r="I1375">
        <v>60000</v>
      </c>
      <c r="J1375">
        <v>2005</v>
      </c>
      <c r="K1375" t="str">
        <f>IF(Books[[#This Row],[AVERAGE RATING]]&gt;=4,"High",IF(Books[[#This Row],[AVERAGE RATING]]&gt;=3,"Medium","Low"))</f>
        <v>High</v>
      </c>
      <c r="L1375" t="str">
        <f>IF(Books[[#This Row],[AVERAGE RATING]]&gt;10000,"Popular","Average")</f>
        <v>Average</v>
      </c>
      <c r="M1375">
        <f>Books[[#This Row],[AVERAGE RATING]]*Books[[#This Row],[RATINGS COUNT]]</f>
        <v>240000</v>
      </c>
    </row>
    <row r="1376" spans="1:13" x14ac:dyDescent="0.25">
      <c r="A1376" t="s">
        <v>3015</v>
      </c>
      <c r="B1376" t="s">
        <v>3016</v>
      </c>
      <c r="C1376">
        <v>192</v>
      </c>
      <c r="D1376" t="s">
        <v>180</v>
      </c>
      <c r="E1376" t="s">
        <v>3226</v>
      </c>
      <c r="F1376" t="s">
        <v>3017</v>
      </c>
      <c r="G1376" t="s">
        <v>4</v>
      </c>
      <c r="H1376">
        <v>4.3</v>
      </c>
      <c r="I1376">
        <v>90000</v>
      </c>
      <c r="J1376">
        <v>2010</v>
      </c>
      <c r="K1376" t="str">
        <f>IF(Books[[#This Row],[AVERAGE RATING]]&gt;=4,"High",IF(Books[[#This Row],[AVERAGE RATING]]&gt;=3,"Medium","Low"))</f>
        <v>High</v>
      </c>
      <c r="L1376" t="str">
        <f>IF(Books[[#This Row],[AVERAGE RATING]]&gt;10000,"Popular","Average")</f>
        <v>Average</v>
      </c>
      <c r="M1376">
        <f>Books[[#This Row],[AVERAGE RATING]]*Books[[#This Row],[RATINGS COUNT]]</f>
        <v>387000</v>
      </c>
    </row>
    <row r="1377" spans="1:13" x14ac:dyDescent="0.25">
      <c r="A1377" t="s">
        <v>3018</v>
      </c>
      <c r="B1377" t="s">
        <v>3019</v>
      </c>
      <c r="C1377">
        <v>416</v>
      </c>
      <c r="D1377" t="s">
        <v>180</v>
      </c>
      <c r="E1377" t="s">
        <v>4024</v>
      </c>
      <c r="F1377" t="s">
        <v>3020</v>
      </c>
      <c r="G1377" t="s">
        <v>4</v>
      </c>
      <c r="H1377">
        <v>4.0999999999999996</v>
      </c>
      <c r="I1377">
        <v>400000</v>
      </c>
      <c r="J1377">
        <v>2007</v>
      </c>
      <c r="K1377" t="str">
        <f>IF(Books[[#This Row],[AVERAGE RATING]]&gt;=4,"High",IF(Books[[#This Row],[AVERAGE RATING]]&gt;=3,"Medium","Low"))</f>
        <v>High</v>
      </c>
      <c r="L1377" t="str">
        <f>IF(Books[[#This Row],[AVERAGE RATING]]&gt;10000,"Popular","Average")</f>
        <v>Average</v>
      </c>
      <c r="M1377">
        <f>Books[[#This Row],[AVERAGE RATING]]*Books[[#This Row],[RATINGS COUNT]]</f>
        <v>1639999.9999999998</v>
      </c>
    </row>
    <row r="1378" spans="1:13" x14ac:dyDescent="0.25">
      <c r="A1378" t="s">
        <v>3021</v>
      </c>
      <c r="B1378" t="s">
        <v>2997</v>
      </c>
      <c r="C1378">
        <v>352</v>
      </c>
      <c r="D1378" t="s">
        <v>2914</v>
      </c>
      <c r="E1378" t="s">
        <v>3078</v>
      </c>
      <c r="F1378" t="s">
        <v>2998</v>
      </c>
      <c r="G1378" t="s">
        <v>4</v>
      </c>
      <c r="H1378">
        <v>4.0999999999999996</v>
      </c>
      <c r="I1378">
        <v>50000</v>
      </c>
      <c r="J1378">
        <v>1999</v>
      </c>
      <c r="K1378" t="str">
        <f>IF(Books[[#This Row],[AVERAGE RATING]]&gt;=4,"High",IF(Books[[#This Row],[AVERAGE RATING]]&gt;=3,"Medium","Low"))</f>
        <v>High</v>
      </c>
      <c r="L1378" t="str">
        <f>IF(Books[[#This Row],[AVERAGE RATING]]&gt;10000,"Popular","Average")</f>
        <v>Average</v>
      </c>
      <c r="M1378">
        <f>Books[[#This Row],[AVERAGE RATING]]*Books[[#This Row],[RATINGS COUNT]]</f>
        <v>204999.99999999997</v>
      </c>
    </row>
    <row r="1379" spans="1:13" x14ac:dyDescent="0.25">
      <c r="A1379" t="s">
        <v>3022</v>
      </c>
      <c r="B1379" t="s">
        <v>3023</v>
      </c>
      <c r="C1379">
        <v>416</v>
      </c>
      <c r="D1379" t="s">
        <v>2914</v>
      </c>
      <c r="E1379" t="s">
        <v>4025</v>
      </c>
      <c r="F1379" t="s">
        <v>2032</v>
      </c>
      <c r="G1379" t="s">
        <v>4</v>
      </c>
      <c r="H1379">
        <v>4.2</v>
      </c>
      <c r="I1379">
        <v>70000</v>
      </c>
      <c r="J1379">
        <v>2000</v>
      </c>
      <c r="K1379" t="str">
        <f>IF(Books[[#This Row],[AVERAGE RATING]]&gt;=4,"High",IF(Books[[#This Row],[AVERAGE RATING]]&gt;=3,"Medium","Low"))</f>
        <v>High</v>
      </c>
      <c r="L1379" t="str">
        <f>IF(Books[[#This Row],[AVERAGE RATING]]&gt;10000,"Popular","Average")</f>
        <v>Average</v>
      </c>
      <c r="M1379">
        <f>Books[[#This Row],[AVERAGE RATING]]*Books[[#This Row],[RATINGS COUNT]]</f>
        <v>294000</v>
      </c>
    </row>
    <row r="1380" spans="1:13" x14ac:dyDescent="0.25">
      <c r="A1380" t="s">
        <v>3024</v>
      </c>
      <c r="B1380" t="s">
        <v>3025</v>
      </c>
      <c r="C1380">
        <v>304</v>
      </c>
      <c r="D1380" t="s">
        <v>180</v>
      </c>
      <c r="E1380" t="s">
        <v>4026</v>
      </c>
      <c r="F1380" t="s">
        <v>3026</v>
      </c>
      <c r="G1380" t="s">
        <v>4</v>
      </c>
      <c r="H1380">
        <v>4.3</v>
      </c>
      <c r="I1380">
        <v>20000</v>
      </c>
      <c r="J1380">
        <v>2013</v>
      </c>
      <c r="K1380" t="str">
        <f>IF(Books[[#This Row],[AVERAGE RATING]]&gt;=4,"High",IF(Books[[#This Row],[AVERAGE RATING]]&gt;=3,"Medium","Low"))</f>
        <v>High</v>
      </c>
      <c r="L1380" t="str">
        <f>IF(Books[[#This Row],[AVERAGE RATING]]&gt;10000,"Popular","Average")</f>
        <v>Average</v>
      </c>
      <c r="M1380">
        <f>Books[[#This Row],[AVERAGE RATING]]*Books[[#This Row],[RATINGS COUNT]]</f>
        <v>86000</v>
      </c>
    </row>
    <row r="1381" spans="1:13" x14ac:dyDescent="0.25">
      <c r="A1381" t="s">
        <v>3027</v>
      </c>
      <c r="B1381" t="s">
        <v>2986</v>
      </c>
      <c r="C1381">
        <v>208</v>
      </c>
      <c r="D1381" t="s">
        <v>2914</v>
      </c>
      <c r="E1381" t="s">
        <v>4027</v>
      </c>
      <c r="F1381" t="s">
        <v>2979</v>
      </c>
      <c r="G1381" t="s">
        <v>4</v>
      </c>
      <c r="H1381">
        <v>4</v>
      </c>
      <c r="I1381">
        <v>25000</v>
      </c>
      <c r="J1381">
        <v>2012</v>
      </c>
      <c r="K1381" t="str">
        <f>IF(Books[[#This Row],[AVERAGE RATING]]&gt;=4,"High",IF(Books[[#This Row],[AVERAGE RATING]]&gt;=3,"Medium","Low"))</f>
        <v>High</v>
      </c>
      <c r="L1381" t="str">
        <f>IF(Books[[#This Row],[AVERAGE RATING]]&gt;10000,"Popular","Average")</f>
        <v>Average</v>
      </c>
      <c r="M1381">
        <f>Books[[#This Row],[AVERAGE RATING]]*Books[[#This Row],[RATINGS COUNT]]</f>
        <v>100000</v>
      </c>
    </row>
    <row r="1382" spans="1:13" x14ac:dyDescent="0.25">
      <c r="A1382" t="s">
        <v>3028</v>
      </c>
      <c r="B1382" t="s">
        <v>3029</v>
      </c>
      <c r="C1382">
        <v>256</v>
      </c>
      <c r="D1382" t="s">
        <v>2914</v>
      </c>
      <c r="E1382" t="s">
        <v>4028</v>
      </c>
      <c r="F1382" t="s">
        <v>3030</v>
      </c>
      <c r="G1382" t="s">
        <v>4</v>
      </c>
      <c r="H1382">
        <v>4.2</v>
      </c>
      <c r="I1382">
        <v>15000</v>
      </c>
      <c r="J1382">
        <v>2024</v>
      </c>
      <c r="K1382" t="str">
        <f>IF(Books[[#This Row],[AVERAGE RATING]]&gt;=4,"High",IF(Books[[#This Row],[AVERAGE RATING]]&gt;=3,"Medium","Low"))</f>
        <v>High</v>
      </c>
      <c r="L1382" t="str">
        <f>IF(Books[[#This Row],[AVERAGE RATING]]&gt;10000,"Popular","Average")</f>
        <v>Average</v>
      </c>
      <c r="M1382">
        <f>Books[[#This Row],[AVERAGE RATING]]*Books[[#This Row],[RATINGS COUNT]]</f>
        <v>63000</v>
      </c>
    </row>
    <row r="1383" spans="1:13" x14ac:dyDescent="0.25">
      <c r="A1383" t="s">
        <v>3031</v>
      </c>
      <c r="B1383" t="s">
        <v>3032</v>
      </c>
      <c r="C1383">
        <v>304</v>
      </c>
      <c r="D1383" t="s">
        <v>2914</v>
      </c>
      <c r="E1383" t="s">
        <v>4029</v>
      </c>
      <c r="F1383" t="s">
        <v>3033</v>
      </c>
      <c r="G1383" t="s">
        <v>4</v>
      </c>
      <c r="H1383">
        <v>4.0999999999999996</v>
      </c>
      <c r="I1383">
        <v>20000</v>
      </c>
      <c r="J1383">
        <v>2016</v>
      </c>
      <c r="K1383" t="str">
        <f>IF(Books[[#This Row],[AVERAGE RATING]]&gt;=4,"High",IF(Books[[#This Row],[AVERAGE RATING]]&gt;=3,"Medium","Low"))</f>
        <v>High</v>
      </c>
      <c r="L1383" t="str">
        <f>IF(Books[[#This Row],[AVERAGE RATING]]&gt;10000,"Popular","Average")</f>
        <v>Average</v>
      </c>
      <c r="M1383">
        <f>Books[[#This Row],[AVERAGE RATING]]*Books[[#This Row],[RATINGS COUNT]]</f>
        <v>82000</v>
      </c>
    </row>
    <row r="1384" spans="1:13" x14ac:dyDescent="0.25">
      <c r="A1384" t="s">
        <v>3034</v>
      </c>
      <c r="B1384" t="s">
        <v>3035</v>
      </c>
      <c r="C1384">
        <v>256</v>
      </c>
      <c r="D1384" t="s">
        <v>2914</v>
      </c>
      <c r="E1384" t="s">
        <v>3797</v>
      </c>
      <c r="F1384" t="s">
        <v>2979</v>
      </c>
      <c r="G1384" t="s">
        <v>4</v>
      </c>
      <c r="H1384">
        <v>4</v>
      </c>
      <c r="I1384">
        <v>30000</v>
      </c>
      <c r="J1384">
        <v>2016</v>
      </c>
      <c r="K1384" t="str">
        <f>IF(Books[[#This Row],[AVERAGE RATING]]&gt;=4,"High",IF(Books[[#This Row],[AVERAGE RATING]]&gt;=3,"Medium","Low"))</f>
        <v>High</v>
      </c>
      <c r="L1384" t="str">
        <f>IF(Books[[#This Row],[AVERAGE RATING]]&gt;10000,"Popular","Average")</f>
        <v>Average</v>
      </c>
      <c r="M1384">
        <f>Books[[#This Row],[AVERAGE RATING]]*Books[[#This Row],[RATINGS COUNT]]</f>
        <v>120000</v>
      </c>
    </row>
    <row r="1385" spans="1:13" x14ac:dyDescent="0.25">
      <c r="A1385" t="s">
        <v>3036</v>
      </c>
      <c r="B1385" t="s">
        <v>3013</v>
      </c>
      <c r="C1385">
        <v>608</v>
      </c>
      <c r="D1385" t="s">
        <v>2914</v>
      </c>
      <c r="E1385" t="s">
        <v>4030</v>
      </c>
      <c r="F1385" t="s">
        <v>3014</v>
      </c>
      <c r="G1385" t="s">
        <v>4</v>
      </c>
      <c r="H1385">
        <v>4.0999999999999996</v>
      </c>
      <c r="I1385">
        <v>50000</v>
      </c>
      <c r="J1385">
        <v>2001</v>
      </c>
      <c r="K1385" t="str">
        <f>IF(Books[[#This Row],[AVERAGE RATING]]&gt;=4,"High",IF(Books[[#This Row],[AVERAGE RATING]]&gt;=3,"Medium","Low"))</f>
        <v>High</v>
      </c>
      <c r="L1385" t="str">
        <f>IF(Books[[#This Row],[AVERAGE RATING]]&gt;10000,"Popular","Average")</f>
        <v>Average</v>
      </c>
      <c r="M1385">
        <f>Books[[#This Row],[AVERAGE RATING]]*Books[[#This Row],[RATINGS COUNT]]</f>
        <v>204999.99999999997</v>
      </c>
    </row>
    <row r="1386" spans="1:13" x14ac:dyDescent="0.25">
      <c r="A1386" t="s">
        <v>3037</v>
      </c>
      <c r="B1386" t="s">
        <v>3038</v>
      </c>
      <c r="C1386">
        <v>512</v>
      </c>
      <c r="D1386" t="s">
        <v>180</v>
      </c>
      <c r="E1386" t="s">
        <v>4031</v>
      </c>
      <c r="F1386" t="s">
        <v>3039</v>
      </c>
      <c r="G1386" t="s">
        <v>4</v>
      </c>
      <c r="H1386">
        <v>4.2</v>
      </c>
      <c r="I1386">
        <v>100000</v>
      </c>
      <c r="J1386">
        <v>2004</v>
      </c>
      <c r="K1386" t="str">
        <f>IF(Books[[#This Row],[AVERAGE RATING]]&gt;=4,"High",IF(Books[[#This Row],[AVERAGE RATING]]&gt;=3,"Medium","Low"))</f>
        <v>High</v>
      </c>
      <c r="L1386" t="str">
        <f>IF(Books[[#This Row],[AVERAGE RATING]]&gt;10000,"Popular","Average")</f>
        <v>Average</v>
      </c>
      <c r="M1386">
        <f>Books[[#This Row],[AVERAGE RATING]]*Books[[#This Row],[RATINGS COUNT]]</f>
        <v>420000</v>
      </c>
    </row>
    <row r="1387" spans="1:13" x14ac:dyDescent="0.25">
      <c r="A1387" t="s">
        <v>3040</v>
      </c>
      <c r="B1387" t="s">
        <v>3013</v>
      </c>
      <c r="C1387">
        <v>448</v>
      </c>
      <c r="D1387" t="s">
        <v>2914</v>
      </c>
      <c r="E1387" t="s">
        <v>4032</v>
      </c>
      <c r="F1387" t="s">
        <v>3014</v>
      </c>
      <c r="G1387" t="s">
        <v>4</v>
      </c>
      <c r="H1387">
        <v>4</v>
      </c>
      <c r="I1387">
        <v>40000</v>
      </c>
      <c r="J1387">
        <v>1999</v>
      </c>
      <c r="K1387" t="str">
        <f>IF(Books[[#This Row],[AVERAGE RATING]]&gt;=4,"High",IF(Books[[#This Row],[AVERAGE RATING]]&gt;=3,"Medium","Low"))</f>
        <v>High</v>
      </c>
      <c r="L1387" t="str">
        <f>IF(Books[[#This Row],[AVERAGE RATING]]&gt;10000,"Popular","Average")</f>
        <v>Average</v>
      </c>
      <c r="M1387">
        <f>Books[[#This Row],[AVERAGE RATING]]*Books[[#This Row],[RATINGS COUNT]]</f>
        <v>160000</v>
      </c>
    </row>
    <row r="1388" spans="1:13" x14ac:dyDescent="0.25">
      <c r="A1388" t="s">
        <v>3041</v>
      </c>
      <c r="B1388" t="s">
        <v>3042</v>
      </c>
      <c r="C1388">
        <v>256</v>
      </c>
      <c r="D1388" t="s">
        <v>2914</v>
      </c>
      <c r="E1388" t="s">
        <v>4033</v>
      </c>
      <c r="F1388" t="s">
        <v>1229</v>
      </c>
      <c r="G1388" t="s">
        <v>4</v>
      </c>
      <c r="H1388">
        <v>4.2</v>
      </c>
      <c r="I1388">
        <v>20000</v>
      </c>
      <c r="J1388">
        <v>2023</v>
      </c>
      <c r="K1388" t="str">
        <f>IF(Books[[#This Row],[AVERAGE RATING]]&gt;=4,"High",IF(Books[[#This Row],[AVERAGE RATING]]&gt;=3,"Medium","Low"))</f>
        <v>High</v>
      </c>
      <c r="L1388" t="str">
        <f>IF(Books[[#This Row],[AVERAGE RATING]]&gt;10000,"Popular","Average")</f>
        <v>Average</v>
      </c>
      <c r="M1388">
        <f>Books[[#This Row],[AVERAGE RATING]]*Books[[#This Row],[RATINGS COUNT]]</f>
        <v>84000</v>
      </c>
    </row>
  </sheetData>
  <mergeCells count="1">
    <mergeCell ref="A1:B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352B2-5D1A-413C-9D27-B38C7F6BD8EA}">
  <dimension ref="A1:V79"/>
  <sheetViews>
    <sheetView topLeftCell="O1" zoomScale="82" zoomScaleNormal="118" workbookViewId="0">
      <selection activeCell="AD22" sqref="AD22"/>
    </sheetView>
  </sheetViews>
  <sheetFormatPr defaultRowHeight="15" x14ac:dyDescent="0.25"/>
  <cols>
    <col min="1" max="1" width="29.140625" bestFit="1" customWidth="1"/>
    <col min="2" max="2" width="14.140625" bestFit="1" customWidth="1"/>
    <col min="3" max="3" width="27.140625" bestFit="1" customWidth="1"/>
    <col min="6" max="6" width="13.7109375" bestFit="1" customWidth="1"/>
    <col min="7" max="7" width="14.140625" bestFit="1" customWidth="1"/>
    <col min="8" max="8" width="14" customWidth="1"/>
    <col min="10" max="10" width="29.140625" bestFit="1" customWidth="1"/>
    <col min="11" max="11" width="27.140625" bestFit="1" customWidth="1"/>
    <col min="12" max="12" width="10.140625" customWidth="1"/>
    <col min="13" max="13" width="20.85546875" bestFit="1" customWidth="1"/>
    <col min="14" max="14" width="14.140625" bestFit="1" customWidth="1"/>
    <col min="15" max="15" width="20.85546875" customWidth="1"/>
    <col min="16" max="16" width="29.5703125" customWidth="1"/>
    <col min="17" max="17" width="13.7109375" bestFit="1" customWidth="1"/>
    <col min="18" max="18" width="14.140625" bestFit="1" customWidth="1"/>
    <col min="19" max="19" width="4.85546875" customWidth="1"/>
    <col min="21" max="21" width="37.28515625" bestFit="1" customWidth="1"/>
    <col min="22" max="22" width="28" bestFit="1" customWidth="1"/>
  </cols>
  <sheetData>
    <row r="1" spans="1:22" x14ac:dyDescent="0.25">
      <c r="A1" s="19" t="s">
        <v>4039</v>
      </c>
      <c r="B1" s="19"/>
      <c r="C1" s="19"/>
      <c r="F1" s="19" t="s">
        <v>4044</v>
      </c>
      <c r="G1" s="19"/>
      <c r="H1" s="19"/>
      <c r="J1" s="19" t="s">
        <v>4045</v>
      </c>
      <c r="K1" s="19"/>
      <c r="L1" s="19"/>
      <c r="M1" s="19" t="s">
        <v>4046</v>
      </c>
      <c r="N1" s="19"/>
      <c r="O1" s="19"/>
      <c r="Q1" s="19" t="s">
        <v>4047</v>
      </c>
      <c r="R1" s="19"/>
      <c r="S1" s="19"/>
      <c r="U1" s="2" t="s">
        <v>4048</v>
      </c>
      <c r="V1" s="1"/>
    </row>
    <row r="4" spans="1:22" x14ac:dyDescent="0.25">
      <c r="A4" s="4" t="s">
        <v>4040</v>
      </c>
      <c r="B4" t="s">
        <v>4042</v>
      </c>
      <c r="F4" s="4" t="s">
        <v>4040</v>
      </c>
      <c r="G4" t="s">
        <v>4042</v>
      </c>
      <c r="J4" s="4" t="s">
        <v>4040</v>
      </c>
      <c r="K4" t="s">
        <v>4043</v>
      </c>
      <c r="M4" s="4" t="s">
        <v>4040</v>
      </c>
      <c r="N4" t="s">
        <v>4042</v>
      </c>
      <c r="Q4" s="4" t="s">
        <v>4040</v>
      </c>
      <c r="R4" t="s">
        <v>4042</v>
      </c>
      <c r="U4" s="4" t="s">
        <v>4040</v>
      </c>
      <c r="V4" t="s">
        <v>4049</v>
      </c>
    </row>
    <row r="5" spans="1:22" x14ac:dyDescent="0.25">
      <c r="A5" s="5" t="s">
        <v>24</v>
      </c>
      <c r="B5">
        <v>1</v>
      </c>
      <c r="F5" s="5">
        <v>1887</v>
      </c>
      <c r="G5">
        <v>1</v>
      </c>
      <c r="J5" s="5" t="s">
        <v>24</v>
      </c>
      <c r="K5" s="6">
        <v>0</v>
      </c>
      <c r="M5" s="5" t="s">
        <v>1650</v>
      </c>
      <c r="N5">
        <v>22</v>
      </c>
      <c r="Q5" s="5" t="s">
        <v>2103</v>
      </c>
      <c r="R5">
        <v>3</v>
      </c>
      <c r="U5" s="5" t="s">
        <v>2916</v>
      </c>
      <c r="V5">
        <v>4099999.9999999995</v>
      </c>
    </row>
    <row r="6" spans="1:22" x14ac:dyDescent="0.25">
      <c r="A6" s="5" t="s">
        <v>1765</v>
      </c>
      <c r="B6">
        <v>1</v>
      </c>
      <c r="F6" s="5">
        <v>1888</v>
      </c>
      <c r="G6">
        <v>1</v>
      </c>
      <c r="J6" s="5" t="s">
        <v>1765</v>
      </c>
      <c r="K6" s="6">
        <v>0</v>
      </c>
      <c r="M6" s="5" t="s">
        <v>1300</v>
      </c>
      <c r="N6">
        <v>22</v>
      </c>
      <c r="Q6" s="5" t="s">
        <v>2751</v>
      </c>
      <c r="R6">
        <v>2</v>
      </c>
      <c r="U6" s="5" t="s">
        <v>2938</v>
      </c>
      <c r="V6">
        <v>3080000.0000000005</v>
      </c>
    </row>
    <row r="7" spans="1:22" x14ac:dyDescent="0.25">
      <c r="A7" s="5" t="s">
        <v>56</v>
      </c>
      <c r="B7">
        <v>1</v>
      </c>
      <c r="F7" s="5">
        <v>1894</v>
      </c>
      <c r="G7">
        <v>1</v>
      </c>
      <c r="J7" s="5" t="s">
        <v>56</v>
      </c>
      <c r="K7" s="6">
        <v>4</v>
      </c>
      <c r="M7" s="5" t="s">
        <v>1302</v>
      </c>
      <c r="N7">
        <v>21</v>
      </c>
      <c r="Q7" s="5" t="s">
        <v>4</v>
      </c>
      <c r="R7">
        <v>1311</v>
      </c>
      <c r="U7" s="5" t="s">
        <v>2955</v>
      </c>
      <c r="V7">
        <v>2940000</v>
      </c>
    </row>
    <row r="8" spans="1:22" x14ac:dyDescent="0.25">
      <c r="A8" s="5" t="s">
        <v>384</v>
      </c>
      <c r="B8">
        <v>3</v>
      </c>
      <c r="F8" s="5">
        <v>1900</v>
      </c>
      <c r="G8">
        <v>1</v>
      </c>
      <c r="J8" s="5" t="s">
        <v>384</v>
      </c>
      <c r="K8" s="6">
        <v>0</v>
      </c>
      <c r="M8" s="5" t="s">
        <v>1310</v>
      </c>
      <c r="N8">
        <v>11</v>
      </c>
      <c r="Q8" s="5" t="s">
        <v>2188</v>
      </c>
      <c r="R8">
        <v>10</v>
      </c>
      <c r="U8" s="5" t="s">
        <v>2931</v>
      </c>
      <c r="V8">
        <v>2580000</v>
      </c>
    </row>
    <row r="9" spans="1:22" x14ac:dyDescent="0.25">
      <c r="A9" s="5" t="s">
        <v>94</v>
      </c>
      <c r="B9">
        <v>2</v>
      </c>
      <c r="F9" s="5">
        <v>1902</v>
      </c>
      <c r="G9">
        <v>1</v>
      </c>
      <c r="J9" s="5" t="s">
        <v>94</v>
      </c>
      <c r="K9" s="6">
        <v>0</v>
      </c>
      <c r="M9" s="5" t="s">
        <v>921</v>
      </c>
      <c r="N9">
        <v>11</v>
      </c>
      <c r="Q9" s="5" t="s">
        <v>1442</v>
      </c>
      <c r="R9">
        <v>2</v>
      </c>
      <c r="U9" s="5" t="s">
        <v>2941</v>
      </c>
      <c r="V9">
        <v>1720000</v>
      </c>
    </row>
    <row r="10" spans="1:22" x14ac:dyDescent="0.25">
      <c r="A10" s="5" t="s">
        <v>356</v>
      </c>
      <c r="B10">
        <v>31</v>
      </c>
      <c r="F10" s="5">
        <v>1907</v>
      </c>
      <c r="G10">
        <v>1</v>
      </c>
      <c r="J10" s="5" t="s">
        <v>356</v>
      </c>
      <c r="K10" s="6">
        <v>0.22580645161290322</v>
      </c>
      <c r="M10" s="5" t="s">
        <v>1703</v>
      </c>
      <c r="N10">
        <v>11</v>
      </c>
      <c r="Q10" s="5" t="s">
        <v>1718</v>
      </c>
      <c r="R10">
        <v>1</v>
      </c>
      <c r="U10" s="5" t="s">
        <v>2928</v>
      </c>
      <c r="V10">
        <v>1680000</v>
      </c>
    </row>
    <row r="11" spans="1:22" x14ac:dyDescent="0.25">
      <c r="A11" s="5" t="s">
        <v>2495</v>
      </c>
      <c r="B11">
        <v>1</v>
      </c>
      <c r="F11" s="5">
        <v>1910</v>
      </c>
      <c r="G11">
        <v>2</v>
      </c>
      <c r="J11" s="5" t="s">
        <v>2495</v>
      </c>
      <c r="K11" s="6">
        <v>0</v>
      </c>
      <c r="M11" s="5" t="s">
        <v>1394</v>
      </c>
      <c r="N11">
        <v>9</v>
      </c>
      <c r="Q11" s="5" t="s">
        <v>2486</v>
      </c>
      <c r="R11">
        <v>1</v>
      </c>
      <c r="U11" s="5" t="s">
        <v>3018</v>
      </c>
      <c r="V11">
        <v>1639999.9999999998</v>
      </c>
    </row>
    <row r="12" spans="1:22" x14ac:dyDescent="0.25">
      <c r="A12" s="5" t="s">
        <v>632</v>
      </c>
      <c r="B12">
        <v>1</v>
      </c>
      <c r="F12" s="5">
        <v>1911</v>
      </c>
      <c r="G12">
        <v>1</v>
      </c>
      <c r="J12" s="5" t="s">
        <v>632</v>
      </c>
      <c r="K12" s="6">
        <v>0</v>
      </c>
      <c r="M12" s="5" t="s">
        <v>2169</v>
      </c>
      <c r="N12">
        <v>9</v>
      </c>
      <c r="Q12" s="5" t="s">
        <v>1304</v>
      </c>
      <c r="R12">
        <v>19</v>
      </c>
      <c r="U12" s="5" t="s">
        <v>3001</v>
      </c>
      <c r="V12">
        <v>1260000</v>
      </c>
    </row>
    <row r="13" spans="1:22" x14ac:dyDescent="0.25">
      <c r="A13" s="5" t="s">
        <v>45</v>
      </c>
      <c r="B13">
        <v>55</v>
      </c>
      <c r="F13" s="5">
        <v>1926</v>
      </c>
      <c r="G13">
        <v>1</v>
      </c>
      <c r="J13" s="5" t="s">
        <v>45</v>
      </c>
      <c r="K13" s="6">
        <v>0.41818181818181815</v>
      </c>
      <c r="M13" s="5" t="s">
        <v>1278</v>
      </c>
      <c r="N13">
        <v>8</v>
      </c>
      <c r="Q13" s="5" t="s">
        <v>1314</v>
      </c>
      <c r="R13">
        <v>13</v>
      </c>
      <c r="U13" s="5" t="s">
        <v>2925</v>
      </c>
      <c r="V13">
        <v>1230000</v>
      </c>
    </row>
    <row r="14" spans="1:22" x14ac:dyDescent="0.25">
      <c r="A14" s="5" t="s">
        <v>17</v>
      </c>
      <c r="B14">
        <v>6</v>
      </c>
      <c r="F14" s="5">
        <v>1937</v>
      </c>
      <c r="G14">
        <v>1</v>
      </c>
      <c r="J14" s="5" t="s">
        <v>17</v>
      </c>
      <c r="K14" s="6">
        <v>0</v>
      </c>
      <c r="M14" s="5" t="s">
        <v>190</v>
      </c>
      <c r="N14">
        <v>7</v>
      </c>
      <c r="Q14" s="5" t="s">
        <v>2911</v>
      </c>
      <c r="R14">
        <v>1</v>
      </c>
      <c r="U14" s="5" t="s">
        <v>2912</v>
      </c>
      <c r="V14">
        <v>1075000</v>
      </c>
    </row>
    <row r="15" spans="1:22" x14ac:dyDescent="0.25">
      <c r="A15" s="5" t="s">
        <v>298</v>
      </c>
      <c r="B15">
        <v>43</v>
      </c>
      <c r="F15" s="5">
        <v>1949</v>
      </c>
      <c r="G15">
        <v>1</v>
      </c>
      <c r="J15" s="5" t="s">
        <v>298</v>
      </c>
      <c r="K15" s="6">
        <v>0.58139534883720934</v>
      </c>
      <c r="M15" s="5" t="s">
        <v>177</v>
      </c>
      <c r="N15">
        <v>7</v>
      </c>
      <c r="Q15" s="5" t="s">
        <v>2270</v>
      </c>
      <c r="R15">
        <v>1</v>
      </c>
      <c r="U15" s="5" t="s">
        <v>4041</v>
      </c>
      <c r="V15">
        <v>21305000</v>
      </c>
    </row>
    <row r="16" spans="1:22" x14ac:dyDescent="0.25">
      <c r="A16" s="5" t="s">
        <v>228</v>
      </c>
      <c r="B16">
        <v>1</v>
      </c>
      <c r="F16" s="5">
        <v>1960</v>
      </c>
      <c r="G16">
        <v>1</v>
      </c>
      <c r="J16" s="5" t="s">
        <v>228</v>
      </c>
      <c r="K16" s="6">
        <v>0</v>
      </c>
      <c r="M16" s="5" t="s">
        <v>4041</v>
      </c>
      <c r="N16">
        <v>138</v>
      </c>
      <c r="Q16" s="5" t="s">
        <v>1407</v>
      </c>
      <c r="R16">
        <v>2</v>
      </c>
    </row>
    <row r="17" spans="1:18" x14ac:dyDescent="0.25">
      <c r="A17" s="5" t="s">
        <v>1251</v>
      </c>
      <c r="B17">
        <v>1</v>
      </c>
      <c r="F17" s="5">
        <v>1967</v>
      </c>
      <c r="G17">
        <v>1</v>
      </c>
      <c r="J17" s="5" t="s">
        <v>1251</v>
      </c>
      <c r="K17" s="6">
        <v>0</v>
      </c>
      <c r="Q17" s="5" t="s">
        <v>577</v>
      </c>
      <c r="R17">
        <v>1</v>
      </c>
    </row>
    <row r="18" spans="1:18" x14ac:dyDescent="0.25">
      <c r="A18" s="5" t="s">
        <v>1961</v>
      </c>
      <c r="B18">
        <v>1</v>
      </c>
      <c r="F18" s="5">
        <v>1969</v>
      </c>
      <c r="G18">
        <v>1</v>
      </c>
      <c r="J18" s="5" t="s">
        <v>1961</v>
      </c>
      <c r="K18" s="6">
        <v>4</v>
      </c>
      <c r="Q18" s="5" t="s">
        <v>1992</v>
      </c>
      <c r="R18">
        <v>2</v>
      </c>
    </row>
    <row r="19" spans="1:18" x14ac:dyDescent="0.25">
      <c r="A19" s="5" t="s">
        <v>1200</v>
      </c>
      <c r="B19">
        <v>1</v>
      </c>
      <c r="F19" s="5">
        <v>1970</v>
      </c>
      <c r="G19">
        <v>1</v>
      </c>
      <c r="J19" s="5" t="s">
        <v>1200</v>
      </c>
      <c r="K19" s="6">
        <v>3</v>
      </c>
      <c r="Q19" s="5" t="s">
        <v>2279</v>
      </c>
      <c r="R19">
        <v>1</v>
      </c>
    </row>
    <row r="20" spans="1:18" x14ac:dyDescent="0.25">
      <c r="A20" s="5" t="s">
        <v>1891</v>
      </c>
      <c r="B20">
        <v>1</v>
      </c>
      <c r="F20" s="5">
        <v>1971</v>
      </c>
      <c r="G20">
        <v>3</v>
      </c>
      <c r="J20" s="5" t="s">
        <v>1891</v>
      </c>
      <c r="K20" s="6">
        <v>0</v>
      </c>
      <c r="Q20" s="5" t="s">
        <v>1618</v>
      </c>
      <c r="R20">
        <v>7</v>
      </c>
    </row>
    <row r="21" spans="1:18" x14ac:dyDescent="0.25">
      <c r="A21" s="5" t="s">
        <v>345</v>
      </c>
      <c r="B21">
        <v>1</v>
      </c>
      <c r="F21" s="5">
        <v>1972</v>
      </c>
      <c r="G21">
        <v>2</v>
      </c>
      <c r="J21" s="5" t="s">
        <v>345</v>
      </c>
      <c r="K21" s="6">
        <v>4.5</v>
      </c>
      <c r="Q21" s="5" t="s">
        <v>1989</v>
      </c>
      <c r="R21">
        <v>1</v>
      </c>
    </row>
    <row r="22" spans="1:18" x14ac:dyDescent="0.25">
      <c r="A22" s="5" t="s">
        <v>1335</v>
      </c>
      <c r="B22">
        <v>1</v>
      </c>
      <c r="F22" s="5">
        <v>1973</v>
      </c>
      <c r="G22">
        <v>1</v>
      </c>
      <c r="J22" s="5" t="s">
        <v>1335</v>
      </c>
      <c r="K22" s="6">
        <v>5</v>
      </c>
      <c r="Q22" s="5" t="s">
        <v>1308</v>
      </c>
      <c r="R22">
        <v>4</v>
      </c>
    </row>
    <row r="23" spans="1:18" x14ac:dyDescent="0.25">
      <c r="A23" s="5" t="s">
        <v>339</v>
      </c>
      <c r="B23">
        <v>11</v>
      </c>
      <c r="F23" s="5">
        <v>1977</v>
      </c>
      <c r="G23">
        <v>1</v>
      </c>
      <c r="J23" s="5" t="s">
        <v>339</v>
      </c>
      <c r="K23" s="6">
        <v>0</v>
      </c>
      <c r="Q23" s="5" t="s">
        <v>2218</v>
      </c>
      <c r="R23">
        <v>1</v>
      </c>
    </row>
    <row r="24" spans="1:18" x14ac:dyDescent="0.25">
      <c r="A24" s="5" t="s">
        <v>406</v>
      </c>
      <c r="B24">
        <v>22</v>
      </c>
      <c r="F24" s="5">
        <v>1978</v>
      </c>
      <c r="G24">
        <v>1</v>
      </c>
      <c r="J24" s="5" t="s">
        <v>406</v>
      </c>
      <c r="K24" s="6">
        <v>0.84090909090909094</v>
      </c>
      <c r="Q24" s="5" t="s">
        <v>4041</v>
      </c>
      <c r="R24">
        <v>1383</v>
      </c>
    </row>
    <row r="25" spans="1:18" x14ac:dyDescent="0.25">
      <c r="A25" s="5" t="s">
        <v>617</v>
      </c>
      <c r="B25">
        <v>4</v>
      </c>
      <c r="F25" s="5">
        <v>1980</v>
      </c>
      <c r="G25">
        <v>1</v>
      </c>
      <c r="J25" s="5" t="s">
        <v>617</v>
      </c>
      <c r="K25" s="6">
        <v>0</v>
      </c>
    </row>
    <row r="26" spans="1:18" x14ac:dyDescent="0.25">
      <c r="A26" s="5" t="s">
        <v>624</v>
      </c>
      <c r="B26">
        <v>1</v>
      </c>
      <c r="F26" s="5">
        <v>1982</v>
      </c>
      <c r="G26">
        <v>3</v>
      </c>
      <c r="J26" s="5" t="s">
        <v>624</v>
      </c>
      <c r="K26" s="6">
        <v>5</v>
      </c>
    </row>
    <row r="27" spans="1:18" x14ac:dyDescent="0.25">
      <c r="A27" s="5" t="s">
        <v>1342</v>
      </c>
      <c r="B27">
        <v>3</v>
      </c>
      <c r="F27" s="5">
        <v>1983</v>
      </c>
      <c r="G27">
        <v>3</v>
      </c>
      <c r="J27" s="5" t="s">
        <v>1342</v>
      </c>
      <c r="K27" s="6">
        <v>0</v>
      </c>
    </row>
    <row r="28" spans="1:18" x14ac:dyDescent="0.25">
      <c r="A28" s="5" t="s">
        <v>2204</v>
      </c>
      <c r="B28">
        <v>1</v>
      </c>
      <c r="F28" s="5">
        <v>1985</v>
      </c>
      <c r="G28">
        <v>3</v>
      </c>
      <c r="J28" s="5" t="s">
        <v>2204</v>
      </c>
      <c r="K28" s="6">
        <v>0</v>
      </c>
    </row>
    <row r="29" spans="1:18" x14ac:dyDescent="0.25">
      <c r="A29" s="5" t="s">
        <v>867</v>
      </c>
      <c r="B29">
        <v>3</v>
      </c>
      <c r="F29" s="5">
        <v>1986</v>
      </c>
      <c r="G29">
        <v>3</v>
      </c>
      <c r="J29" s="5" t="s">
        <v>867</v>
      </c>
      <c r="K29" s="6">
        <v>0</v>
      </c>
    </row>
    <row r="30" spans="1:18" x14ac:dyDescent="0.25">
      <c r="A30" s="5" t="s">
        <v>890</v>
      </c>
      <c r="B30">
        <v>1</v>
      </c>
      <c r="F30" s="5">
        <v>1987</v>
      </c>
      <c r="G30">
        <v>3</v>
      </c>
      <c r="J30" s="5" t="s">
        <v>890</v>
      </c>
      <c r="K30" s="6">
        <v>0</v>
      </c>
    </row>
    <row r="31" spans="1:18" x14ac:dyDescent="0.25">
      <c r="A31" s="5" t="s">
        <v>47</v>
      </c>
      <c r="B31">
        <v>19</v>
      </c>
      <c r="F31" s="5">
        <v>1988</v>
      </c>
      <c r="G31">
        <v>4</v>
      </c>
      <c r="J31" s="5" t="s">
        <v>47</v>
      </c>
      <c r="K31" s="6">
        <v>0.78947368421052633</v>
      </c>
    </row>
    <row r="32" spans="1:18" x14ac:dyDescent="0.25">
      <c r="A32" s="5" t="s">
        <v>1525</v>
      </c>
      <c r="B32">
        <v>2</v>
      </c>
      <c r="F32" s="5">
        <v>1989</v>
      </c>
      <c r="G32">
        <v>8</v>
      </c>
      <c r="J32" s="5" t="s">
        <v>1525</v>
      </c>
      <c r="K32" s="6">
        <v>2</v>
      </c>
    </row>
    <row r="33" spans="1:11" x14ac:dyDescent="0.25">
      <c r="A33" s="5" t="s">
        <v>63</v>
      </c>
      <c r="B33">
        <v>68</v>
      </c>
      <c r="F33" s="5">
        <v>1990</v>
      </c>
      <c r="G33">
        <v>2</v>
      </c>
      <c r="J33" s="5" t="s">
        <v>63</v>
      </c>
      <c r="K33" s="6">
        <v>0.26470588235294118</v>
      </c>
    </row>
    <row r="34" spans="1:11" x14ac:dyDescent="0.25">
      <c r="A34" s="5" t="s">
        <v>1879</v>
      </c>
      <c r="B34">
        <v>1</v>
      </c>
      <c r="F34" s="5">
        <v>1991</v>
      </c>
      <c r="G34">
        <v>3</v>
      </c>
      <c r="J34" s="5" t="s">
        <v>1879</v>
      </c>
      <c r="K34" s="6">
        <v>0</v>
      </c>
    </row>
    <row r="35" spans="1:11" x14ac:dyDescent="0.25">
      <c r="A35" s="5" t="s">
        <v>375</v>
      </c>
      <c r="B35">
        <v>1</v>
      </c>
      <c r="D35" t="s">
        <v>4058</v>
      </c>
      <c r="F35" s="5">
        <v>1992</v>
      </c>
      <c r="G35">
        <v>3</v>
      </c>
      <c r="J35" s="5" t="s">
        <v>375</v>
      </c>
      <c r="K35" s="6">
        <v>0</v>
      </c>
    </row>
    <row r="36" spans="1:11" x14ac:dyDescent="0.25">
      <c r="A36" s="5" t="s">
        <v>467</v>
      </c>
      <c r="B36">
        <v>1</v>
      </c>
      <c r="F36" s="5">
        <v>1993</v>
      </c>
      <c r="G36">
        <v>7</v>
      </c>
      <c r="J36" s="5" t="s">
        <v>467</v>
      </c>
      <c r="K36" s="6">
        <v>0</v>
      </c>
    </row>
    <row r="37" spans="1:11" x14ac:dyDescent="0.25">
      <c r="A37" s="5" t="s">
        <v>263</v>
      </c>
      <c r="B37">
        <v>5</v>
      </c>
      <c r="F37" s="5">
        <v>1994</v>
      </c>
      <c r="G37">
        <v>13</v>
      </c>
      <c r="J37" s="5" t="s">
        <v>263</v>
      </c>
      <c r="K37" s="6">
        <v>1.2</v>
      </c>
    </row>
    <row r="38" spans="1:11" x14ac:dyDescent="0.25">
      <c r="A38" s="5" t="s">
        <v>2332</v>
      </c>
      <c r="B38">
        <v>1</v>
      </c>
      <c r="F38" s="5">
        <v>1995</v>
      </c>
      <c r="G38">
        <v>2</v>
      </c>
      <c r="J38" s="5" t="s">
        <v>2332</v>
      </c>
      <c r="K38" s="6">
        <v>4</v>
      </c>
    </row>
    <row r="39" spans="1:11" x14ac:dyDescent="0.25">
      <c r="A39" s="5" t="s">
        <v>11</v>
      </c>
      <c r="B39">
        <v>223</v>
      </c>
      <c r="F39" s="5">
        <v>1996</v>
      </c>
      <c r="G39">
        <v>4</v>
      </c>
      <c r="J39" s="5" t="s">
        <v>11</v>
      </c>
      <c r="K39" s="6">
        <v>0.73318385650224216</v>
      </c>
    </row>
    <row r="40" spans="1:11" x14ac:dyDescent="0.25">
      <c r="A40" s="5" t="s">
        <v>640</v>
      </c>
      <c r="B40">
        <v>10</v>
      </c>
      <c r="F40" s="5">
        <v>1997</v>
      </c>
      <c r="G40">
        <v>11</v>
      </c>
      <c r="J40" s="5" t="s">
        <v>640</v>
      </c>
      <c r="K40" s="6">
        <v>0</v>
      </c>
    </row>
    <row r="41" spans="1:11" x14ac:dyDescent="0.25">
      <c r="A41" s="5" t="s">
        <v>314</v>
      </c>
      <c r="B41">
        <v>6</v>
      </c>
      <c r="F41" s="5">
        <v>1998</v>
      </c>
      <c r="G41">
        <v>7</v>
      </c>
      <c r="J41" s="5" t="s">
        <v>314</v>
      </c>
      <c r="K41" s="6">
        <v>1.25</v>
      </c>
    </row>
    <row r="42" spans="1:11" x14ac:dyDescent="0.25">
      <c r="A42" s="5" t="s">
        <v>103</v>
      </c>
      <c r="B42">
        <v>1</v>
      </c>
      <c r="F42" s="5">
        <v>1999</v>
      </c>
      <c r="G42">
        <v>12</v>
      </c>
      <c r="J42" s="5" t="s">
        <v>103</v>
      </c>
      <c r="K42" s="6">
        <v>0</v>
      </c>
    </row>
    <row r="43" spans="1:11" x14ac:dyDescent="0.25">
      <c r="A43" s="5" t="s">
        <v>597</v>
      </c>
      <c r="B43">
        <v>8</v>
      </c>
      <c r="F43" s="5">
        <v>2000</v>
      </c>
      <c r="G43">
        <v>14</v>
      </c>
      <c r="J43" s="5" t="s">
        <v>597</v>
      </c>
      <c r="K43" s="6">
        <v>0.125</v>
      </c>
    </row>
    <row r="44" spans="1:11" x14ac:dyDescent="0.25">
      <c r="A44" s="5" t="s">
        <v>15</v>
      </c>
      <c r="B44">
        <v>39</v>
      </c>
      <c r="F44" s="5">
        <v>2001</v>
      </c>
      <c r="G44">
        <v>15</v>
      </c>
      <c r="J44" s="5" t="s">
        <v>15</v>
      </c>
      <c r="K44" s="6">
        <v>0.12820512820512819</v>
      </c>
    </row>
    <row r="45" spans="1:11" x14ac:dyDescent="0.25">
      <c r="A45" s="5" t="s">
        <v>677</v>
      </c>
      <c r="B45">
        <v>1</v>
      </c>
      <c r="F45" s="5">
        <v>2002</v>
      </c>
      <c r="G45">
        <v>17</v>
      </c>
      <c r="J45" s="5" t="s">
        <v>677</v>
      </c>
      <c r="K45" s="6">
        <v>5</v>
      </c>
    </row>
    <row r="46" spans="1:11" x14ac:dyDescent="0.25">
      <c r="A46" s="5" t="s">
        <v>1705</v>
      </c>
      <c r="B46">
        <v>1</v>
      </c>
      <c r="F46" s="5">
        <v>2003</v>
      </c>
      <c r="G46">
        <v>20</v>
      </c>
      <c r="J46" s="5" t="s">
        <v>1705</v>
      </c>
      <c r="K46" s="6">
        <v>0</v>
      </c>
    </row>
    <row r="47" spans="1:11" x14ac:dyDescent="0.25">
      <c r="A47" s="5" t="s">
        <v>1632</v>
      </c>
      <c r="B47">
        <v>5</v>
      </c>
      <c r="F47" s="5">
        <v>2004</v>
      </c>
      <c r="G47">
        <v>32</v>
      </c>
      <c r="J47" s="5" t="s">
        <v>1632</v>
      </c>
      <c r="K47" s="6">
        <v>1.7</v>
      </c>
    </row>
    <row r="48" spans="1:11" x14ac:dyDescent="0.25">
      <c r="A48" s="5" t="s">
        <v>2936</v>
      </c>
      <c r="B48">
        <v>6</v>
      </c>
      <c r="F48" s="5">
        <v>2005</v>
      </c>
      <c r="G48">
        <v>33</v>
      </c>
      <c r="J48" s="5" t="s">
        <v>2936</v>
      </c>
      <c r="K48" s="6">
        <v>4.2166666666666659</v>
      </c>
    </row>
    <row r="49" spans="1:11" x14ac:dyDescent="0.25">
      <c r="A49" s="5" t="s">
        <v>54</v>
      </c>
      <c r="B49">
        <v>45</v>
      </c>
      <c r="F49" s="5">
        <v>2006</v>
      </c>
      <c r="G49">
        <v>41</v>
      </c>
      <c r="J49" s="5" t="s">
        <v>54</v>
      </c>
      <c r="K49" s="6">
        <v>0.68888888888888888</v>
      </c>
    </row>
    <row r="50" spans="1:11" x14ac:dyDescent="0.25">
      <c r="A50" s="5" t="s">
        <v>207</v>
      </c>
      <c r="B50">
        <v>41</v>
      </c>
      <c r="F50" s="5">
        <v>2007</v>
      </c>
      <c r="G50">
        <v>37</v>
      </c>
      <c r="J50" s="5" t="s">
        <v>207</v>
      </c>
      <c r="K50" s="6">
        <v>0.32926829268292684</v>
      </c>
    </row>
    <row r="51" spans="1:11" x14ac:dyDescent="0.25">
      <c r="A51" s="5" t="s">
        <v>32</v>
      </c>
      <c r="B51">
        <v>33</v>
      </c>
      <c r="F51" s="5">
        <v>2008</v>
      </c>
      <c r="G51">
        <v>36</v>
      </c>
      <c r="J51" s="5" t="s">
        <v>32</v>
      </c>
      <c r="K51" s="6">
        <v>0.39393939393939392</v>
      </c>
    </row>
    <row r="52" spans="1:11" x14ac:dyDescent="0.25">
      <c r="A52" s="5" t="s">
        <v>85</v>
      </c>
      <c r="B52">
        <v>18</v>
      </c>
      <c r="F52" s="5">
        <v>2009</v>
      </c>
      <c r="G52">
        <v>44</v>
      </c>
      <c r="J52" s="5" t="s">
        <v>85</v>
      </c>
      <c r="K52" s="6">
        <v>0.33333333333333331</v>
      </c>
    </row>
    <row r="53" spans="1:11" x14ac:dyDescent="0.25">
      <c r="A53" s="5" t="s">
        <v>158</v>
      </c>
      <c r="B53">
        <v>17</v>
      </c>
      <c r="F53" s="5">
        <v>2010</v>
      </c>
      <c r="G53">
        <v>67</v>
      </c>
      <c r="J53" s="5" t="s">
        <v>158</v>
      </c>
      <c r="K53" s="6">
        <v>0.5</v>
      </c>
    </row>
    <row r="54" spans="1:11" x14ac:dyDescent="0.25">
      <c r="A54" s="5" t="s">
        <v>2</v>
      </c>
      <c r="B54">
        <v>171</v>
      </c>
      <c r="F54" s="5">
        <v>2011</v>
      </c>
      <c r="G54">
        <v>43</v>
      </c>
      <c r="J54" s="5" t="s">
        <v>2</v>
      </c>
      <c r="K54" s="6">
        <v>0.54678362573099415</v>
      </c>
    </row>
    <row r="55" spans="1:11" x14ac:dyDescent="0.25">
      <c r="A55" s="5" t="s">
        <v>673</v>
      </c>
      <c r="B55">
        <v>10</v>
      </c>
      <c r="F55" s="5">
        <v>2012</v>
      </c>
      <c r="G55">
        <v>88</v>
      </c>
      <c r="J55" s="5" t="s">
        <v>673</v>
      </c>
      <c r="K55" s="6">
        <v>0.5</v>
      </c>
    </row>
    <row r="56" spans="1:11" x14ac:dyDescent="0.25">
      <c r="A56" s="5" t="s">
        <v>144</v>
      </c>
      <c r="B56">
        <v>32</v>
      </c>
      <c r="F56" s="5">
        <v>2013</v>
      </c>
      <c r="G56">
        <v>66</v>
      </c>
      <c r="J56" s="5" t="s">
        <v>144</v>
      </c>
      <c r="K56" s="6">
        <v>0.65625</v>
      </c>
    </row>
    <row r="57" spans="1:11" x14ac:dyDescent="0.25">
      <c r="A57" s="5" t="s">
        <v>2201</v>
      </c>
      <c r="B57">
        <v>1</v>
      </c>
      <c r="F57" s="5">
        <v>2014</v>
      </c>
      <c r="G57">
        <v>55</v>
      </c>
      <c r="J57" s="5" t="s">
        <v>2201</v>
      </c>
      <c r="K57" s="6">
        <v>0</v>
      </c>
    </row>
    <row r="58" spans="1:11" x14ac:dyDescent="0.25">
      <c r="A58" s="5" t="s">
        <v>125</v>
      </c>
      <c r="B58">
        <v>6</v>
      </c>
      <c r="F58" s="5">
        <v>2015</v>
      </c>
      <c r="G58">
        <v>55</v>
      </c>
      <c r="J58" s="5" t="s">
        <v>125</v>
      </c>
      <c r="K58" s="6">
        <v>0</v>
      </c>
    </row>
    <row r="59" spans="1:11" x14ac:dyDescent="0.25">
      <c r="A59" s="5" t="s">
        <v>476</v>
      </c>
      <c r="B59">
        <v>7</v>
      </c>
      <c r="F59" s="5">
        <v>2016</v>
      </c>
      <c r="G59">
        <v>69</v>
      </c>
      <c r="J59" s="5" t="s">
        <v>476</v>
      </c>
      <c r="K59" s="6">
        <v>0.5714285714285714</v>
      </c>
    </row>
    <row r="60" spans="1:11" x14ac:dyDescent="0.25">
      <c r="A60" s="5" t="s">
        <v>383</v>
      </c>
      <c r="B60">
        <v>43</v>
      </c>
      <c r="F60" s="5">
        <v>2017</v>
      </c>
      <c r="G60">
        <v>64</v>
      </c>
      <c r="J60" s="5" t="s">
        <v>383</v>
      </c>
      <c r="K60" s="6">
        <v>2.3255813953488372E-2</v>
      </c>
    </row>
    <row r="61" spans="1:11" x14ac:dyDescent="0.25">
      <c r="A61" s="5" t="s">
        <v>2914</v>
      </c>
      <c r="B61">
        <v>33</v>
      </c>
      <c r="F61" s="5">
        <v>2018</v>
      </c>
      <c r="G61">
        <v>51</v>
      </c>
      <c r="J61" s="5" t="s">
        <v>2914</v>
      </c>
      <c r="K61" s="6">
        <v>4.1454545454545446</v>
      </c>
    </row>
    <row r="62" spans="1:11" x14ac:dyDescent="0.25">
      <c r="A62" s="5" t="s">
        <v>38</v>
      </c>
      <c r="B62">
        <v>35</v>
      </c>
      <c r="F62" s="5">
        <v>2019</v>
      </c>
      <c r="G62">
        <v>49</v>
      </c>
      <c r="J62" s="5" t="s">
        <v>38</v>
      </c>
      <c r="K62" s="6">
        <v>0.77142857142857146</v>
      </c>
    </row>
    <row r="63" spans="1:11" x14ac:dyDescent="0.25">
      <c r="A63" s="5" t="s">
        <v>2374</v>
      </c>
      <c r="B63">
        <v>1</v>
      </c>
      <c r="F63" s="5">
        <v>2020</v>
      </c>
      <c r="G63">
        <v>42</v>
      </c>
      <c r="J63" s="5" t="s">
        <v>2374</v>
      </c>
      <c r="K63" s="6">
        <v>0</v>
      </c>
    </row>
    <row r="64" spans="1:11" x14ac:dyDescent="0.25">
      <c r="A64" s="5" t="s">
        <v>243</v>
      </c>
      <c r="B64">
        <v>7</v>
      </c>
      <c r="F64" s="5">
        <v>2021</v>
      </c>
      <c r="G64">
        <v>44</v>
      </c>
      <c r="J64" s="5" t="s">
        <v>243</v>
      </c>
      <c r="K64" s="6">
        <v>0.5714285714285714</v>
      </c>
    </row>
    <row r="65" spans="1:11" x14ac:dyDescent="0.25">
      <c r="A65" s="5" t="s">
        <v>59</v>
      </c>
      <c r="B65">
        <v>15</v>
      </c>
      <c r="F65" s="5">
        <v>2022</v>
      </c>
      <c r="G65">
        <v>60</v>
      </c>
      <c r="J65" s="5" t="s">
        <v>59</v>
      </c>
      <c r="K65" s="6">
        <v>0.66666666666666663</v>
      </c>
    </row>
    <row r="66" spans="1:11" x14ac:dyDescent="0.25">
      <c r="A66" s="5" t="s">
        <v>328</v>
      </c>
      <c r="B66">
        <v>43</v>
      </c>
      <c r="F66" s="5">
        <v>2023</v>
      </c>
      <c r="G66">
        <v>108</v>
      </c>
      <c r="J66" s="5" t="s">
        <v>328</v>
      </c>
      <c r="K66" s="6">
        <v>0.2558139534883721</v>
      </c>
    </row>
    <row r="67" spans="1:11" x14ac:dyDescent="0.25">
      <c r="A67" s="5" t="s">
        <v>7</v>
      </c>
      <c r="B67">
        <v>14</v>
      </c>
      <c r="F67" s="5">
        <v>2024</v>
      </c>
      <c r="G67">
        <v>85</v>
      </c>
      <c r="J67" s="5" t="s">
        <v>7</v>
      </c>
      <c r="K67" s="6">
        <v>0.35714285714285715</v>
      </c>
    </row>
    <row r="68" spans="1:11" x14ac:dyDescent="0.25">
      <c r="A68" s="5" t="s">
        <v>79</v>
      </c>
      <c r="B68">
        <v>38</v>
      </c>
      <c r="F68" s="5">
        <v>2025</v>
      </c>
      <c r="G68">
        <v>32</v>
      </c>
      <c r="J68" s="5" t="s">
        <v>79</v>
      </c>
      <c r="K68" s="6">
        <v>0.23684210526315788</v>
      </c>
    </row>
    <row r="69" spans="1:11" x14ac:dyDescent="0.25">
      <c r="A69" s="5" t="s">
        <v>118</v>
      </c>
      <c r="B69">
        <v>34</v>
      </c>
      <c r="F69" s="5" t="s">
        <v>4041</v>
      </c>
      <c r="G69">
        <v>1383</v>
      </c>
      <c r="J69" s="5" t="s">
        <v>118</v>
      </c>
      <c r="K69" s="6">
        <v>0.63235294117647056</v>
      </c>
    </row>
    <row r="70" spans="1:11" x14ac:dyDescent="0.25">
      <c r="A70" s="5" t="s">
        <v>180</v>
      </c>
      <c r="B70">
        <v>16</v>
      </c>
      <c r="J70" s="5" t="s">
        <v>180</v>
      </c>
      <c r="K70" s="6">
        <v>2.6437499999999998</v>
      </c>
    </row>
    <row r="71" spans="1:11" x14ac:dyDescent="0.25">
      <c r="A71" s="5" t="s">
        <v>28</v>
      </c>
      <c r="B71">
        <v>60</v>
      </c>
      <c r="J71" s="5" t="s">
        <v>28</v>
      </c>
      <c r="K71" s="6">
        <v>0.15833333333333333</v>
      </c>
    </row>
    <row r="72" spans="1:11" x14ac:dyDescent="0.25">
      <c r="A72" s="5" t="s">
        <v>1777</v>
      </c>
      <c r="B72">
        <v>1</v>
      </c>
      <c r="J72" s="5" t="s">
        <v>1777</v>
      </c>
      <c r="K72" s="6">
        <v>5</v>
      </c>
    </row>
    <row r="73" spans="1:11" x14ac:dyDescent="0.25">
      <c r="A73" s="5" t="s">
        <v>307</v>
      </c>
      <c r="B73">
        <v>4</v>
      </c>
      <c r="J73" s="5" t="s">
        <v>307</v>
      </c>
      <c r="K73" s="6">
        <v>1.125</v>
      </c>
    </row>
    <row r="74" spans="1:11" x14ac:dyDescent="0.25">
      <c r="A74" s="5" t="s">
        <v>387</v>
      </c>
      <c r="B74">
        <v>3</v>
      </c>
      <c r="J74" s="5" t="s">
        <v>387</v>
      </c>
      <c r="K74" s="6">
        <v>0</v>
      </c>
    </row>
    <row r="75" spans="1:11" x14ac:dyDescent="0.25">
      <c r="A75" s="5" t="s">
        <v>420</v>
      </c>
      <c r="B75">
        <v>31</v>
      </c>
      <c r="J75" s="5" t="s">
        <v>420</v>
      </c>
      <c r="K75" s="6">
        <v>0.40322580645161288</v>
      </c>
    </row>
    <row r="76" spans="1:11" x14ac:dyDescent="0.25">
      <c r="A76" s="5" t="s">
        <v>628</v>
      </c>
      <c r="B76">
        <v>4</v>
      </c>
      <c r="J76" s="5" t="s">
        <v>628</v>
      </c>
      <c r="K76" s="6">
        <v>0</v>
      </c>
    </row>
    <row r="77" spans="1:11" x14ac:dyDescent="0.25">
      <c r="A77" s="5" t="s">
        <v>453</v>
      </c>
      <c r="B77">
        <v>18</v>
      </c>
      <c r="J77" s="5" t="s">
        <v>453</v>
      </c>
      <c r="K77" s="6">
        <v>0.63888888888888884</v>
      </c>
    </row>
    <row r="78" spans="1:11" x14ac:dyDescent="0.25">
      <c r="A78" s="5" t="s">
        <v>135</v>
      </c>
      <c r="B78">
        <v>6</v>
      </c>
      <c r="J78" s="5" t="s">
        <v>135</v>
      </c>
      <c r="K78" s="6">
        <v>0.75</v>
      </c>
    </row>
    <row r="79" spans="1:11" x14ac:dyDescent="0.25">
      <c r="A79" s="5" t="s">
        <v>4041</v>
      </c>
      <c r="B79">
        <v>1383</v>
      </c>
      <c r="J79" s="5" t="s">
        <v>4041</v>
      </c>
      <c r="K79" s="6">
        <v>0.63080260303687663</v>
      </c>
    </row>
  </sheetData>
  <mergeCells count="5">
    <mergeCell ref="A1:C1"/>
    <mergeCell ref="F1:H1"/>
    <mergeCell ref="J1:L1"/>
    <mergeCell ref="M1:O1"/>
    <mergeCell ref="Q1:S1"/>
  </mergeCells>
  <conditionalFormatting pivot="1" sqref="K5:K78">
    <cfRule type="colorScale" priority="4">
      <colorScale>
        <cfvo type="min"/>
        <cfvo type="num" val="&quot;3-4.5&quot;"/>
        <cfvo type="max"/>
        <color rgb="FFF8696B"/>
        <color rgb="FFFFEB84"/>
        <color rgb="FF63BE7B"/>
      </colorScale>
    </cfRule>
  </conditionalFormatting>
  <conditionalFormatting pivot="1" sqref="K5:K78">
    <cfRule type="colorScale" priority="2">
      <colorScale>
        <cfvo type="formula" val="&quot;IF&gt;4.5&quot;"/>
        <cfvo type="formula" val="&quot;IF 3-4.5&quot;"/>
        <cfvo type="formula" val="&quot;IF &lt;3&quot;"/>
        <color rgb="FFF8696B"/>
        <color rgb="FFFFEB84"/>
        <color rgb="FF63BE7B"/>
      </colorScale>
    </cfRule>
  </conditionalFormatting>
  <conditionalFormatting pivot="1" sqref="K5:K7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B13E-D99D-4B0B-B206-89A1C4CA87F3}">
  <dimension ref="B2:Q29"/>
  <sheetViews>
    <sheetView workbookViewId="0">
      <selection activeCell="F17" sqref="F17"/>
    </sheetView>
  </sheetViews>
  <sheetFormatPr defaultRowHeight="15" outlineLevelCol="1" x14ac:dyDescent="0.25"/>
  <cols>
    <col min="2" max="3" width="9.140625" customWidth="1" outlineLevel="1"/>
    <col min="4" max="4" width="10" customWidth="1" outlineLevel="1"/>
    <col min="5" max="5" width="9.140625" customWidth="1" outlineLevel="1"/>
    <col min="6" max="6" width="13.5703125" customWidth="1" outlineLevel="1"/>
    <col min="7" max="8" width="9.140625" customWidth="1" outlineLevel="1"/>
    <col min="9" max="9" width="10.7109375" customWidth="1" outlineLevel="1"/>
    <col min="13" max="14" width="17" bestFit="1" customWidth="1"/>
  </cols>
  <sheetData>
    <row r="2" spans="2:15" x14ac:dyDescent="0.25">
      <c r="B2" s="24" t="s">
        <v>4051</v>
      </c>
      <c r="C2" s="24"/>
      <c r="D2" s="24"/>
      <c r="F2">
        <f>COUNTA(Books[TITLE])</f>
        <v>1383</v>
      </c>
      <c r="M2" s="22" t="s">
        <v>4059</v>
      </c>
      <c r="N2" s="22"/>
    </row>
    <row r="3" spans="2:15" ht="18.75" x14ac:dyDescent="0.3">
      <c r="M3" s="23">
        <f>GETPIVOTDATA("TITLE",'Pivot Tables'!$A$4)</f>
        <v>1383</v>
      </c>
      <c r="N3" s="23"/>
      <c r="O3" s="9"/>
    </row>
    <row r="5" spans="2:15" x14ac:dyDescent="0.25">
      <c r="B5" s="24" t="s">
        <v>4052</v>
      </c>
      <c r="C5" s="24"/>
      <c r="D5" s="24"/>
      <c r="F5">
        <f>COUNTA(_xlfn.UNIQUE(Books[AUTHOR]))</f>
        <v>1138</v>
      </c>
      <c r="M5" s="20" t="s">
        <v>4060</v>
      </c>
      <c r="N5" s="20"/>
    </row>
    <row r="6" spans="2:15" ht="21" x14ac:dyDescent="0.35">
      <c r="M6" s="21">
        <f>COUNTA('Pivot Tables'!N5:N15)</f>
        <v>11</v>
      </c>
      <c r="N6" s="21"/>
    </row>
    <row r="8" spans="2:15" x14ac:dyDescent="0.25">
      <c r="B8" s="24" t="s">
        <v>4053</v>
      </c>
      <c r="C8" s="24"/>
      <c r="D8" s="24"/>
      <c r="F8" s="6">
        <f>AVERAGE(Books[AVERAGE RATING])</f>
        <v>0.63080260303687663</v>
      </c>
      <c r="M8" s="20" t="s">
        <v>4061</v>
      </c>
      <c r="N8" s="20"/>
    </row>
    <row r="9" spans="2:15" ht="21" x14ac:dyDescent="0.35">
      <c r="M9" s="25">
        <f>GETPIVOTDATA("AVERAGE RATING",'Pivot Tables'!$J$4)</f>
        <v>0.63080260303687663</v>
      </c>
      <c r="N9" s="25"/>
    </row>
    <row r="11" spans="2:15" x14ac:dyDescent="0.25">
      <c r="B11" s="19" t="s">
        <v>4054</v>
      </c>
      <c r="C11" s="19"/>
      <c r="D11" s="19"/>
      <c r="F11" t="str">
        <f>_xlfn.XLOOKUP(MAX(Books[AVERAGE RATING]),Books[AVERAGE RATING],Books[TITLE])</f>
        <v>International Encyclopedia of Linguistics</v>
      </c>
      <c r="M11" s="20" t="s">
        <v>4062</v>
      </c>
      <c r="N11" s="20"/>
    </row>
    <row r="12" spans="2:15" ht="21" x14ac:dyDescent="0.35">
      <c r="M12" s="25" t="str">
        <f>INDEX('Pivot Tables'!U5:U14,MATCH(MAX('Pivot Tables'!V5:V14),'Pivot Tables'!V5:V14, 0))</f>
        <v>Rich Dad Poor Dad</v>
      </c>
      <c r="N12" s="25"/>
    </row>
    <row r="13" spans="2:15" ht="18.75" customHeight="1" x14ac:dyDescent="0.25"/>
    <row r="14" spans="2:15" x14ac:dyDescent="0.25">
      <c r="B14" s="24" t="s">
        <v>4055</v>
      </c>
      <c r="C14" s="24"/>
      <c r="D14" s="24"/>
      <c r="F14" t="str" cm="1">
        <f t="array" ref="F14">INDEX(_xlfn.SORTBY(_xlfn.UNIQUE(Books[LANGUAGE]),-COUNTIF(Books[LANGUAGE],_xlfn.UNIQUE(Books[LANGUAGE]))), 1)</f>
        <v>en</v>
      </c>
      <c r="M14" s="20" t="s">
        <v>4063</v>
      </c>
      <c r="N14" s="20"/>
    </row>
    <row r="15" spans="2:15" ht="21" x14ac:dyDescent="0.35">
      <c r="M15" s="25" t="str">
        <f>INDEX('Pivot Tables'!Q5:Q23,MATCH(MAX('Pivot Tables'!R5:R23),'Pivot Tables'!R5:R23, 0))</f>
        <v>en</v>
      </c>
      <c r="N15" s="25"/>
    </row>
    <row r="17" spans="2:17" x14ac:dyDescent="0.25">
      <c r="B17" s="19" t="s">
        <v>4056</v>
      </c>
      <c r="C17" s="19"/>
      <c r="D17" s="19"/>
      <c r="F17" s="10">
        <f>SUM(Books[ENGAGEMENT SCORE])</f>
        <v>31892556.5</v>
      </c>
      <c r="M17" s="20" t="s">
        <v>4064</v>
      </c>
      <c r="N17" s="20"/>
    </row>
    <row r="18" spans="2:17" ht="21" x14ac:dyDescent="0.35">
      <c r="M18" s="28">
        <f>GETPIVOTDATA("ENGAGEMENT SCORE",'Pivot Tables'!$U$4)</f>
        <v>21305000</v>
      </c>
      <c r="N18" s="28"/>
    </row>
    <row r="20" spans="2:17" x14ac:dyDescent="0.25">
      <c r="B20" s="19" t="s">
        <v>4057</v>
      </c>
      <c r="C20" s="19"/>
      <c r="D20" s="19"/>
      <c r="F20" t="str" cm="1">
        <f t="array" ref="F20">INDEX(_xlfn.SORTBY(_xlfn.UNIQUE(Books[GENRE]),-COUNTIF(Books[GENRE],_xlfn.UNIQUE(Books[GENRE]))), 1)</f>
        <v>Fiction</v>
      </c>
      <c r="M20" s="20" t="s">
        <v>4065</v>
      </c>
      <c r="N20" s="20"/>
    </row>
    <row r="21" spans="2:17" ht="21" x14ac:dyDescent="0.35">
      <c r="M21" s="25" t="str">
        <f>INDEX('Pivot Tables'!A5:A78,MATCH(MAX('Pivot Tables'!B5:B78),'Pivot Tables'!B5:B78,0))</f>
        <v>Fiction</v>
      </c>
      <c r="N21" s="25"/>
    </row>
    <row r="27" spans="2:17" x14ac:dyDescent="0.25">
      <c r="C27" s="26" t="s">
        <v>4066</v>
      </c>
      <c r="D27" s="26"/>
      <c r="E27" s="26"/>
      <c r="F27" s="26"/>
      <c r="G27" s="26"/>
      <c r="M27" s="27" t="s">
        <v>4067</v>
      </c>
      <c r="N27" s="27"/>
      <c r="O27" s="27"/>
      <c r="P27" s="27"/>
      <c r="Q27" s="27"/>
    </row>
    <row r="28" spans="2:17" x14ac:dyDescent="0.25">
      <c r="C28" s="26"/>
      <c r="D28" s="26"/>
      <c r="E28" s="26"/>
      <c r="F28" s="26"/>
      <c r="G28" s="26"/>
      <c r="M28" s="27"/>
      <c r="N28" s="27"/>
      <c r="O28" s="27"/>
      <c r="P28" s="27"/>
      <c r="Q28" s="27"/>
    </row>
    <row r="29" spans="2:17" x14ac:dyDescent="0.25">
      <c r="C29" s="26"/>
      <c r="D29" s="26"/>
      <c r="E29" s="26"/>
      <c r="F29" s="26"/>
      <c r="G29" s="26"/>
      <c r="M29" s="27"/>
      <c r="N29" s="27"/>
      <c r="O29" s="27"/>
      <c r="P29" s="27"/>
      <c r="Q29" s="27"/>
    </row>
  </sheetData>
  <mergeCells count="23">
    <mergeCell ref="C27:G29"/>
    <mergeCell ref="M27:Q29"/>
    <mergeCell ref="M15:N15"/>
    <mergeCell ref="M17:N17"/>
    <mergeCell ref="M18:N18"/>
    <mergeCell ref="M20:N20"/>
    <mergeCell ref="M21:N21"/>
    <mergeCell ref="M5:N5"/>
    <mergeCell ref="M6:N6"/>
    <mergeCell ref="M2:N2"/>
    <mergeCell ref="M3:N3"/>
    <mergeCell ref="B20:D20"/>
    <mergeCell ref="B2:D2"/>
    <mergeCell ref="B5:D5"/>
    <mergeCell ref="B8:D8"/>
    <mergeCell ref="B11:D11"/>
    <mergeCell ref="B14:D14"/>
    <mergeCell ref="B17:D17"/>
    <mergeCell ref="M8:N8"/>
    <mergeCell ref="M9:N9"/>
    <mergeCell ref="M11:N11"/>
    <mergeCell ref="M12:N12"/>
    <mergeCell ref="M14:N14"/>
  </mergeCells>
  <conditionalFormatting sqref="M3:N3">
    <cfRule type="cellIs" dxfId="1" priority="1" stopIfTrue="1" operator="lessThan">
      <formula>500</formula>
    </cfRule>
    <cfRule type="cellIs" dxfId="0" priority="3" stopIfTrue="1" operator="greaterThan">
      <formula>1000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4" id="{31E2EAD0-A216-4297-BC45-0BA0BFDE580F}">
            <x14:iconSet iconSet="3Stars">
              <x14:cfvo type="percent">
                <xm:f>0</xm:f>
              </x14:cfvo>
              <x14:cfvo type="num">
                <xm:f>3</xm:f>
              </x14:cfvo>
              <x14:cfvo type="num">
                <xm:f>4.5</xm:f>
              </x14:cfvo>
            </x14:iconSet>
          </x14:cfRule>
          <xm:sqref>M9:N9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4CEF-3E78-4607-9C9E-685C75646515}">
  <dimension ref="C4:W14"/>
  <sheetViews>
    <sheetView workbookViewId="0">
      <selection activeCell="E15" sqref="E15"/>
    </sheetView>
  </sheetViews>
  <sheetFormatPr defaultRowHeight="15" x14ac:dyDescent="0.25"/>
  <sheetData>
    <row r="4" spans="3:23" ht="40.5" customHeight="1" x14ac:dyDescent="0.55000000000000004">
      <c r="C4" s="16" t="s">
        <v>4068</v>
      </c>
      <c r="E4" s="15" t="s">
        <v>4069</v>
      </c>
      <c r="G4" s="15" t="s">
        <v>4070</v>
      </c>
      <c r="I4" s="14" t="s">
        <v>4071</v>
      </c>
      <c r="K4" s="13" t="s">
        <v>4072</v>
      </c>
      <c r="M4" s="13" t="s">
        <v>4073</v>
      </c>
      <c r="O4" s="12" t="s">
        <v>4074</v>
      </c>
      <c r="Q4" s="11" t="s">
        <v>4075</v>
      </c>
      <c r="S4" s="13" t="s">
        <v>4076</v>
      </c>
      <c r="U4" s="11" t="s">
        <v>4077</v>
      </c>
      <c r="W4" s="11" t="s">
        <v>4078</v>
      </c>
    </row>
    <row r="10" spans="3:23" x14ac:dyDescent="0.25">
      <c r="D10" s="29" t="s">
        <v>4079</v>
      </c>
      <c r="E10" s="29"/>
      <c r="F10" s="29"/>
    </row>
    <row r="14" spans="3:23" x14ac:dyDescent="0.25">
      <c r="E14" t="str" cm="1">
        <f t="array" ref="E14:F14">"📘 Summary of Filtered View: "&amp;CHAR(10)&amp;"📚 Total Books: "&amp;'KPI CREATION'!M3:N3&amp;CHAR(10)&amp;"👤 Unique Authors: "&amp;'KPI CREATION'!M6:N6&amp;CHAR(10)&amp;"🌏 Top Language: "&amp;'KPI CREATION'!M15:N15&amp;CHAR(10)&amp;"🏆 Highest Rated Book: " &amp;'KPI CREATION'!M12:N12&amp;CHAR(10)&amp;"⭐ Average Rating: " &amp;ROUND('KPI CREATION'!M9:N9,1)&amp;CHAR(10)&amp;"📈 Most Popular Genre: " &amp;'KPI CREATION'!M21:N21</f>
        <v>📘 Summary of Filtered View: 
📚 Total Books: 1383
👤 Unique Authors: 11
🌏 Top Language: en
🏆 Highest Rated Book: Rich Dad Poor Dad
⭐ Average Rating: 0.6
📈 Most Popular Genre: Fiction</v>
      </c>
      <c r="F14" t="str">
        <v xml:space="preserve">📘 Summary of Filtered View: 
📚 Total Books: 
👤 Unique Authors: 
🌏 Top Language: 
🏆 Highest Rated Book: 
⭐ Average Rating: 0
📈 Most Popular Genre: </v>
      </c>
    </row>
  </sheetData>
  <mergeCells count="1">
    <mergeCell ref="D10:F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F3270-6067-49BD-BBD9-CD4E72DDE516}">
  <dimension ref="A1:DR110"/>
  <sheetViews>
    <sheetView tabSelected="1" zoomScale="35" zoomScaleNormal="35" workbookViewId="0">
      <selection activeCell="AB43" sqref="AB43"/>
    </sheetView>
  </sheetViews>
  <sheetFormatPr defaultRowHeight="15" x14ac:dyDescent="0.25"/>
  <cols>
    <col min="1" max="6" width="9.140625" style="8"/>
    <col min="7" max="7" width="15.85546875" style="8" customWidth="1"/>
    <col min="8" max="8" width="15.7109375" style="8" customWidth="1"/>
    <col min="9" max="9" width="8.140625" style="8" customWidth="1"/>
    <col min="10" max="10" width="43.5703125" style="8" bestFit="1" customWidth="1"/>
    <col min="11" max="11" width="32.7109375" style="8" bestFit="1" customWidth="1"/>
    <col min="12" max="14" width="9.140625" style="8"/>
    <col min="15" max="15" width="0.7109375" style="8" customWidth="1"/>
    <col min="16" max="122" width="9.140625" style="8"/>
  </cols>
  <sheetData>
    <row r="1" spans="1:44" ht="15" customHeight="1" x14ac:dyDescent="0.25">
      <c r="A1" s="30" t="s">
        <v>4050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row>
    <row r="2" spans="1:44" ht="15" customHeight="1" x14ac:dyDescent="0.25">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row>
    <row r="3" spans="1:44" ht="15" customHeigh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row>
    <row r="4" spans="1:44" ht="15" customHeight="1" x14ac:dyDescent="0.25">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row>
    <row r="5" spans="1:44" x14ac:dyDescent="0.2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row>
    <row r="7" spans="1:44" x14ac:dyDescent="0.2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row>
    <row r="8" spans="1:44" x14ac:dyDescent="0.2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row>
    <row r="9" spans="1:44" x14ac:dyDescent="0.2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row>
    <row r="10" spans="1:44" x14ac:dyDescent="0.2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row>
    <row r="11" spans="1:44" x14ac:dyDescent="0.2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row>
    <row r="13" spans="1:44" x14ac:dyDescent="0.2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row>
    <row r="14" spans="1:44" x14ac:dyDescent="0.25">
      <c r="A14" s="17"/>
      <c r="B14" s="17"/>
      <c r="C14" s="17"/>
      <c r="D14" s="17"/>
      <c r="E14" s="17"/>
      <c r="F14" s="17"/>
      <c r="G14" s="17"/>
      <c r="H14" s="17"/>
      <c r="I14" s="17"/>
      <c r="J14" s="17"/>
      <c r="K14" s="17"/>
      <c r="L14" s="17"/>
      <c r="M14" s="17" t="s">
        <v>4058</v>
      </c>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row>
    <row r="15" spans="1:44" x14ac:dyDescent="0.2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row>
    <row r="16" spans="1:44" x14ac:dyDescent="0.2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row>
    <row r="17" spans="1:44"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row>
    <row r="18" spans="1:44"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row>
    <row r="19" spans="1:44"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row>
    <row r="20" spans="1:44"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row>
    <row r="21" spans="1:44"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row>
    <row r="22" spans="1:44"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row>
    <row r="23" spans="1:44"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row>
    <row r="25" spans="1:44"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row>
    <row r="26" spans="1:44"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row>
    <row r="27" spans="1:44"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row>
    <row r="29" spans="1:44"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row>
    <row r="30" spans="1:44"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row>
    <row r="31" spans="1:44"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row>
    <row r="32" spans="1:44"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row>
    <row r="33" spans="1:122"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row>
    <row r="34" spans="1:122"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row>
    <row r="35" spans="1:122"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row>
    <row r="36" spans="1:122"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row>
    <row r="37" spans="1:122"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row>
    <row r="38" spans="1:122"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row>
    <row r="39" spans="1:122"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row>
    <row r="40" spans="1:122"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row>
    <row r="41" spans="1:122"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row>
    <row r="42" spans="1:122"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row>
    <row r="43" spans="1:122"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row>
    <row r="44" spans="1:122"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row>
    <row r="45" spans="1:122"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DN45"/>
      <c r="DO45"/>
      <c r="DP45"/>
      <c r="DQ45"/>
      <c r="DR45"/>
    </row>
    <row r="46" spans="1:122"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DN46"/>
      <c r="DO46"/>
      <c r="DP46"/>
      <c r="DQ46"/>
      <c r="DR46"/>
    </row>
    <row r="47" spans="1:122"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DN47"/>
      <c r="DO47"/>
      <c r="DP47"/>
      <c r="DQ47"/>
      <c r="DR47"/>
    </row>
    <row r="48" spans="1:122"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DN48"/>
      <c r="DO48"/>
      <c r="DP48"/>
      <c r="DQ48"/>
      <c r="DR48"/>
    </row>
    <row r="49" spans="1:122"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DK49"/>
      <c r="DL49"/>
      <c r="DM49"/>
      <c r="DN49"/>
      <c r="DO49"/>
      <c r="DP49"/>
      <c r="DQ49"/>
      <c r="DR49"/>
    </row>
    <row r="50" spans="1:122"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DK50"/>
      <c r="DL50"/>
      <c r="DM50"/>
      <c r="DN50"/>
      <c r="DO50"/>
      <c r="DP50"/>
      <c r="DQ50"/>
      <c r="DR50"/>
    </row>
    <row r="51" spans="1:122"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DK51"/>
      <c r="DL51"/>
      <c r="DM51"/>
      <c r="DN51"/>
      <c r="DO51"/>
      <c r="DP51"/>
      <c r="DQ51"/>
      <c r="DR51"/>
    </row>
    <row r="52" spans="1:122" ht="36.75" customHeight="1"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DG52"/>
      <c r="DH52"/>
      <c r="DI52"/>
      <c r="DJ52"/>
      <c r="DK52"/>
      <c r="DL52"/>
      <c r="DM52"/>
      <c r="DN52"/>
      <c r="DO52"/>
      <c r="DP52"/>
      <c r="DQ52"/>
      <c r="DR52"/>
    </row>
    <row r="53" spans="1:122"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DG53"/>
      <c r="DH53"/>
      <c r="DI53"/>
      <c r="DJ53"/>
      <c r="DK53"/>
      <c r="DL53"/>
      <c r="DM53"/>
      <c r="DN53"/>
      <c r="DO53"/>
      <c r="DP53"/>
      <c r="DQ53"/>
      <c r="DR53"/>
    </row>
    <row r="54" spans="1:122"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DG54"/>
      <c r="DH54"/>
      <c r="DI54"/>
      <c r="DJ54"/>
      <c r="DK54"/>
      <c r="DL54"/>
      <c r="DM54"/>
      <c r="DN54"/>
      <c r="DO54"/>
      <c r="DP54"/>
      <c r="DQ54"/>
      <c r="DR54"/>
    </row>
    <row r="55" spans="1:122"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DG55"/>
      <c r="DH55"/>
      <c r="DI55"/>
      <c r="DJ55"/>
      <c r="DK55"/>
      <c r="DL55"/>
      <c r="DM55"/>
      <c r="DN55"/>
      <c r="DO55"/>
      <c r="DP55"/>
      <c r="DQ55"/>
      <c r="DR55"/>
    </row>
    <row r="56" spans="1:122"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DG56"/>
      <c r="DH56"/>
      <c r="DI56"/>
      <c r="DJ56"/>
      <c r="DK56"/>
      <c r="DL56"/>
      <c r="DM56"/>
      <c r="DN56"/>
      <c r="DO56"/>
      <c r="DP56"/>
      <c r="DQ56"/>
      <c r="DR56"/>
    </row>
    <row r="57" spans="1:122"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DL57"/>
      <c r="DM57"/>
      <c r="DN57"/>
      <c r="DO57"/>
      <c r="DP57"/>
      <c r="DQ57"/>
      <c r="DR57"/>
    </row>
    <row r="58" spans="1:122"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DL58"/>
      <c r="DM58"/>
      <c r="DN58"/>
      <c r="DO58"/>
      <c r="DP58"/>
      <c r="DQ58"/>
      <c r="DR58"/>
    </row>
    <row r="59" spans="1:122"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DL59"/>
      <c r="DM59"/>
      <c r="DN59"/>
      <c r="DO59"/>
      <c r="DP59"/>
      <c r="DQ59"/>
      <c r="DR59"/>
    </row>
    <row r="60" spans="1:122"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DJ60"/>
      <c r="DK60"/>
      <c r="DL60"/>
      <c r="DM60"/>
      <c r="DN60"/>
      <c r="DO60"/>
      <c r="DP60"/>
      <c r="DQ60"/>
      <c r="DR60"/>
    </row>
    <row r="61" spans="1:122"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DO61"/>
      <c r="DP61"/>
      <c r="DQ61"/>
      <c r="DR61"/>
    </row>
    <row r="62" spans="1:122"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DO62"/>
      <c r="DP62"/>
      <c r="DQ62"/>
      <c r="DR62"/>
    </row>
    <row r="63" spans="1:122"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DQ63"/>
      <c r="DR63"/>
    </row>
    <row r="64" spans="1:122"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DQ64"/>
      <c r="DR64"/>
    </row>
    <row r="65" spans="1:122"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DQ65"/>
      <c r="DR65"/>
    </row>
    <row r="66" spans="1:122"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DQ66"/>
      <c r="DR66"/>
    </row>
    <row r="67" spans="1:122"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DQ67"/>
      <c r="DR67"/>
    </row>
    <row r="68" spans="1:122"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DQ68"/>
      <c r="DR68"/>
    </row>
    <row r="69" spans="1:122"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DQ69"/>
      <c r="DR69"/>
    </row>
    <row r="70" spans="1:122"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row>
    <row r="71" spans="1:122"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row>
    <row r="72" spans="1:122"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row>
    <row r="73" spans="1:122"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row>
    <row r="74" spans="1:122"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row>
    <row r="75" spans="1:122"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row>
    <row r="76" spans="1:122"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row>
    <row r="77" spans="1:122"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row>
    <row r="78" spans="1:122"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row>
    <row r="79" spans="1:122"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row>
    <row r="80" spans="1:122"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row>
    <row r="81" spans="1:44"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row>
    <row r="82" spans="1:44"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row>
    <row r="83" spans="1:44"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row>
    <row r="84" spans="1:44"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row>
    <row r="85" spans="1:44"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row>
    <row r="86" spans="1:44"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row>
    <row r="87" spans="1:44"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row>
    <row r="88" spans="1:44"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row>
    <row r="89" spans="1:44"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row>
    <row r="90" spans="1:44"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row>
    <row r="91" spans="1:44"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row>
    <row r="92" spans="1:44"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row>
    <row r="93" spans="1:44"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row>
    <row r="94" spans="1:44"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row>
    <row r="95" spans="1:44"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row>
    <row r="96" spans="1:44"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row>
    <row r="97" spans="1:44"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row>
    <row r="98" spans="1:44"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row>
    <row r="99" spans="1:44"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row>
    <row r="100" spans="1:44"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row>
    <row r="101" spans="1:44"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row>
    <row r="102" spans="1:44"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row>
    <row r="103" spans="1:44"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row>
    <row r="104" spans="1:44"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row>
    <row r="105" spans="1:44"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row>
    <row r="106" spans="1:44"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row>
    <row r="107" spans="1:44"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row>
    <row r="108" spans="1:44"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row>
    <row r="109" spans="1:44"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row>
    <row r="110" spans="1:44"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row>
  </sheetData>
  <mergeCells count="1">
    <mergeCell ref="A1:A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9F1E72-CBF4-4370-B091-DA5E09AD21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Pivot Tables</vt:lpstr>
      <vt:lpstr>KPI CREATION</vt:lpstr>
      <vt:lpstr> EMO ND SUMMARY</vt:lpstr>
      <vt:lpstr>Book Insight -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Agnes C</dc:creator>
  <cp:lastModifiedBy>Agnes C</cp:lastModifiedBy>
  <dcterms:created xsi:type="dcterms:W3CDTF">2025-07-14T19:24:12Z</dcterms:created>
  <dcterms:modified xsi:type="dcterms:W3CDTF">2025-07-15T14:13:38Z</dcterms:modified>
</cp:coreProperties>
</file>